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ts.accenture.com/sites/BPPB-Progetti/Shared Documents/BPPB - AML - TxM/AML - TxM Calibrazione/06 Deliverable Doc/Excel Simulator/"/>
    </mc:Choice>
  </mc:AlternateContent>
  <xr:revisionPtr revIDLastSave="82" documentId="114_{9584BD7E-0218-464E-A386-33B0C092C8E4}" xr6:coauthVersionLast="47" xr6:coauthVersionMax="47" xr10:uidLastSave="{5CBAB649-F521-4FA1-9435-5FDF54E6BA58}"/>
  <bookViews>
    <workbookView xWindow="-110" yWindow="-110" windowWidth="19420" windowHeight="11500" xr2:uid="{00000000-000D-0000-FFFF-FFFF00000000}"/>
  </bookViews>
  <sheets>
    <sheet name="Simulazione" sheetId="21" r:id="rId1"/>
    <sheet name="Analisi del rischio Paese" sheetId="3" r:id="rId2"/>
    <sheet name="Media" sheetId="31" r:id="rId3"/>
    <sheet name="Alta" sheetId="42" r:id="rId4"/>
    <sheet name="48 &amp; 7" sheetId="32" state="hidden" r:id="rId5"/>
    <sheet name="26 &amp; 7" sheetId="37" state="hidden" r:id="rId6"/>
    <sheet name="Data" sheetId="1" r:id="rId7"/>
  </sheets>
  <definedNames>
    <definedName name="_xlnm._FilterDatabase" localSheetId="6" hidden="1">Data!$A$1:$CL$134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42" l="1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H23" i="42"/>
  <c r="G23" i="42"/>
  <c r="F23" i="42"/>
  <c r="E23" i="42"/>
  <c r="D23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H25" i="42"/>
  <c r="G25" i="42"/>
  <c r="F25" i="42"/>
  <c r="E25" i="42"/>
  <c r="D25" i="42"/>
  <c r="C25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H24" i="42"/>
  <c r="G24" i="42"/>
  <c r="F24" i="42"/>
  <c r="E24" i="42"/>
  <c r="D24" i="42"/>
  <c r="C24" i="42"/>
  <c r="W21" i="42"/>
  <c r="V21" i="42"/>
  <c r="U21" i="42"/>
  <c r="T21" i="42"/>
  <c r="S21" i="42"/>
  <c r="L21" i="42"/>
  <c r="K21" i="42"/>
  <c r="J21" i="42"/>
  <c r="I21" i="42"/>
  <c r="H21" i="42"/>
  <c r="G21" i="42"/>
  <c r="U20" i="42"/>
  <c r="T20" i="42"/>
  <c r="S20" i="42"/>
  <c r="R20" i="42"/>
  <c r="Q20" i="42"/>
  <c r="P20" i="42"/>
  <c r="I20" i="42"/>
  <c r="H20" i="42"/>
  <c r="G20" i="42"/>
  <c r="F20" i="42"/>
  <c r="E20" i="42"/>
  <c r="D20" i="42"/>
  <c r="W19" i="42"/>
  <c r="V19" i="42"/>
  <c r="U19" i="42"/>
  <c r="T19" i="42"/>
  <c r="S19" i="42"/>
  <c r="R19" i="42"/>
  <c r="R21" i="42" s="1"/>
  <c r="Q19" i="42"/>
  <c r="Q21" i="42" s="1"/>
  <c r="P19" i="42"/>
  <c r="P21" i="42" s="1"/>
  <c r="O19" i="42"/>
  <c r="O21" i="42" s="1"/>
  <c r="N19" i="42"/>
  <c r="N21" i="42" s="1"/>
  <c r="M19" i="42"/>
  <c r="M21" i="42" s="1"/>
  <c r="L19" i="42"/>
  <c r="K19" i="42"/>
  <c r="J19" i="42"/>
  <c r="I19" i="42"/>
  <c r="H19" i="42"/>
  <c r="G19" i="42"/>
  <c r="F19" i="42"/>
  <c r="F21" i="42" s="1"/>
  <c r="E19" i="42"/>
  <c r="E21" i="42" s="1"/>
  <c r="D19" i="42"/>
  <c r="D21" i="42" s="1"/>
  <c r="C19" i="42"/>
  <c r="C21" i="42" s="1"/>
  <c r="W18" i="42"/>
  <c r="W20" i="42" s="1"/>
  <c r="V18" i="42"/>
  <c r="V20" i="42" s="1"/>
  <c r="U18" i="42"/>
  <c r="U22" i="42" s="1"/>
  <c r="T18" i="42"/>
  <c r="T22" i="42" s="1"/>
  <c r="S18" i="42"/>
  <c r="S22" i="42" s="1"/>
  <c r="R18" i="42"/>
  <c r="R22" i="42" s="1"/>
  <c r="Q18" i="42"/>
  <c r="Q22" i="42" s="1"/>
  <c r="P18" i="42"/>
  <c r="P22" i="42" s="1"/>
  <c r="O18" i="42"/>
  <c r="O20" i="42" s="1"/>
  <c r="N18" i="42"/>
  <c r="N20" i="42" s="1"/>
  <c r="M18" i="42"/>
  <c r="M20" i="42" s="1"/>
  <c r="L18" i="42"/>
  <c r="L20" i="42" s="1"/>
  <c r="K18" i="42"/>
  <c r="K20" i="42" s="1"/>
  <c r="J18" i="42"/>
  <c r="J20" i="42" s="1"/>
  <c r="J22" i="42" s="1"/>
  <c r="I18" i="42"/>
  <c r="I22" i="42" s="1"/>
  <c r="H18" i="42"/>
  <c r="H22" i="42" s="1"/>
  <c r="G18" i="42"/>
  <c r="G22" i="42" s="1"/>
  <c r="F18" i="42"/>
  <c r="F22" i="42" s="1"/>
  <c r="E18" i="42"/>
  <c r="E22" i="42" s="1"/>
  <c r="D18" i="42"/>
  <c r="D22" i="42" s="1"/>
  <c r="C18" i="42"/>
  <c r="C20" i="42" s="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W21" i="31"/>
  <c r="V21" i="31"/>
  <c r="U21" i="31"/>
  <c r="N21" i="31"/>
  <c r="K21" i="31"/>
  <c r="J21" i="31"/>
  <c r="I21" i="31"/>
  <c r="W20" i="31"/>
  <c r="S20" i="31"/>
  <c r="R20" i="31"/>
  <c r="K20" i="31"/>
  <c r="H20" i="31"/>
  <c r="G20" i="31"/>
  <c r="F20" i="31"/>
  <c r="W19" i="31"/>
  <c r="V19" i="31"/>
  <c r="U19" i="31"/>
  <c r="T19" i="31"/>
  <c r="T21" i="31" s="1"/>
  <c r="S19" i="31"/>
  <c r="S21" i="31" s="1"/>
  <c r="R19" i="31"/>
  <c r="R21" i="31" s="1"/>
  <c r="Q19" i="31"/>
  <c r="Q21" i="31" s="1"/>
  <c r="P19" i="31"/>
  <c r="P21" i="31" s="1"/>
  <c r="O19" i="31"/>
  <c r="O21" i="31" s="1"/>
  <c r="N19" i="31"/>
  <c r="M19" i="31"/>
  <c r="M21" i="31" s="1"/>
  <c r="L19" i="31"/>
  <c r="L21" i="31" s="1"/>
  <c r="K19" i="31"/>
  <c r="J19" i="31"/>
  <c r="I19" i="31"/>
  <c r="H19" i="31"/>
  <c r="H21" i="31" s="1"/>
  <c r="G19" i="31"/>
  <c r="G21" i="31" s="1"/>
  <c r="F19" i="31"/>
  <c r="F21" i="31" s="1"/>
  <c r="E19" i="31"/>
  <c r="E21" i="31" s="1"/>
  <c r="D19" i="31"/>
  <c r="D21" i="31" s="1"/>
  <c r="C19" i="31"/>
  <c r="C21" i="31" s="1"/>
  <c r="W18" i="31"/>
  <c r="W22" i="31" s="1"/>
  <c r="V18" i="31"/>
  <c r="U18" i="31"/>
  <c r="T18" i="31"/>
  <c r="S18" i="31"/>
  <c r="S22" i="31" s="1"/>
  <c r="R18" i="31"/>
  <c r="R22" i="31" s="1"/>
  <c r="Q18" i="31"/>
  <c r="Q20" i="31" s="1"/>
  <c r="P18" i="31"/>
  <c r="P20" i="31" s="1"/>
  <c r="O18" i="31"/>
  <c r="O20" i="31" s="1"/>
  <c r="N18" i="31"/>
  <c r="N20" i="31" s="1"/>
  <c r="M18" i="31"/>
  <c r="L18" i="31"/>
  <c r="K18" i="31"/>
  <c r="K22" i="31" s="1"/>
  <c r="J18" i="31"/>
  <c r="I18" i="31"/>
  <c r="H18" i="31"/>
  <c r="H22" i="31" s="1"/>
  <c r="G18" i="31"/>
  <c r="G22" i="31" s="1"/>
  <c r="F18" i="31"/>
  <c r="F22" i="31" s="1"/>
  <c r="E18" i="31"/>
  <c r="E20" i="31" s="1"/>
  <c r="D18" i="31"/>
  <c r="D20" i="31" s="1"/>
  <c r="C18" i="31"/>
  <c r="C20" i="31" s="1"/>
  <c r="S12" i="21"/>
  <c r="S11" i="21"/>
  <c r="M11" i="21"/>
  <c r="M12" i="21"/>
  <c r="J12" i="21"/>
  <c r="J11" i="21"/>
  <c r="G11" i="21"/>
  <c r="G12" i="21"/>
  <c r="K22" i="42" l="1"/>
  <c r="L22" i="42"/>
  <c r="M22" i="42"/>
  <c r="V22" i="42"/>
  <c r="W22" i="42"/>
  <c r="N22" i="42"/>
  <c r="C22" i="42"/>
  <c r="O22" i="42"/>
  <c r="J22" i="31"/>
  <c r="V22" i="31"/>
  <c r="T20" i="31"/>
  <c r="T22" i="31" s="1"/>
  <c r="N22" i="31"/>
  <c r="I20" i="31"/>
  <c r="I22" i="31" s="1"/>
  <c r="U20" i="31"/>
  <c r="U22" i="31" s="1"/>
  <c r="C22" i="31"/>
  <c r="O22" i="31"/>
  <c r="J20" i="31"/>
  <c r="V20" i="31"/>
  <c r="D22" i="31"/>
  <c r="P22" i="31"/>
  <c r="Q22" i="31"/>
  <c r="L20" i="31"/>
  <c r="L22" i="31" s="1"/>
  <c r="E22" i="31"/>
  <c r="M20" i="31"/>
  <c r="M22" i="31" s="1"/>
  <c r="B25" i="42"/>
  <c r="C23" i="42"/>
  <c r="B19" i="42"/>
  <c r="B18" i="42"/>
  <c r="B25" i="31"/>
  <c r="B24" i="31"/>
  <c r="B24" i="42" l="1"/>
  <c r="B20" i="42"/>
  <c r="B22" i="42" s="1"/>
  <c r="B21" i="42"/>
  <c r="C23" i="31" l="1"/>
  <c r="B19" i="31"/>
  <c r="B18" i="31"/>
  <c r="N21" i="37"/>
  <c r="W19" i="37"/>
  <c r="V19" i="37"/>
  <c r="U19" i="37"/>
  <c r="T19" i="37"/>
  <c r="S19" i="37"/>
  <c r="R19" i="37"/>
  <c r="Q19" i="37"/>
  <c r="P19" i="37"/>
  <c r="P21" i="37" s="1"/>
  <c r="O19" i="37"/>
  <c r="O21" i="37" s="1"/>
  <c r="N19" i="37"/>
  <c r="M19" i="37"/>
  <c r="L19" i="37"/>
  <c r="K19" i="37"/>
  <c r="J19" i="37"/>
  <c r="I19" i="37"/>
  <c r="H19" i="37"/>
  <c r="G19" i="37"/>
  <c r="F19" i="37"/>
  <c r="E19" i="37"/>
  <c r="D19" i="37"/>
  <c r="D21" i="37" s="1"/>
  <c r="W18" i="37"/>
  <c r="V18" i="37"/>
  <c r="V20" i="37" s="1"/>
  <c r="V22" i="37" s="1"/>
  <c r="U18" i="37"/>
  <c r="T18" i="37"/>
  <c r="S18" i="37"/>
  <c r="S20" i="37" s="1"/>
  <c r="S22" i="37" s="1"/>
  <c r="R18" i="37"/>
  <c r="R20" i="37" s="1"/>
  <c r="R22" i="37" s="1"/>
  <c r="Q18" i="37"/>
  <c r="P18" i="37"/>
  <c r="O18" i="37"/>
  <c r="N18" i="37"/>
  <c r="M18" i="37"/>
  <c r="L18" i="37"/>
  <c r="K18" i="37"/>
  <c r="K20" i="37" s="1"/>
  <c r="J18" i="37"/>
  <c r="J20" i="37" s="1"/>
  <c r="J22" i="37" s="1"/>
  <c r="I18" i="37"/>
  <c r="I20" i="37" s="1"/>
  <c r="H18" i="37"/>
  <c r="G18" i="37"/>
  <c r="G20" i="37" s="1"/>
  <c r="G22" i="37" s="1"/>
  <c r="F18" i="37"/>
  <c r="F20" i="37" s="1"/>
  <c r="F22" i="37" s="1"/>
  <c r="E18" i="37"/>
  <c r="D18" i="37"/>
  <c r="C19" i="37"/>
  <c r="C18" i="37"/>
  <c r="V21" i="32"/>
  <c r="U21" i="32"/>
  <c r="T21" i="32"/>
  <c r="R21" i="32"/>
  <c r="Q21" i="32"/>
  <c r="M21" i="32"/>
  <c r="J21" i="32"/>
  <c r="I21" i="32"/>
  <c r="H21" i="32"/>
  <c r="F21" i="32"/>
  <c r="E21" i="32"/>
  <c r="V20" i="32"/>
  <c r="R20" i="32"/>
  <c r="Q20" i="32"/>
  <c r="J20" i="32"/>
  <c r="G20" i="32"/>
  <c r="F20" i="32"/>
  <c r="E20" i="32"/>
  <c r="W19" i="32"/>
  <c r="W21" i="32" s="1"/>
  <c r="V19" i="32"/>
  <c r="U19" i="32"/>
  <c r="T19" i="32"/>
  <c r="S19" i="32"/>
  <c r="S21" i="32" s="1"/>
  <c r="R19" i="32"/>
  <c r="Q19" i="32"/>
  <c r="P19" i="32"/>
  <c r="P21" i="32" s="1"/>
  <c r="O19" i="32"/>
  <c r="O20" i="32" s="1"/>
  <c r="N19" i="32"/>
  <c r="N20" i="32" s="1"/>
  <c r="M19" i="32"/>
  <c r="L19" i="32"/>
  <c r="L21" i="32" s="1"/>
  <c r="K19" i="32"/>
  <c r="K21" i="32" s="1"/>
  <c r="J19" i="32"/>
  <c r="I19" i="32"/>
  <c r="H19" i="32"/>
  <c r="G19" i="32"/>
  <c r="G21" i="32" s="1"/>
  <c r="F19" i="32"/>
  <c r="E19" i="32"/>
  <c r="D19" i="32"/>
  <c r="D21" i="32" s="1"/>
  <c r="C19" i="32"/>
  <c r="C20" i="32" s="1"/>
  <c r="W18" i="32"/>
  <c r="W20" i="32" s="1"/>
  <c r="W22" i="32" s="1"/>
  <c r="V18" i="32"/>
  <c r="V22" i="32" s="1"/>
  <c r="U18" i="32"/>
  <c r="T18" i="32"/>
  <c r="S18" i="32"/>
  <c r="R18" i="32"/>
  <c r="R22" i="32" s="1"/>
  <c r="Q18" i="32"/>
  <c r="Q22" i="32" s="1"/>
  <c r="P18" i="32"/>
  <c r="P20" i="32" s="1"/>
  <c r="O18" i="32"/>
  <c r="N18" i="32"/>
  <c r="M18" i="32"/>
  <c r="M20" i="32" s="1"/>
  <c r="L18" i="32"/>
  <c r="L20" i="32" s="1"/>
  <c r="K18" i="32"/>
  <c r="K20" i="32" s="1"/>
  <c r="J18" i="32"/>
  <c r="J22" i="32" s="1"/>
  <c r="I18" i="32"/>
  <c r="H18" i="32"/>
  <c r="G18" i="32"/>
  <c r="G22" i="32" s="1"/>
  <c r="F18" i="32"/>
  <c r="F22" i="32" s="1"/>
  <c r="E18" i="32"/>
  <c r="E22" i="32" s="1"/>
  <c r="D18" i="32"/>
  <c r="D20" i="32" s="1"/>
  <c r="C18" i="32"/>
  <c r="F18" i="21"/>
  <c r="H18" i="21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19" i="37"/>
  <c r="B21" i="37" s="1"/>
  <c r="B18" i="37"/>
  <c r="B20" i="37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19" i="32"/>
  <c r="B21" i="32" s="1"/>
  <c r="B18" i="32"/>
  <c r="Q12" i="21" l="1"/>
  <c r="R12" i="21" s="1"/>
  <c r="J18" i="21"/>
  <c r="P12" i="21"/>
  <c r="B21" i="31"/>
  <c r="K12" i="21"/>
  <c r="B20" i="31"/>
  <c r="B22" i="31" s="1"/>
  <c r="N20" i="37"/>
  <c r="T21" i="37"/>
  <c r="E20" i="37"/>
  <c r="E22" i="37" s="1"/>
  <c r="Q20" i="37"/>
  <c r="Q22" i="37" s="1"/>
  <c r="I21" i="37"/>
  <c r="U21" i="37"/>
  <c r="H21" i="37"/>
  <c r="H20" i="37"/>
  <c r="H22" i="37" s="1"/>
  <c r="T20" i="37"/>
  <c r="T22" i="37" s="1"/>
  <c r="L21" i="37"/>
  <c r="M21" i="37"/>
  <c r="K22" i="37"/>
  <c r="W22" i="37"/>
  <c r="L20" i="37"/>
  <c r="L22" i="37" s="1"/>
  <c r="U20" i="37"/>
  <c r="U22" i="37" s="1"/>
  <c r="M20" i="37"/>
  <c r="M22" i="37" s="1"/>
  <c r="E21" i="37"/>
  <c r="Q21" i="37"/>
  <c r="F21" i="37"/>
  <c r="R21" i="37"/>
  <c r="W20" i="37"/>
  <c r="I22" i="37"/>
  <c r="C21" i="37"/>
  <c r="O20" i="37"/>
  <c r="O22" i="37" s="1"/>
  <c r="G21" i="37"/>
  <c r="S21" i="37"/>
  <c r="J21" i="37"/>
  <c r="V21" i="37"/>
  <c r="K21" i="37"/>
  <c r="W21" i="37"/>
  <c r="N22" i="37"/>
  <c r="P20" i="37"/>
  <c r="P22" i="37" s="1"/>
  <c r="D20" i="37"/>
  <c r="D22" i="37" s="1"/>
  <c r="C20" i="37"/>
  <c r="C22" i="37" s="1"/>
  <c r="T22" i="32"/>
  <c r="C22" i="32"/>
  <c r="U22" i="32"/>
  <c r="O22" i="32"/>
  <c r="I22" i="32"/>
  <c r="N22" i="32"/>
  <c r="L22" i="32"/>
  <c r="S20" i="32"/>
  <c r="S22" i="32" s="1"/>
  <c r="M22" i="32"/>
  <c r="H20" i="32"/>
  <c r="H22" i="32" s="1"/>
  <c r="T20" i="32"/>
  <c r="I20" i="32"/>
  <c r="U20" i="32"/>
  <c r="D22" i="32"/>
  <c r="P22" i="32"/>
  <c r="K22" i="32"/>
  <c r="N21" i="32"/>
  <c r="C21" i="32"/>
  <c r="O21" i="32"/>
  <c r="B22" i="37"/>
  <c r="B20" i="32"/>
  <c r="B22" i="32" s="1"/>
  <c r="P11" i="21" l="1"/>
  <c r="Q11" i="21"/>
  <c r="J24" i="21" s="1" a="1"/>
  <c r="J24" i="21" s="1"/>
  <c r="H12" i="21"/>
  <c r="K11" i="21"/>
  <c r="I13" i="21"/>
  <c r="F13" i="21"/>
  <c r="R11" i="21" l="1"/>
  <c r="R13" i="21" s="1"/>
  <c r="H24" i="21" s="1"/>
  <c r="I24" i="21" a="1"/>
  <c r="I24" i="21" s="1"/>
  <c r="F24" i="21" a="1"/>
  <c r="F24" i="21" s="1"/>
  <c r="G24" i="21" a="1"/>
  <c r="G24" i="21" s="1"/>
  <c r="G13" i="21"/>
  <c r="H11" i="21"/>
  <c r="J13" i="21"/>
  <c r="I18" i="21" s="1"/>
  <c r="K13" i="21" l="1"/>
  <c r="G18" i="21"/>
  <c r="K18" i="21" l="1"/>
  <c r="H19" i="21"/>
  <c r="H13" i="21"/>
  <c r="J19" i="21" l="1"/>
  <c r="F19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<sst xmlns="http://schemas.openxmlformats.org/spreadsheetml/2006/main" count="2607" uniqueCount="417">
  <si>
    <t>POSIZIONE</t>
  </si>
  <si>
    <t>CODICE</t>
  </si>
  <si>
    <t>DESCRIZIONE</t>
  </si>
  <si>
    <t>RILEVATA</t>
  </si>
  <si>
    <t>INTERMEDIARIO</t>
  </si>
  <si>
    <t>DIPENDENZA</t>
  </si>
  <si>
    <t>IN CARICO A</t>
  </si>
  <si>
    <t>SISTEMA AR</t>
  </si>
  <si>
    <t>STATO</t>
  </si>
  <si>
    <t>INDICE PREDITTIVO</t>
  </si>
  <si>
    <t>REGISTRAZIONE</t>
  </si>
  <si>
    <t>NUMERO RAPPORTO</t>
  </si>
  <si>
    <t>DATA OPERAZIONE</t>
  </si>
  <si>
    <t>CAUSALE ANALITICA</t>
  </si>
  <si>
    <t>CAUSALE SINTETICA</t>
  </si>
  <si>
    <t>PAESE INTERMED. CONTROP.</t>
  </si>
  <si>
    <t>SEGNO</t>
  </si>
  <si>
    <t>IMPORTO</t>
  </si>
  <si>
    <t>DI CUI CONTANTE</t>
  </si>
  <si>
    <t>TITOLARE NDG</t>
  </si>
  <si>
    <t>CODICE FISCALE</t>
  </si>
  <si>
    <t>COGNOME E NOME / RAGIONE SOCIALE</t>
  </si>
  <si>
    <t>D21 SAE</t>
  </si>
  <si>
    <t>D22 ATECO</t>
  </si>
  <si>
    <t>PAESE RESIDENZA</t>
  </si>
  <si>
    <t>GESTORE</t>
  </si>
  <si>
    <t>STATO VALUTAZIONE</t>
  </si>
  <si>
    <t>ID ECCEZIONE</t>
  </si>
  <si>
    <t>DATA ULT. VALUTAZIONE</t>
  </si>
  <si>
    <t>UFFICIO</t>
  </si>
  <si>
    <t>AUTORE</t>
  </si>
  <si>
    <t>ULTIMA VALUTAZIONE</t>
  </si>
  <si>
    <t>PRESENZA ALLEGATI</t>
  </si>
  <si>
    <t>ALTRE VALUTAZIONI</t>
  </si>
  <si>
    <t>ANNOMESE</t>
  </si>
  <si>
    <t>Stato</t>
  </si>
  <si>
    <t>flag_stato</t>
  </si>
  <si>
    <t>flg_SCEN_IN_USO</t>
  </si>
  <si>
    <t>CDG</t>
  </si>
  <si>
    <t>flag_OggValut</t>
  </si>
  <si>
    <t>flag_anom_causale</t>
  </si>
  <si>
    <t>ATECO_CODE</t>
  </si>
  <si>
    <t>SAE_CODE</t>
  </si>
  <si>
    <t>SAE_ATECO_CODE</t>
  </si>
  <si>
    <t>Classe_old</t>
  </si>
  <si>
    <t>RES_ATECO</t>
  </si>
  <si>
    <t>Classe</t>
  </si>
  <si>
    <t>053850_105</t>
  </si>
  <si>
    <t>Discovery Day</t>
  </si>
  <si>
    <t>Mai valutato</t>
  </si>
  <si>
    <t>D     - Dare</t>
  </si>
  <si>
    <t>600 - Famiglie consumatrici</t>
  </si>
  <si>
    <t>086 - ITALIA</t>
  </si>
  <si>
    <t>Classe di rischio 7</t>
  </si>
  <si>
    <t>053850_104</t>
  </si>
  <si>
    <t>ARCHIVIATA DA RPR</t>
  </si>
  <si>
    <t>053850_102</t>
  </si>
  <si>
    <t>430 - Imprese produttive</t>
  </si>
  <si>
    <t>Classe di rischio 1</t>
  </si>
  <si>
    <t>A     - Avere</t>
  </si>
  <si>
    <t>053850_103</t>
  </si>
  <si>
    <t>620 - PRODUZIONE DI SOFTWARE, CONSULENZA INFORMATICA E ATTIVITÀ CONNESSE</t>
  </si>
  <si>
    <t>Classe di rischio 3</t>
  </si>
  <si>
    <t>412 - COSTRUZIONE DI EDIFICI RESIDENZIALI E NON RESIDENZIALI</t>
  </si>
  <si>
    <t>ARCHIVIATA</t>
  </si>
  <si>
    <t>492 - Quasi societa' non finanziarie altre - Unita' o societa' con meno di 20 addetti</t>
  </si>
  <si>
    <t>053850_175</t>
  </si>
  <si>
    <t>615 - Altre famiglie produttrici</t>
  </si>
  <si>
    <t>053850_125</t>
  </si>
  <si>
    <t>053850_109</t>
  </si>
  <si>
    <t>053850_136</t>
  </si>
  <si>
    <t>053850_137</t>
  </si>
  <si>
    <t>053850_122</t>
  </si>
  <si>
    <t>EXPRIVIA S.P.A.</t>
  </si>
  <si>
    <t>053850_171</t>
  </si>
  <si>
    <t>053850_121</t>
  </si>
  <si>
    <t>463 - COMMERCIO ALL'INGROSSO DI PRODOTTI ALIMENTARI, BEVANDE E PRODOTTI DEL TABACCO</t>
  </si>
  <si>
    <t>053850_192</t>
  </si>
  <si>
    <t>110 - INDUSTRIA DELLE BEVANDE</t>
  </si>
  <si>
    <t>053850_141</t>
  </si>
  <si>
    <t>053850_270</t>
  </si>
  <si>
    <t>501 - Istituzioni ed enti con finalita' di assistenza, beneficenza, istruzione, culturali, sindacali, politiche, sportive, ricreative e simili</t>
  </si>
  <si>
    <t>UNIONE SPORTIVA LECCE S.P.A.</t>
  </si>
  <si>
    <t>931 - ATTIVITÀ SPORTIVE</t>
  </si>
  <si>
    <t>053850_261</t>
  </si>
  <si>
    <t>464 - COMMERCIO ALL'INGROSSO DI BENI DI CONSUMO FINALE</t>
  </si>
  <si>
    <t>Classe di rischio 4</t>
  </si>
  <si>
    <t>477 - COMMERCIO AL DETTAGLIO DI ALTRI PRODOTTI IN ESERCIZI SPECIALIZZATI</t>
  </si>
  <si>
    <t>151 - PREPARAZIONE E CONCIA DEL CUOIO, FABBRICAZIONE DI ARTICOLI DA VIAGGIO, BORSE, PELLETTERIA E SELLERIA, PREPARAZIONE E TINTURA DI PELLICCE</t>
  </si>
  <si>
    <t>053850_110</t>
  </si>
  <si>
    <t>053850_170</t>
  </si>
  <si>
    <t>614 - Artigiani</t>
  </si>
  <si>
    <t>053850_149</t>
  </si>
  <si>
    <t>494 - TRASPORTO DI MERCI SU STRADA E SERVIZI DI TRASLOCO</t>
  </si>
  <si>
    <t>775 - Famiglie consumatrici di paesi non UE</t>
  </si>
  <si>
    <t>053850_271</t>
  </si>
  <si>
    <t>462 - COMMERCIO ALL'INGROSSO DI MATERIE PRIME AGRICOLE E DI ANIMALI VIVI</t>
  </si>
  <si>
    <t>141 - CONFEZIONE DI ARTICOLI DI ABBIGLIAMENTO (ESCLUSO ABBIGLIAMENTO IN PELLICCIA)</t>
  </si>
  <si>
    <t>053850_174</t>
  </si>
  <si>
    <t>053850_108</t>
  </si>
  <si>
    <t>466 - COMMERCIO ALL'INGROSSO DI ALTRI MACCHINARI, ATTREZZATURE E FORNITURE</t>
  </si>
  <si>
    <t>053850_148</t>
  </si>
  <si>
    <t>RUMMO S.P.A. - SOCIETA' PER AZIONI</t>
  </si>
  <si>
    <t>107 - PRODUZIONE DI PRODOTTI DA FORNO E FARINACEI</t>
  </si>
  <si>
    <t>053850_118</t>
  </si>
  <si>
    <t>433 - COMPLETAMENTO E FINITURA DI EDIFICI</t>
  </si>
  <si>
    <t>053850_161</t>
  </si>
  <si>
    <t>Grand Total</t>
  </si>
  <si>
    <t>False Positive</t>
  </si>
  <si>
    <t>Total</t>
  </si>
  <si>
    <t>% POSIZIONE</t>
  </si>
  <si>
    <t># POSIZIONE</t>
  </si>
  <si>
    <t>Calibrazione 48 - Bonifico in arrivo  &amp; classe 7</t>
  </si>
  <si>
    <t>Thresholds</t>
  </si>
  <si>
    <t>P00</t>
  </si>
  <si>
    <t>P05</t>
  </si>
  <si>
    <t>P10</t>
  </si>
  <si>
    <t>P15</t>
  </si>
  <si>
    <t>P20</t>
  </si>
  <si>
    <t>P25</t>
  </si>
  <si>
    <t>P30</t>
  </si>
  <si>
    <t>P35</t>
  </si>
  <si>
    <t>P40</t>
  </si>
  <si>
    <t>P45</t>
  </si>
  <si>
    <t>P50</t>
  </si>
  <si>
    <t>P55</t>
  </si>
  <si>
    <t>P60</t>
  </si>
  <si>
    <t>P65</t>
  </si>
  <si>
    <t>P70</t>
  </si>
  <si>
    <t>P75</t>
  </si>
  <si>
    <t>P80</t>
  </si>
  <si>
    <t>P85</t>
  </si>
  <si>
    <t>P90</t>
  </si>
  <si>
    <t>P95</t>
  </si>
  <si>
    <t>P100</t>
  </si>
  <si>
    <t>Flase Positive Rate</t>
  </si>
  <si>
    <t>Percentile</t>
  </si>
  <si>
    <t>Percentile_00</t>
  </si>
  <si>
    <t>Percentile_05</t>
  </si>
  <si>
    <t>Percentile_10</t>
  </si>
  <si>
    <t>Percentile_15</t>
  </si>
  <si>
    <t>Percentile_20</t>
  </si>
  <si>
    <t>Percentile_25</t>
  </si>
  <si>
    <t>Percentile_30</t>
  </si>
  <si>
    <t>Percentile_35</t>
  </si>
  <si>
    <t>Percentile_40</t>
  </si>
  <si>
    <t>Percentile_45</t>
  </si>
  <si>
    <t>Percentile_50</t>
  </si>
  <si>
    <t>Percentile_55</t>
  </si>
  <si>
    <t>Percentile_60</t>
  </si>
  <si>
    <t>Percentile_65</t>
  </si>
  <si>
    <t>Percentile_70</t>
  </si>
  <si>
    <t>Percentile_75</t>
  </si>
  <si>
    <t>Percentile_80</t>
  </si>
  <si>
    <t>Percentile_85</t>
  </si>
  <si>
    <t>Percentile_90</t>
  </si>
  <si>
    <t>Percentile_95</t>
  </si>
  <si>
    <t>Percentile_100</t>
  </si>
  <si>
    <t>flag_Percentile_00</t>
  </si>
  <si>
    <t>flag_Percentile_05</t>
  </si>
  <si>
    <t>flag_Percentile_10</t>
  </si>
  <si>
    <t>flag_Percentile_15</t>
  </si>
  <si>
    <t>flag_Percentile_20</t>
  </si>
  <si>
    <t>flag_Percentile_25</t>
  </si>
  <si>
    <t>flag_Percentile_30</t>
  </si>
  <si>
    <t>flag_Percentile_35</t>
  </si>
  <si>
    <t>flag_Percentile_40</t>
  </si>
  <si>
    <t>flag_Percentile_45</t>
  </si>
  <si>
    <t>flag_Percentile_50</t>
  </si>
  <si>
    <t>flag_Percentile_55</t>
  </si>
  <si>
    <t>flag_Percentile_60</t>
  </si>
  <si>
    <t>flag_Percentile_65</t>
  </si>
  <si>
    <t>flag_Percentile_70</t>
  </si>
  <si>
    <t>flag_Percentile_75</t>
  </si>
  <si>
    <t>flag_Percentile_80</t>
  </si>
  <si>
    <t>flag_Percentile_85</t>
  </si>
  <si>
    <t>flag_Percentile_90</t>
  </si>
  <si>
    <t>flag_Percentile_95</t>
  </si>
  <si>
    <t>flag_Percentile_100</t>
  </si>
  <si>
    <t>IN VALUTAZIONE RPR</t>
  </si>
  <si>
    <t>IN CARICO AL GESTORE</t>
  </si>
  <si>
    <t>053850_267</t>
  </si>
  <si>
    <t>26 - Bonifico in partenza</t>
  </si>
  <si>
    <t>48 - Bonifico in arrivo</t>
  </si>
  <si>
    <t>053850_131</t>
  </si>
  <si>
    <t>053850_226</t>
  </si>
  <si>
    <t>012 - COLTIVAZIONE DI COLTURE PERMANENTI</t>
  </si>
  <si>
    <t>053850_168</t>
  </si>
  <si>
    <t>APULIA DISTRIBUZIONE S.R.L.</t>
  </si>
  <si>
    <t>IN CARICO AL RESPONSABILE</t>
  </si>
  <si>
    <t>053850_268</t>
  </si>
  <si>
    <t>479 - COMMERCIO AL DETTAGLIO AL DI FUORI DI NEGOZI, BANCHI E MERCATI</t>
  </si>
  <si>
    <t>INTIMO ARTU' S.R.L.</t>
  </si>
  <si>
    <t>AA - Bonifico da e per estero</t>
  </si>
  <si>
    <t>053850_185</t>
  </si>
  <si>
    <t>076 - TURCHIA</t>
  </si>
  <si>
    <t>053850_190</t>
  </si>
  <si>
    <t>053850_191</t>
  </si>
  <si>
    <t>493 - ALTRI TRASPORTI TERRESTRI DI PASSEGGERI</t>
  </si>
  <si>
    <t>310 - FABBRICAZIONE DI MOBILI</t>
  </si>
  <si>
    <t>552 - ALLOGGI PER VACANZE E ALTRE STRUTTURE PER BREVI SOGGIORNI</t>
  </si>
  <si>
    <t>941 - ATTIVITÀ DI ORGANIZZAZIONI ECONOMICHE, DI DATORI DI LAVORO E PROFESSIONALI</t>
  </si>
  <si>
    <t>053850_120</t>
  </si>
  <si>
    <t>LOIUDICED S.R.L.</t>
  </si>
  <si>
    <t>Min of Percentile_00</t>
  </si>
  <si>
    <t>Min of Percentile_05</t>
  </si>
  <si>
    <t>Min of Percentile_10</t>
  </si>
  <si>
    <t>Min of Percentile_15</t>
  </si>
  <si>
    <t>Min of Percentile_20</t>
  </si>
  <si>
    <t>Min of Percentile_25</t>
  </si>
  <si>
    <t>Min of Percentile_30</t>
  </si>
  <si>
    <t>Min of Percentile_35</t>
  </si>
  <si>
    <t>Min of Percentile_40</t>
  </si>
  <si>
    <t>Min of Percentile_45</t>
  </si>
  <si>
    <t>Min of Percentile_50</t>
  </si>
  <si>
    <t>Min of Percentile_55</t>
  </si>
  <si>
    <t>Min of Percentile_60</t>
  </si>
  <si>
    <t>Min of Percentile_65</t>
  </si>
  <si>
    <t>Min of Percentile_70</t>
  </si>
  <si>
    <t>Min of Percentile_75</t>
  </si>
  <si>
    <t>Min of Percentile_80</t>
  </si>
  <si>
    <t>Min of Percentile_85</t>
  </si>
  <si>
    <t>Min of Percentile_90</t>
  </si>
  <si>
    <t>Min of Percentile_95</t>
  </si>
  <si>
    <t>Min of Percentile_100</t>
  </si>
  <si>
    <t>Sum of flag_Percentile_05</t>
  </si>
  <si>
    <t>Sum of flag_Percentile_00</t>
  </si>
  <si>
    <t>Sum of flag_Percentile_10</t>
  </si>
  <si>
    <t>Sum of flag_Percentile_15</t>
  </si>
  <si>
    <t>Sum of flag_Percentile_20</t>
  </si>
  <si>
    <t>Sum of flag_Percentile_25</t>
  </si>
  <si>
    <t>Sum of flag_Percentile_30</t>
  </si>
  <si>
    <t>Sum of flag_Percentile_35</t>
  </si>
  <si>
    <t>Sum of flag_Percentile_40</t>
  </si>
  <si>
    <t>Sum of flag_Percentile_45</t>
  </si>
  <si>
    <t>Sum of flag_Percentile_50</t>
  </si>
  <si>
    <t>Sum of flag_Percentile_55</t>
  </si>
  <si>
    <t>Sum of flag_Percentile_60</t>
  </si>
  <si>
    <t>Sum of flag_Percentile_65</t>
  </si>
  <si>
    <t>Sum of flag_Percentile_70</t>
  </si>
  <si>
    <t>Sum of flag_Percentile_75</t>
  </si>
  <si>
    <t>Sum of flag_Percentile_80</t>
  </si>
  <si>
    <t>Sum of flag_Percentile_85</t>
  </si>
  <si>
    <t>Sum of flag_Percentile_90</t>
  </si>
  <si>
    <t>Sum of flag_Percentile_95</t>
  </si>
  <si>
    <t>Sum of flag_Percentile_100</t>
  </si>
  <si>
    <t>Open</t>
  </si>
  <si>
    <t>*</t>
  </si>
  <si>
    <t>As-Is</t>
  </si>
  <si>
    <t>Soglia As-Is</t>
  </si>
  <si>
    <t>Index</t>
  </si>
  <si>
    <t>Delta</t>
  </si>
  <si>
    <t>Delta Open Alert</t>
  </si>
  <si>
    <t>Calibrazione 26 - Bonifico in arrivo  &amp; classe 7</t>
  </si>
  <si>
    <t>Count of flag_stato</t>
  </si>
  <si>
    <t>T0</t>
  </si>
  <si>
    <t>Rischio_Paese</t>
  </si>
  <si>
    <t>30</t>
  </si>
  <si>
    <t>Bonifico con Paese dell'intermediario della controparte a rischio</t>
  </si>
  <si>
    <t>071 - SVIZZERA</t>
  </si>
  <si>
    <t>FRNDRS57D59Z131E</t>
  </si>
  <si>
    <t>FERNANDEZ ESCOBAR DOLORES</t>
  </si>
  <si>
    <t>Alta</t>
  </si>
  <si>
    <t>MRACMN64P17H831I</t>
  </si>
  <si>
    <t>MARE CARMINE DONATO</t>
  </si>
  <si>
    <t>053850_140</t>
  </si>
  <si>
    <t>R.G. MANIFATTURE S.R.L.</t>
  </si>
  <si>
    <t>181 - STAMPA E SERVIZI CONNESSI ALLA STAMPA</t>
  </si>
  <si>
    <t>FRRNTN66R18D650V</t>
  </si>
  <si>
    <t>FERRO ANTONIO</t>
  </si>
  <si>
    <t>DSDVCN78D10H926U</t>
  </si>
  <si>
    <t>DESIDERIO VINCENZO</t>
  </si>
  <si>
    <t>182 - ISRAELE</t>
  </si>
  <si>
    <t>278 - MACEDONIA</t>
  </si>
  <si>
    <t>LINEA PELLE S.R.L.</t>
  </si>
  <si>
    <t>103 - HONG KONG</t>
  </si>
  <si>
    <t>LOOP S.R.L.</t>
  </si>
  <si>
    <t>202 - JERSEY C.I.</t>
  </si>
  <si>
    <t>STELLA DEL MARE SRL</t>
  </si>
  <si>
    <t>016 - CINA</t>
  </si>
  <si>
    <t>LA MITO S.R.L. DISTRIBUZIONE</t>
  </si>
  <si>
    <t>Media</t>
  </si>
  <si>
    <t>CONSTRUCTORA CARACAS S.R.L.</t>
  </si>
  <si>
    <t>CCCGNN71D02A930C</t>
  </si>
  <si>
    <t>CACCAVELLI GIOVANNI</t>
  </si>
  <si>
    <t>LEOGRL01A20I330R</t>
  </si>
  <si>
    <t>LEO GABRIELE</t>
  </si>
  <si>
    <t>129 - INDONESIA</t>
  </si>
  <si>
    <t>ITALYON S.R.L.</t>
  </si>
  <si>
    <t>VRNLNR88D41G141N</t>
  </si>
  <si>
    <t>VERNA ELEONORA</t>
  </si>
  <si>
    <t>LA CASA DEI SOGNI SOCIETA' A RESPONSABILITA LIMITATA SEMPLIFICATA</t>
  </si>
  <si>
    <t>MEC WELDING SERVICE SOCIETA' A RESPONSABILITA' LIMITATA SEMPLIFICATA</t>
  </si>
  <si>
    <t>332 - INSTALLAZIONE DI MACCHINE ED APPARECCHIATURE INDUSTRIALI</t>
  </si>
  <si>
    <t>NGRTMS74B24A225L</t>
  </si>
  <si>
    <t>NIGRO TOMMASO</t>
  </si>
  <si>
    <t>799 - ALTRI SERVIZI DI PRENOTAZIONE E ATTIVITÀ CONNESSE</t>
  </si>
  <si>
    <t>MORFINI S.P.A.</t>
  </si>
  <si>
    <t>501 - TRASPORTO MARITTIMO E COSTIERO DI PASSEGGERI</t>
  </si>
  <si>
    <t>SPAZIO RELAX S.P.A.</t>
  </si>
  <si>
    <t>DISTRIBUZIONE ITALIA SRL</t>
  </si>
  <si>
    <t>MHARE S.R.L.</t>
  </si>
  <si>
    <t>721 - RICERCA E SVILUPPO SPERIMENTALE NEL CAMPO DELLE SCIENZE NATURALI E DELL'INGEGNERIA</t>
  </si>
  <si>
    <t>CANTINE PAOLO LEO S.R.L.</t>
  </si>
  <si>
    <t>FORM DESIGN S.R.L.</t>
  </si>
  <si>
    <t>LOLLY &amp; CO. S.R.L.</t>
  </si>
  <si>
    <t>LNZGPP72C63E243R</t>
  </si>
  <si>
    <t>LEONZIO GIUSEPPINA</t>
  </si>
  <si>
    <t>090 - LIECHTENSTEIN</t>
  </si>
  <si>
    <t>CRFGPP48C20F842N</t>
  </si>
  <si>
    <t>CARAFA GIUSEPPE</t>
  </si>
  <si>
    <t>CTLCCF50E43F842C</t>
  </si>
  <si>
    <t>CATALDI CROCEFISSA</t>
  </si>
  <si>
    <t>FEELING MODE SOCIETA' A RESPONSABILITA' LIMI</t>
  </si>
  <si>
    <t>PZZNTN80R28A662J</t>
  </si>
  <si>
    <t>PIZZI ANTONIO</t>
  </si>
  <si>
    <t>026 - ETIOPIA</t>
  </si>
  <si>
    <t>INSIEME PER L'AFRICA - ONLUS</t>
  </si>
  <si>
    <t>NEWAGE S.P.A.</t>
  </si>
  <si>
    <t>RSSNNA50P49E882S</t>
  </si>
  <si>
    <t>ROSSETTI ANNA</t>
  </si>
  <si>
    <t>290 - MONTENEGRO</t>
  </si>
  <si>
    <t>VESUVIOTOUR S.R.L.S.</t>
  </si>
  <si>
    <t>AC BOILERS S.P.A.</t>
  </si>
  <si>
    <t>282 - FABBRICAZIONE DI ALTRE MACCHINE DI IMPIEGO GENERALE</t>
  </si>
  <si>
    <t>SPRPRZ56M52A662A</t>
  </si>
  <si>
    <t>SPERANZA PATRIZIA</t>
  </si>
  <si>
    <t>GGLDNL97R31E919P</t>
  </si>
  <si>
    <t>GIGLIO DANIELE</t>
  </si>
  <si>
    <t>EDWARD SPOSA S.A.S. DI VINO ANTONIA &amp; C.</t>
  </si>
  <si>
    <t>Classe di rischio 5</t>
  </si>
  <si>
    <t>LGRMSM55B16A783Q</t>
  </si>
  <si>
    <t>LIGUORI MASSIMINO</t>
  </si>
  <si>
    <t>DVNFNC67L14A225B</t>
  </si>
  <si>
    <t>DIVINCENZO FRANCESCO</t>
  </si>
  <si>
    <t>RILEVAZIONE SAD</t>
  </si>
  <si>
    <t>M&amp;C DIVISION S.R.L.</t>
  </si>
  <si>
    <t>289 - SERBIA</t>
  </si>
  <si>
    <t>STLBRC67L64A893S</t>
  </si>
  <si>
    <t>STELLACCI BEATRICE</t>
  </si>
  <si>
    <t>MSTNNA46D58G291T</t>
  </si>
  <si>
    <t>MASTRANDREA ANNA</t>
  </si>
  <si>
    <t>053850_180</t>
  </si>
  <si>
    <t>017 - COLOMBIA</t>
  </si>
  <si>
    <t>RIMA IMPIANTI S.R.L.</t>
  </si>
  <si>
    <t>256 - TRATTAMENTO E RIVESTIMENTO DEI METALLI, LAVORI DI MECCANICA GENERALE</t>
  </si>
  <si>
    <t>ZEROTF S.R.L.</t>
  </si>
  <si>
    <t>467 - COMMERCIO ALL'INGROSSO SPECIALIZZATO DI ALTRI PRODOTTI</t>
  </si>
  <si>
    <t>PTRRFL77P26A285L</t>
  </si>
  <si>
    <t>PETRUZZELLI RAFFAELE</t>
  </si>
  <si>
    <t>TECNOHOME INSIDE SRL</t>
  </si>
  <si>
    <t>263 - UCRAINA</t>
  </si>
  <si>
    <t>C.M.D. COSTRUZIONI MOTORI DIESEL S.P.A.</t>
  </si>
  <si>
    <t>291 - KOSOVO</t>
  </si>
  <si>
    <t>053850_252</t>
  </si>
  <si>
    <t>MASSERIA MAVIGLIA SOCIETA' AGRICOLA S.R.L.</t>
  </si>
  <si>
    <t>MACK &amp; SCHUHLE ITALIA S.P.A.</t>
  </si>
  <si>
    <t>EUROFLEX S.R.L.</t>
  </si>
  <si>
    <t>CSNMNN55A67A043M</t>
  </si>
  <si>
    <t>COSENTINI MARIANNA</t>
  </si>
  <si>
    <t>BRLNTN82P21F537V</t>
  </si>
  <si>
    <t>BARILARO ANTONIO</t>
  </si>
  <si>
    <t>DIVITALIA S.R.L. SOCIETA' UNIPERSONALE</t>
  </si>
  <si>
    <t>BR.IT. SOCIETA' A RESPONSABILITA' LIMITATA SEMPLIFICATA</t>
  </si>
  <si>
    <t>GENKO S.R.L.</t>
  </si>
  <si>
    <t>FABRIELLA GROUP S.R.L.</t>
  </si>
  <si>
    <t>GLOBAL FASHION S.R.L.</t>
  </si>
  <si>
    <t>GLNGNN84T29A662P</t>
  </si>
  <si>
    <t>GIULIANI GIOVANNI</t>
  </si>
  <si>
    <t>FRNLRA82L64Z133O</t>
  </si>
  <si>
    <t>FRANCHINI LAURA</t>
  </si>
  <si>
    <t>SNTGNN83R12C975B</t>
  </si>
  <si>
    <t>SANITATE GIOVANNI</t>
  </si>
  <si>
    <t>220 - PORTORICO</t>
  </si>
  <si>
    <t>FDESIGN ITALIA SOCIETA' A RESPONSABILITA' LIMITATA</t>
  </si>
  <si>
    <t>DI CIERO S.R.L.</t>
  </si>
  <si>
    <t>Calibrazione Classe di rischio media</t>
  </si>
  <si>
    <t>Classe di rischio media</t>
  </si>
  <si>
    <t>Classe di rischio alta</t>
  </si>
  <si>
    <r>
      <t xml:space="preserve">La seguente tabella costituisce uno strumento di supporto all’analisi, volto a simulare l’impatto delle soglie calibrate sulla riduzione del numero complessivo di alert e dei falsi positivi generati dallo scnenario </t>
    </r>
    <r>
      <rPr>
        <b/>
        <sz val="11"/>
        <color theme="1"/>
        <rFont val="Calibri"/>
        <family val="2"/>
        <scheme val="minor"/>
      </rPr>
      <t>00030 - Bonifico con Paese dell'intermediario della controparte a rischio</t>
    </r>
  </si>
  <si>
    <t>Numero alert scen 00030</t>
  </si>
  <si>
    <t>ZENTRUM BARI S.R.L.</t>
  </si>
  <si>
    <t>451 - COMMERCIO DI AUTOVEICOLI</t>
  </si>
  <si>
    <t>FARMACIA TREGLIA S.R.L.</t>
  </si>
  <si>
    <t>DOMINI S.R.L.</t>
  </si>
  <si>
    <t>DGSGPP76C20A662C</t>
  </si>
  <si>
    <t>DIGIESI GIUSEPPE</t>
  </si>
  <si>
    <t>691 - ATTIVITÀ DEGLI STUDI LEGALI</t>
  </si>
  <si>
    <t>SCRDNC52P13I744H</t>
  </si>
  <si>
    <t>SCORDAMAGLIA DOMENICO</t>
  </si>
  <si>
    <t>Approcio Prudenziale</t>
  </si>
  <si>
    <t>Approcio Medio</t>
  </si>
  <si>
    <t>Approcio Aggressivo</t>
  </si>
  <si>
    <t>Open Alert Eliminato</t>
  </si>
  <si>
    <t>Calibrazione Classe di rischio Alta</t>
  </si>
  <si>
    <t>delta soglie</t>
  </si>
  <si>
    <t>Delta * Num Alert</t>
  </si>
  <si>
    <t>Num Alert</t>
  </si>
  <si>
    <t>% delta soglie</t>
  </si>
  <si>
    <t>Open Alert</t>
  </si>
  <si>
    <t>Calibrata</t>
  </si>
  <si>
    <t>% Delta Soglie</t>
  </si>
  <si>
    <t>Falso Positivo</t>
  </si>
  <si>
    <t>Totale</t>
  </si>
  <si>
    <t>Tasso Falso Positivo</t>
  </si>
  <si>
    <t>Soglia</t>
  </si>
  <si>
    <t>Falso Positivo Eliminato</t>
  </si>
  <si>
    <t>Totale Alert</t>
  </si>
  <si>
    <t>Alert Falso Positivo</t>
  </si>
  <si>
    <t>IMPORTO Medio</t>
  </si>
  <si>
    <t>IMPORTO Min</t>
  </si>
  <si>
    <t>Soglia Calibrata</t>
  </si>
  <si>
    <t>Min Delta Soglie</t>
  </si>
  <si>
    <t>Max Delta Soglie</t>
  </si>
  <si>
    <t>Min Delta Soglie in %</t>
  </si>
  <si>
    <t>Max Delta Soglie in %</t>
  </si>
  <si>
    <t>L’analisi evidenzia l’importo minimo a livello di rischio Paese, di Paese e di flag di stato.
Falso Positivo =&gt; Flag Stato = 0
Open Alert =&gt; Flag Stato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</si>
</sst>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\ hh:mm:ss"/>
    <numFmt numFmtId="165" formatCode="_-* #,##0\ &quot;€&quot;_-;\-* #,##0\ &quot;€&quot;_-;_-* &quot;-&quot;??\ &quot;€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5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7EB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8">
    <xf numFmtId="0" fontId="0" fillId="0" borderId="0" xfId="0"/>
    <xf numFmtId="164" fontId="0" fillId="0" borderId="0" xfId="0" applyNumberFormat="1"/>
    <xf numFmtId="9" fontId="0" fillId="0" borderId="0" xfId="1" applyFont="1"/>
    <xf numFmtId="0" fontId="0" fillId="0" borderId="1" xfId="0" applyBorder="1"/>
    <xf numFmtId="9" fontId="0" fillId="0" borderId="1" xfId="1" applyFont="1" applyFill="1" applyBorder="1"/>
    <xf numFmtId="0" fontId="0" fillId="0" borderId="2" xfId="0" applyBorder="1"/>
    <xf numFmtId="0" fontId="0" fillId="0" borderId="0" xfId="0" applyAlignment="1">
      <alignment horizontal="center" vertical="center"/>
    </xf>
    <xf numFmtId="44" fontId="0" fillId="0" borderId="0" xfId="0" applyNumberFormat="1"/>
    <xf numFmtId="44" fontId="0" fillId="0" borderId="1" xfId="0" applyNumberFormat="1" applyBorder="1"/>
    <xf numFmtId="0" fontId="4" fillId="2" borderId="1" xfId="0" applyFont="1" applyFill="1" applyBorder="1"/>
    <xf numFmtId="9" fontId="4" fillId="2" borderId="1" xfId="1" applyFont="1" applyFill="1" applyBorder="1"/>
    <xf numFmtId="0" fontId="4" fillId="2" borderId="2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pivotButton="1" applyBorder="1"/>
    <xf numFmtId="10" fontId="0" fillId="0" borderId="1" xfId="0" applyNumberFormat="1" applyBorder="1"/>
    <xf numFmtId="165" fontId="0" fillId="0" borderId="1" xfId="2" applyNumberFormat="1" applyFont="1" applyFill="1" applyBorder="1"/>
    <xf numFmtId="9" fontId="0" fillId="0" borderId="1" xfId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0" fillId="0" borderId="0" xfId="1" applyNumberFormat="1" applyFont="1"/>
    <xf numFmtId="0" fontId="0" fillId="0" borderId="1" xfId="1" applyNumberFormat="1" applyFont="1" applyBorder="1"/>
    <xf numFmtId="165" fontId="4" fillId="2" borderId="1" xfId="0" applyNumberFormat="1" applyFont="1" applyFill="1" applyBorder="1"/>
    <xf numFmtId="9" fontId="0" fillId="0" borderId="0" xfId="0" applyNumberFormat="1"/>
    <xf numFmtId="0" fontId="4" fillId="2" borderId="12" xfId="0" applyFont="1" applyFill="1" applyBorder="1" applyAlignment="1">
      <alignment horizontal="center"/>
    </xf>
    <xf numFmtId="9" fontId="0" fillId="0" borderId="0" xfId="1" applyFont="1" applyBorder="1"/>
    <xf numFmtId="1" fontId="0" fillId="0" borderId="0" xfId="1" applyNumberFormat="1" applyFont="1" applyBorder="1"/>
    <xf numFmtId="0" fontId="0" fillId="0" borderId="0" xfId="1" applyNumberFormat="1" applyFont="1" applyBorder="1"/>
    <xf numFmtId="2" fontId="7" fillId="0" borderId="0" xfId="0" applyNumberFormat="1" applyFon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NumberFormat="1" applyBorder="1"/>
  </cellXfs>
  <cellStyles count="3">
    <cellStyle name="Currency" xfId="2" builtinId="4"/>
    <cellStyle name="Normal" xfId="0" builtinId="0"/>
    <cellStyle name="Percent" xfId="1" builtinId="5"/>
  </cellStyles>
  <dxfs count="108">
    <dxf>
      <numFmt numFmtId="34" formatCode="_-* #,##0.00\ &quot;€&quot;_-;\-* #,##0.00\ &quot;€&quot;_-;_-* &quot;-&quot;??\ &quot;€&quot;_-;_-@_-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34" formatCode="_-* #,##0.00\ &quot;€&quot;_-;\-* #,##0.00\ &quot;€&quot;_-;_-* &quot;-&quot;??\ &quot;€&quot;_-;_-@_-"/>
    </dxf>
  </dxfs>
  <tableStyles count="0" defaultTableStyle="TableStyleMedium9" defaultPivotStyle="PivotStyleLight16"/>
  <colors>
    <mruColors>
      <color rgb="FFEBF1DE"/>
      <color rgb="FF4A7EBB"/>
      <color rgb="FF3292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Media!$A$18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Media!$B$17:$W$17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Media!$B$18:$W$18</c:f>
              <c:numCache>
                <c:formatCode>General</c:formatCode>
                <c:ptCount val="22"/>
                <c:pt idx="0">
                  <c:v>13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3-41D0-9A50-A5708B8DF760}"/>
            </c:ext>
          </c:extLst>
        </c:ser>
        <c:ser>
          <c:idx val="1"/>
          <c:order val="1"/>
          <c:tx>
            <c:strRef>
              <c:f>Media!$A$19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Media!$B$17:$W$17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Media!$B$19:$W$19</c:f>
              <c:numCache>
                <c:formatCode>General</c:formatCode>
                <c:ptCount val="22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3-41D0-9A50-A5708B8DF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Media!$A$22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Media!$C$17:$W$17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Media!$B$22:$W$22</c:f>
              <c:numCache>
                <c:formatCode>0%</c:formatCode>
                <c:ptCount val="22"/>
                <c:pt idx="0">
                  <c:v>0.56521739130434778</c:v>
                </c:pt>
                <c:pt idx="1">
                  <c:v>0.59090909090909094</c:v>
                </c:pt>
                <c:pt idx="2">
                  <c:v>0.6</c:v>
                </c:pt>
                <c:pt idx="3">
                  <c:v>0.61111111111111116</c:v>
                </c:pt>
                <c:pt idx="4">
                  <c:v>0.61111111111111116</c:v>
                </c:pt>
                <c:pt idx="5">
                  <c:v>0.58823529411764708</c:v>
                </c:pt>
                <c:pt idx="6">
                  <c:v>0.66666666666666663</c:v>
                </c:pt>
                <c:pt idx="7">
                  <c:v>0.69230769230769229</c:v>
                </c:pt>
                <c:pt idx="8">
                  <c:v>0.72727272727272729</c:v>
                </c:pt>
                <c:pt idx="9">
                  <c:v>0.72727272727272729</c:v>
                </c:pt>
                <c:pt idx="10">
                  <c:v>0.7</c:v>
                </c:pt>
                <c:pt idx="11">
                  <c:v>0.7</c:v>
                </c:pt>
                <c:pt idx="12">
                  <c:v>0.8571428571428571</c:v>
                </c:pt>
                <c:pt idx="13">
                  <c:v>0.83333333333333337</c:v>
                </c:pt>
                <c:pt idx="14">
                  <c:v>0.83333333333333337</c:v>
                </c:pt>
                <c:pt idx="15">
                  <c:v>0.8</c:v>
                </c:pt>
                <c:pt idx="16">
                  <c:v>0.8</c:v>
                </c:pt>
                <c:pt idx="17">
                  <c:v>0.75</c:v>
                </c:pt>
                <c:pt idx="18">
                  <c:v>0.66666666666666663</c:v>
                </c:pt>
                <c:pt idx="19">
                  <c:v>0.66666666666666663</c:v>
                </c:pt>
                <c:pt idx="20">
                  <c:v>0.5</c:v>
                </c:pt>
                <c:pt idx="2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43-41D0-9A50-A5708B8DF760}"/>
            </c:ext>
          </c:extLst>
        </c:ser>
        <c:ser>
          <c:idx val="3"/>
          <c:order val="3"/>
          <c:tx>
            <c:strRef>
              <c:f>Media!$A$21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Media!$C$17:$W$17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Media!$B$21:$W$21</c:f>
              <c:numCache>
                <c:formatCode>0%</c:formatCode>
                <c:ptCount val="22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0.5</c:v>
                </c:pt>
                <c:pt idx="7">
                  <c:v>0.4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E38-4981-9B10-913EABBB2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Media!$A$24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Media!$B$17:$W$17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Media!$B$24:$W$24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F-437E-BE8D-F7A2D330508B}"/>
            </c:ext>
          </c:extLst>
        </c:ser>
        <c:ser>
          <c:idx val="1"/>
          <c:order val="1"/>
          <c:tx>
            <c:strRef>
              <c:f>Media!$A$25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Media!$B$17:$W$17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Media!$B$25:$W$25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9F-437E-BE8D-F7A2D3305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Media!$A$22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Media!$C$17:$W$17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Media!$B$22:$W$22</c:f>
              <c:numCache>
                <c:formatCode>0%</c:formatCode>
                <c:ptCount val="22"/>
                <c:pt idx="0">
                  <c:v>0.56521739130434778</c:v>
                </c:pt>
                <c:pt idx="1">
                  <c:v>0.59090909090909094</c:v>
                </c:pt>
                <c:pt idx="2">
                  <c:v>0.6</c:v>
                </c:pt>
                <c:pt idx="3">
                  <c:v>0.61111111111111116</c:v>
                </c:pt>
                <c:pt idx="4">
                  <c:v>0.61111111111111116</c:v>
                </c:pt>
                <c:pt idx="5">
                  <c:v>0.58823529411764708</c:v>
                </c:pt>
                <c:pt idx="6">
                  <c:v>0.66666666666666663</c:v>
                </c:pt>
                <c:pt idx="7">
                  <c:v>0.69230769230769229</c:v>
                </c:pt>
                <c:pt idx="8">
                  <c:v>0.72727272727272729</c:v>
                </c:pt>
                <c:pt idx="9">
                  <c:v>0.72727272727272729</c:v>
                </c:pt>
                <c:pt idx="10">
                  <c:v>0.7</c:v>
                </c:pt>
                <c:pt idx="11">
                  <c:v>0.7</c:v>
                </c:pt>
                <c:pt idx="12">
                  <c:v>0.8571428571428571</c:v>
                </c:pt>
                <c:pt idx="13">
                  <c:v>0.83333333333333337</c:v>
                </c:pt>
                <c:pt idx="14">
                  <c:v>0.83333333333333337</c:v>
                </c:pt>
                <c:pt idx="15">
                  <c:v>0.8</c:v>
                </c:pt>
                <c:pt idx="16">
                  <c:v>0.8</c:v>
                </c:pt>
                <c:pt idx="17">
                  <c:v>0.75</c:v>
                </c:pt>
                <c:pt idx="18">
                  <c:v>0.66666666666666663</c:v>
                </c:pt>
                <c:pt idx="19">
                  <c:v>0.66666666666666663</c:v>
                </c:pt>
                <c:pt idx="20">
                  <c:v>0.5</c:v>
                </c:pt>
                <c:pt idx="2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9F-437E-BE8D-F7A2D330508B}"/>
            </c:ext>
          </c:extLst>
        </c:ser>
        <c:ser>
          <c:idx val="3"/>
          <c:order val="3"/>
          <c:tx>
            <c:strRef>
              <c:f>Media!$A$21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Media!$C$17:$W$17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Media!$B$21:$W$21</c:f>
              <c:numCache>
                <c:formatCode>0%</c:formatCode>
                <c:ptCount val="22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0.5</c:v>
                </c:pt>
                <c:pt idx="7">
                  <c:v>0.4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9F-437E-BE8D-F7A2D3305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Alta!$A$18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Alta!$B$17:$W$17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Alta!$B$18:$W$18</c:f>
              <c:numCache>
                <c:formatCode>General</c:formatCode>
                <c:ptCount val="22"/>
                <c:pt idx="0">
                  <c:v>49</c:v>
                </c:pt>
                <c:pt idx="1">
                  <c:v>49</c:v>
                </c:pt>
                <c:pt idx="2">
                  <c:v>46</c:v>
                </c:pt>
                <c:pt idx="3">
                  <c:v>44</c:v>
                </c:pt>
                <c:pt idx="4">
                  <c:v>41</c:v>
                </c:pt>
                <c:pt idx="5">
                  <c:v>39</c:v>
                </c:pt>
                <c:pt idx="6">
                  <c:v>37</c:v>
                </c:pt>
                <c:pt idx="7">
                  <c:v>34</c:v>
                </c:pt>
                <c:pt idx="8">
                  <c:v>32</c:v>
                </c:pt>
                <c:pt idx="9">
                  <c:v>30</c:v>
                </c:pt>
                <c:pt idx="10">
                  <c:v>27</c:v>
                </c:pt>
                <c:pt idx="11">
                  <c:v>25</c:v>
                </c:pt>
                <c:pt idx="12">
                  <c:v>22</c:v>
                </c:pt>
                <c:pt idx="13">
                  <c:v>20</c:v>
                </c:pt>
                <c:pt idx="14">
                  <c:v>17</c:v>
                </c:pt>
                <c:pt idx="15">
                  <c:v>16</c:v>
                </c:pt>
                <c:pt idx="16">
                  <c:v>14</c:v>
                </c:pt>
                <c:pt idx="17">
                  <c:v>10</c:v>
                </c:pt>
                <c:pt idx="18">
                  <c:v>8</c:v>
                </c:pt>
                <c:pt idx="19">
                  <c:v>5</c:v>
                </c:pt>
                <c:pt idx="20">
                  <c:v>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7-40CC-919D-75CD98E0B064}"/>
            </c:ext>
          </c:extLst>
        </c:ser>
        <c:ser>
          <c:idx val="1"/>
          <c:order val="1"/>
          <c:tx>
            <c:strRef>
              <c:f>Alta!$A$19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Alta!$B$17:$W$17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Alta!$B$19:$W$19</c:f>
              <c:numCache>
                <c:formatCode>General</c:formatCode>
                <c:ptCount val="22"/>
                <c:pt idx="0">
                  <c:v>61</c:v>
                </c:pt>
                <c:pt idx="1">
                  <c:v>61</c:v>
                </c:pt>
                <c:pt idx="2">
                  <c:v>55</c:v>
                </c:pt>
                <c:pt idx="3">
                  <c:v>51</c:v>
                </c:pt>
                <c:pt idx="4">
                  <c:v>48</c:v>
                </c:pt>
                <c:pt idx="5">
                  <c:v>47</c:v>
                </c:pt>
                <c:pt idx="6">
                  <c:v>41</c:v>
                </c:pt>
                <c:pt idx="7">
                  <c:v>39</c:v>
                </c:pt>
                <c:pt idx="8">
                  <c:v>39</c:v>
                </c:pt>
                <c:pt idx="9">
                  <c:v>37</c:v>
                </c:pt>
                <c:pt idx="10">
                  <c:v>33</c:v>
                </c:pt>
                <c:pt idx="11">
                  <c:v>32</c:v>
                </c:pt>
                <c:pt idx="12">
                  <c:v>28</c:v>
                </c:pt>
                <c:pt idx="13">
                  <c:v>28</c:v>
                </c:pt>
                <c:pt idx="14">
                  <c:v>25</c:v>
                </c:pt>
                <c:pt idx="15">
                  <c:v>21</c:v>
                </c:pt>
                <c:pt idx="16">
                  <c:v>17</c:v>
                </c:pt>
                <c:pt idx="17">
                  <c:v>16</c:v>
                </c:pt>
                <c:pt idx="18">
                  <c:v>14</c:v>
                </c:pt>
                <c:pt idx="19">
                  <c:v>12</c:v>
                </c:pt>
                <c:pt idx="20">
                  <c:v>10</c:v>
                </c:pt>
                <c:pt idx="2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7-40CC-919D-75CD98E0B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Alta!$A$22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Alta!$C$17:$W$17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Alta!$B$22:$W$22</c:f>
              <c:numCache>
                <c:formatCode>0%</c:formatCode>
                <c:ptCount val="22"/>
                <c:pt idx="0">
                  <c:v>0.44545454545454544</c:v>
                </c:pt>
                <c:pt idx="1">
                  <c:v>0.44545454545454544</c:v>
                </c:pt>
                <c:pt idx="2">
                  <c:v>0.45544554455445546</c:v>
                </c:pt>
                <c:pt idx="3">
                  <c:v>0.4631578947368421</c:v>
                </c:pt>
                <c:pt idx="4">
                  <c:v>0.4606741573033708</c:v>
                </c:pt>
                <c:pt idx="5">
                  <c:v>0.45348837209302323</c:v>
                </c:pt>
                <c:pt idx="6">
                  <c:v>0.47435897435897434</c:v>
                </c:pt>
                <c:pt idx="7">
                  <c:v>0.46575342465753422</c:v>
                </c:pt>
                <c:pt idx="8">
                  <c:v>0.45070422535211269</c:v>
                </c:pt>
                <c:pt idx="9">
                  <c:v>0.44776119402985076</c:v>
                </c:pt>
                <c:pt idx="10">
                  <c:v>0.45</c:v>
                </c:pt>
                <c:pt idx="11">
                  <c:v>0.43859649122807015</c:v>
                </c:pt>
                <c:pt idx="12">
                  <c:v>0.44</c:v>
                </c:pt>
                <c:pt idx="13">
                  <c:v>0.41666666666666669</c:v>
                </c:pt>
                <c:pt idx="14">
                  <c:v>0.40476190476190477</c:v>
                </c:pt>
                <c:pt idx="15">
                  <c:v>0.43243243243243246</c:v>
                </c:pt>
                <c:pt idx="16">
                  <c:v>0.45161290322580644</c:v>
                </c:pt>
                <c:pt idx="17">
                  <c:v>0.38461538461538464</c:v>
                </c:pt>
                <c:pt idx="18">
                  <c:v>0.36363636363636365</c:v>
                </c:pt>
                <c:pt idx="19">
                  <c:v>0.29411764705882354</c:v>
                </c:pt>
                <c:pt idx="20">
                  <c:v>0.23076923076923078</c:v>
                </c:pt>
                <c:pt idx="2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07-40CC-919D-75CD98E0B064}"/>
            </c:ext>
          </c:extLst>
        </c:ser>
        <c:ser>
          <c:idx val="3"/>
          <c:order val="3"/>
          <c:tx>
            <c:strRef>
              <c:f>Alta!$A$21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Alta!$C$17:$W$17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Alta!$B$21:$W$21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0.90163934426229508</c:v>
                </c:pt>
                <c:pt idx="3">
                  <c:v>0.83606557377049184</c:v>
                </c:pt>
                <c:pt idx="4">
                  <c:v>0.78688524590163933</c:v>
                </c:pt>
                <c:pt idx="5">
                  <c:v>0.77049180327868849</c:v>
                </c:pt>
                <c:pt idx="6">
                  <c:v>0.67213114754098358</c:v>
                </c:pt>
                <c:pt idx="7">
                  <c:v>0.63934426229508201</c:v>
                </c:pt>
                <c:pt idx="8">
                  <c:v>0.63934426229508201</c:v>
                </c:pt>
                <c:pt idx="9">
                  <c:v>0.60655737704918034</c:v>
                </c:pt>
                <c:pt idx="10">
                  <c:v>0.54098360655737709</c:v>
                </c:pt>
                <c:pt idx="11">
                  <c:v>0.52459016393442626</c:v>
                </c:pt>
                <c:pt idx="12">
                  <c:v>0.45901639344262296</c:v>
                </c:pt>
                <c:pt idx="13">
                  <c:v>0.45901639344262296</c:v>
                </c:pt>
                <c:pt idx="14">
                  <c:v>0.4098360655737705</c:v>
                </c:pt>
                <c:pt idx="15">
                  <c:v>0.34426229508196721</c:v>
                </c:pt>
                <c:pt idx="16">
                  <c:v>0.27868852459016391</c:v>
                </c:pt>
                <c:pt idx="17">
                  <c:v>0.26229508196721313</c:v>
                </c:pt>
                <c:pt idx="18">
                  <c:v>0.22950819672131148</c:v>
                </c:pt>
                <c:pt idx="19">
                  <c:v>0.19672131147540983</c:v>
                </c:pt>
                <c:pt idx="20">
                  <c:v>0.16393442622950818</c:v>
                </c:pt>
                <c:pt idx="21">
                  <c:v>0.14754098360655737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07-40CC-919D-75CD98E0B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Alta!$A$24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Alta!$B$17:$W$17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Alta!$B$24:$W$24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22</c:v>
                </c:pt>
                <c:pt idx="11">
                  <c:v>24</c:v>
                </c:pt>
                <c:pt idx="12">
                  <c:v>27</c:v>
                </c:pt>
                <c:pt idx="13">
                  <c:v>29</c:v>
                </c:pt>
                <c:pt idx="14">
                  <c:v>32</c:v>
                </c:pt>
                <c:pt idx="15">
                  <c:v>33</c:v>
                </c:pt>
                <c:pt idx="16">
                  <c:v>35</c:v>
                </c:pt>
                <c:pt idx="17">
                  <c:v>39</c:v>
                </c:pt>
                <c:pt idx="18">
                  <c:v>41</c:v>
                </c:pt>
                <c:pt idx="19">
                  <c:v>44</c:v>
                </c:pt>
                <c:pt idx="20">
                  <c:v>46</c:v>
                </c:pt>
                <c:pt idx="2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0-4DC8-A2DD-BEB0CEBA92A1}"/>
            </c:ext>
          </c:extLst>
        </c:ser>
        <c:ser>
          <c:idx val="1"/>
          <c:order val="1"/>
          <c:tx>
            <c:strRef>
              <c:f>Alta!$A$25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Alta!$B$17:$W$17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Alta!$B$25:$W$25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10</c:v>
                </c:pt>
                <c:pt idx="4">
                  <c:v>13</c:v>
                </c:pt>
                <c:pt idx="5">
                  <c:v>14</c:v>
                </c:pt>
                <c:pt idx="6">
                  <c:v>20</c:v>
                </c:pt>
                <c:pt idx="7">
                  <c:v>22</c:v>
                </c:pt>
                <c:pt idx="8">
                  <c:v>22</c:v>
                </c:pt>
                <c:pt idx="9">
                  <c:v>24</c:v>
                </c:pt>
                <c:pt idx="10">
                  <c:v>28</c:v>
                </c:pt>
                <c:pt idx="11">
                  <c:v>29</c:v>
                </c:pt>
                <c:pt idx="12">
                  <c:v>33</c:v>
                </c:pt>
                <c:pt idx="13">
                  <c:v>33</c:v>
                </c:pt>
                <c:pt idx="14">
                  <c:v>36</c:v>
                </c:pt>
                <c:pt idx="15">
                  <c:v>40</c:v>
                </c:pt>
                <c:pt idx="16">
                  <c:v>44</c:v>
                </c:pt>
                <c:pt idx="17">
                  <c:v>45</c:v>
                </c:pt>
                <c:pt idx="18">
                  <c:v>47</c:v>
                </c:pt>
                <c:pt idx="19">
                  <c:v>49</c:v>
                </c:pt>
                <c:pt idx="20">
                  <c:v>51</c:v>
                </c:pt>
                <c:pt idx="2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90-4DC8-A2DD-BEB0CEBA9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Alta!$A$22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Alta!$C$17:$W$17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Alta!$B$22:$W$22</c:f>
              <c:numCache>
                <c:formatCode>0%</c:formatCode>
                <c:ptCount val="22"/>
                <c:pt idx="0">
                  <c:v>0.44545454545454544</c:v>
                </c:pt>
                <c:pt idx="1">
                  <c:v>0.44545454545454544</c:v>
                </c:pt>
                <c:pt idx="2">
                  <c:v>0.45544554455445546</c:v>
                </c:pt>
                <c:pt idx="3">
                  <c:v>0.4631578947368421</c:v>
                </c:pt>
                <c:pt idx="4">
                  <c:v>0.4606741573033708</c:v>
                </c:pt>
                <c:pt idx="5">
                  <c:v>0.45348837209302323</c:v>
                </c:pt>
                <c:pt idx="6">
                  <c:v>0.47435897435897434</c:v>
                </c:pt>
                <c:pt idx="7">
                  <c:v>0.46575342465753422</c:v>
                </c:pt>
                <c:pt idx="8">
                  <c:v>0.45070422535211269</c:v>
                </c:pt>
                <c:pt idx="9">
                  <c:v>0.44776119402985076</c:v>
                </c:pt>
                <c:pt idx="10">
                  <c:v>0.45</c:v>
                </c:pt>
                <c:pt idx="11">
                  <c:v>0.43859649122807015</c:v>
                </c:pt>
                <c:pt idx="12">
                  <c:v>0.44</c:v>
                </c:pt>
                <c:pt idx="13">
                  <c:v>0.41666666666666669</c:v>
                </c:pt>
                <c:pt idx="14">
                  <c:v>0.40476190476190477</c:v>
                </c:pt>
                <c:pt idx="15">
                  <c:v>0.43243243243243246</c:v>
                </c:pt>
                <c:pt idx="16">
                  <c:v>0.45161290322580644</c:v>
                </c:pt>
                <c:pt idx="17">
                  <c:v>0.38461538461538464</c:v>
                </c:pt>
                <c:pt idx="18">
                  <c:v>0.36363636363636365</c:v>
                </c:pt>
                <c:pt idx="19">
                  <c:v>0.29411764705882354</c:v>
                </c:pt>
                <c:pt idx="20">
                  <c:v>0.23076923076923078</c:v>
                </c:pt>
                <c:pt idx="2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90-4DC8-A2DD-BEB0CEBA92A1}"/>
            </c:ext>
          </c:extLst>
        </c:ser>
        <c:ser>
          <c:idx val="3"/>
          <c:order val="3"/>
          <c:tx>
            <c:strRef>
              <c:f>Alta!$A$21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Alta!$C$17:$W$17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Alta!$B$21:$W$21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0.90163934426229508</c:v>
                </c:pt>
                <c:pt idx="3">
                  <c:v>0.83606557377049184</c:v>
                </c:pt>
                <c:pt idx="4">
                  <c:v>0.78688524590163933</c:v>
                </c:pt>
                <c:pt idx="5">
                  <c:v>0.77049180327868849</c:v>
                </c:pt>
                <c:pt idx="6">
                  <c:v>0.67213114754098358</c:v>
                </c:pt>
                <c:pt idx="7">
                  <c:v>0.63934426229508201</c:v>
                </c:pt>
                <c:pt idx="8">
                  <c:v>0.63934426229508201</c:v>
                </c:pt>
                <c:pt idx="9">
                  <c:v>0.60655737704918034</c:v>
                </c:pt>
                <c:pt idx="10">
                  <c:v>0.54098360655737709</c:v>
                </c:pt>
                <c:pt idx="11">
                  <c:v>0.52459016393442626</c:v>
                </c:pt>
                <c:pt idx="12">
                  <c:v>0.45901639344262296</c:v>
                </c:pt>
                <c:pt idx="13">
                  <c:v>0.45901639344262296</c:v>
                </c:pt>
                <c:pt idx="14">
                  <c:v>0.4098360655737705</c:v>
                </c:pt>
                <c:pt idx="15">
                  <c:v>0.34426229508196721</c:v>
                </c:pt>
                <c:pt idx="16">
                  <c:v>0.27868852459016391</c:v>
                </c:pt>
                <c:pt idx="17">
                  <c:v>0.26229508196721313</c:v>
                </c:pt>
                <c:pt idx="18">
                  <c:v>0.22950819672131148</c:v>
                </c:pt>
                <c:pt idx="19">
                  <c:v>0.19672131147540983</c:v>
                </c:pt>
                <c:pt idx="20">
                  <c:v>0.16393442622950818</c:v>
                </c:pt>
                <c:pt idx="21">
                  <c:v>0.14754098360655737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90-4DC8-A2DD-BEB0CEBA9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'48 &amp; 7'!$A$18</c:f>
              <c:strCache>
                <c:ptCount val="1"/>
                <c:pt idx="0">
                  <c:v>False Positive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7'!$B$18:$W$18</c:f>
              <c:numCache>
                <c:formatCode>General</c:formatCode>
                <c:ptCount val="22"/>
                <c:pt idx="0">
                  <c:v>38</c:v>
                </c:pt>
                <c:pt idx="1">
                  <c:v>38</c:v>
                </c:pt>
                <c:pt idx="2">
                  <c:v>37</c:v>
                </c:pt>
                <c:pt idx="3">
                  <c:v>34</c:v>
                </c:pt>
                <c:pt idx="4">
                  <c:v>32</c:v>
                </c:pt>
                <c:pt idx="5">
                  <c:v>30</c:v>
                </c:pt>
                <c:pt idx="6">
                  <c:v>28</c:v>
                </c:pt>
                <c:pt idx="7">
                  <c:v>26</c:v>
                </c:pt>
                <c:pt idx="8">
                  <c:v>25</c:v>
                </c:pt>
                <c:pt idx="9">
                  <c:v>23</c:v>
                </c:pt>
                <c:pt idx="10">
                  <c:v>21</c:v>
                </c:pt>
                <c:pt idx="11">
                  <c:v>19</c:v>
                </c:pt>
                <c:pt idx="12">
                  <c:v>17</c:v>
                </c:pt>
                <c:pt idx="13">
                  <c:v>15</c:v>
                </c:pt>
                <c:pt idx="14">
                  <c:v>13</c:v>
                </c:pt>
                <c:pt idx="15">
                  <c:v>12</c:v>
                </c:pt>
                <c:pt idx="16">
                  <c:v>10</c:v>
                </c:pt>
                <c:pt idx="17">
                  <c:v>8</c:v>
                </c:pt>
                <c:pt idx="18">
                  <c:v>6</c:v>
                </c:pt>
                <c:pt idx="19">
                  <c:v>5</c:v>
                </c:pt>
                <c:pt idx="20">
                  <c:v>2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9-4578-BF3E-AB3FE39C946E}"/>
            </c:ext>
          </c:extLst>
        </c:ser>
        <c:ser>
          <c:idx val="1"/>
          <c:order val="1"/>
          <c:tx>
            <c:strRef>
              <c:f>'48 &amp; 7'!$A$19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7'!$B$19:$W$19</c:f>
              <c:numCache>
                <c:formatCode>General</c:formatCode>
                <c:ptCount val="22"/>
                <c:pt idx="0">
                  <c:v>48</c:v>
                </c:pt>
                <c:pt idx="1">
                  <c:v>48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41</c:v>
                </c:pt>
                <c:pt idx="7">
                  <c:v>32</c:v>
                </c:pt>
                <c:pt idx="8">
                  <c:v>30</c:v>
                </c:pt>
                <c:pt idx="9">
                  <c:v>30</c:v>
                </c:pt>
                <c:pt idx="10">
                  <c:v>21</c:v>
                </c:pt>
                <c:pt idx="11">
                  <c:v>17</c:v>
                </c:pt>
                <c:pt idx="12">
                  <c:v>15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6</c:v>
                </c:pt>
                <c:pt idx="19">
                  <c:v>5</c:v>
                </c:pt>
                <c:pt idx="20">
                  <c:v>2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9-4578-BF3E-AB3FE39C9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'48 &amp; 7'!$A$22</c:f>
              <c:strCache>
                <c:ptCount val="1"/>
                <c:pt idx="0">
                  <c:v>Flase Positive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7'!$B$22:$W$22</c:f>
              <c:numCache>
                <c:formatCode>0%</c:formatCode>
                <c:ptCount val="22"/>
                <c:pt idx="0">
                  <c:v>0.44186046511627908</c:v>
                </c:pt>
                <c:pt idx="1">
                  <c:v>0.44186046511627908</c:v>
                </c:pt>
                <c:pt idx="2">
                  <c:v>0.45121951219512196</c:v>
                </c:pt>
                <c:pt idx="3">
                  <c:v>0.43037974683544306</c:v>
                </c:pt>
                <c:pt idx="4">
                  <c:v>0.41558441558441561</c:v>
                </c:pt>
                <c:pt idx="5">
                  <c:v>0.4</c:v>
                </c:pt>
                <c:pt idx="6">
                  <c:v>0.40579710144927539</c:v>
                </c:pt>
                <c:pt idx="7">
                  <c:v>0.44827586206896552</c:v>
                </c:pt>
                <c:pt idx="8">
                  <c:v>0.45454545454545453</c:v>
                </c:pt>
                <c:pt idx="9">
                  <c:v>0.43396226415094341</c:v>
                </c:pt>
                <c:pt idx="10">
                  <c:v>0.5</c:v>
                </c:pt>
                <c:pt idx="11">
                  <c:v>0.52777777777777779</c:v>
                </c:pt>
                <c:pt idx="12">
                  <c:v>0.53125</c:v>
                </c:pt>
                <c:pt idx="13">
                  <c:v>0.6</c:v>
                </c:pt>
                <c:pt idx="14">
                  <c:v>0.56521739130434778</c:v>
                </c:pt>
                <c:pt idx="15">
                  <c:v>0.54545454545454541</c:v>
                </c:pt>
                <c:pt idx="16">
                  <c:v>0.52631578947368418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C9-4578-BF3E-AB3FE39C946E}"/>
            </c:ext>
          </c:extLst>
        </c:ser>
        <c:ser>
          <c:idx val="3"/>
          <c:order val="3"/>
          <c:tx>
            <c:strRef>
              <c:f>'48 &amp; 7'!$A$21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7'!$B$21:$W$21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0.9375</c:v>
                </c:pt>
                <c:pt idx="3">
                  <c:v>0.9375</c:v>
                </c:pt>
                <c:pt idx="4">
                  <c:v>0.9375</c:v>
                </c:pt>
                <c:pt idx="5">
                  <c:v>0.9375</c:v>
                </c:pt>
                <c:pt idx="6">
                  <c:v>0.85416666666666663</c:v>
                </c:pt>
                <c:pt idx="7">
                  <c:v>0.66666666666666663</c:v>
                </c:pt>
                <c:pt idx="8">
                  <c:v>0.625</c:v>
                </c:pt>
                <c:pt idx="9">
                  <c:v>0.625</c:v>
                </c:pt>
                <c:pt idx="10">
                  <c:v>0.4375</c:v>
                </c:pt>
                <c:pt idx="11">
                  <c:v>0.35416666666666669</c:v>
                </c:pt>
                <c:pt idx="12">
                  <c:v>0.3125</c:v>
                </c:pt>
                <c:pt idx="13">
                  <c:v>0.20833333333333334</c:v>
                </c:pt>
                <c:pt idx="14">
                  <c:v>0.20833333333333334</c:v>
                </c:pt>
                <c:pt idx="15">
                  <c:v>0.20833333333333334</c:v>
                </c:pt>
                <c:pt idx="16">
                  <c:v>0.1875</c:v>
                </c:pt>
                <c:pt idx="17">
                  <c:v>0.16666666666666666</c:v>
                </c:pt>
                <c:pt idx="18">
                  <c:v>0.125</c:v>
                </c:pt>
                <c:pt idx="19">
                  <c:v>0.10416666666666667</c:v>
                </c:pt>
                <c:pt idx="20">
                  <c:v>4.1666666666666664E-2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C9-4578-BF3E-AB3FE39C9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'26 &amp; 7'!$A$18</c:f>
              <c:strCache>
                <c:ptCount val="1"/>
                <c:pt idx="0">
                  <c:v>False Positive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7'!$B$18:$W$18</c:f>
              <c:numCache>
                <c:formatCode>General</c:formatCode>
                <c:ptCount val="22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3-4DD2-9A16-10AF057A4FD7}"/>
            </c:ext>
          </c:extLst>
        </c:ser>
        <c:ser>
          <c:idx val="1"/>
          <c:order val="1"/>
          <c:tx>
            <c:strRef>
              <c:f>'26 &amp; 7'!$A$19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7'!$B$19:$W$19</c:f>
              <c:numCache>
                <c:formatCode>General</c:formatCode>
                <c:ptCount val="22"/>
                <c:pt idx="0">
                  <c:v>26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</c:v>
                </c:pt>
                <c:pt idx="12">
                  <c:v>22</c:v>
                </c:pt>
                <c:pt idx="13">
                  <c:v>14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3-4DD2-9A16-10AF057A4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'26 &amp; 7'!$A$22</c:f>
              <c:strCache>
                <c:ptCount val="1"/>
                <c:pt idx="0">
                  <c:v>Flase Positive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7'!$B$22:$W$22</c:f>
              <c:numCache>
                <c:formatCode>0%</c:formatCode>
                <c:ptCount val="22"/>
                <c:pt idx="0">
                  <c:v>0.35</c:v>
                </c:pt>
                <c:pt idx="1">
                  <c:v>0.36842105263157893</c:v>
                </c:pt>
                <c:pt idx="2">
                  <c:v>0.36842105263157893</c:v>
                </c:pt>
                <c:pt idx="3">
                  <c:v>0.36842105263157893</c:v>
                </c:pt>
                <c:pt idx="4">
                  <c:v>0.36842105263157893</c:v>
                </c:pt>
                <c:pt idx="5">
                  <c:v>0.36842105263157893</c:v>
                </c:pt>
                <c:pt idx="6">
                  <c:v>0.36842105263157893</c:v>
                </c:pt>
                <c:pt idx="7">
                  <c:v>0.36842105263157893</c:v>
                </c:pt>
                <c:pt idx="8">
                  <c:v>0.36842105263157893</c:v>
                </c:pt>
                <c:pt idx="9">
                  <c:v>0.25</c:v>
                </c:pt>
                <c:pt idx="10">
                  <c:v>0.25</c:v>
                </c:pt>
                <c:pt idx="11">
                  <c:v>0.23333333333333334</c:v>
                </c:pt>
                <c:pt idx="12">
                  <c:v>0.21428571428571427</c:v>
                </c:pt>
                <c:pt idx="13">
                  <c:v>0.3</c:v>
                </c:pt>
                <c:pt idx="14">
                  <c:v>0.27777777777777779</c:v>
                </c:pt>
                <c:pt idx="15">
                  <c:v>0.27777777777777779</c:v>
                </c:pt>
                <c:pt idx="16">
                  <c:v>0.27777777777777779</c:v>
                </c:pt>
                <c:pt idx="17">
                  <c:v>0.21428571428571427</c:v>
                </c:pt>
                <c:pt idx="18">
                  <c:v>0.15384615384615385</c:v>
                </c:pt>
                <c:pt idx="19">
                  <c:v>0.15384615384615385</c:v>
                </c:pt>
                <c:pt idx="20">
                  <c:v>0.25</c:v>
                </c:pt>
                <c:pt idx="2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63-4DD2-9A16-10AF057A4FD7}"/>
            </c:ext>
          </c:extLst>
        </c:ser>
        <c:ser>
          <c:idx val="3"/>
          <c:order val="3"/>
          <c:tx>
            <c:strRef>
              <c:f>'26 &amp; 7'!$A$21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7'!$B$21:$W$21</c:f>
              <c:numCache>
                <c:formatCode>0%</c:formatCode>
                <c:ptCount val="22"/>
                <c:pt idx="0">
                  <c:v>1</c:v>
                </c:pt>
                <c:pt idx="1">
                  <c:v>0.92307692307692313</c:v>
                </c:pt>
                <c:pt idx="2">
                  <c:v>0.92307692307692313</c:v>
                </c:pt>
                <c:pt idx="3">
                  <c:v>0.92307692307692313</c:v>
                </c:pt>
                <c:pt idx="4">
                  <c:v>0.92307692307692313</c:v>
                </c:pt>
                <c:pt idx="5">
                  <c:v>0.92307692307692313</c:v>
                </c:pt>
                <c:pt idx="6">
                  <c:v>0.92307692307692313</c:v>
                </c:pt>
                <c:pt idx="7">
                  <c:v>0.92307692307692313</c:v>
                </c:pt>
                <c:pt idx="8">
                  <c:v>0.92307692307692313</c:v>
                </c:pt>
                <c:pt idx="9">
                  <c:v>0.92307692307692313</c:v>
                </c:pt>
                <c:pt idx="10">
                  <c:v>0.92307692307692313</c:v>
                </c:pt>
                <c:pt idx="11">
                  <c:v>0.88461538461538458</c:v>
                </c:pt>
                <c:pt idx="12">
                  <c:v>0.84615384615384615</c:v>
                </c:pt>
                <c:pt idx="13">
                  <c:v>0.53846153846153844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0.42307692307692307</c:v>
                </c:pt>
                <c:pt idx="18">
                  <c:v>0.42307692307692307</c:v>
                </c:pt>
                <c:pt idx="19">
                  <c:v>0.42307692307692307</c:v>
                </c:pt>
                <c:pt idx="20">
                  <c:v>0.11538461538461539</c:v>
                </c:pt>
                <c:pt idx="21">
                  <c:v>3.8461538461538464E-2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63-4DD2-9A16-10AF057A4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28</xdr:row>
      <xdr:rowOff>146050</xdr:rowOff>
    </xdr:from>
    <xdr:to>
      <xdr:col>8</xdr:col>
      <xdr:colOff>1010067</xdr:colOff>
      <xdr:row>68</xdr:row>
      <xdr:rowOff>53729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BDA734-E011-486F-A3D4-5A5D93826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1076742</xdr:colOff>
      <xdr:row>68</xdr:row>
      <xdr:rowOff>98179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6DE2B6-5A2D-489C-97C7-D9C76F929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28</xdr:row>
      <xdr:rowOff>146050</xdr:rowOff>
    </xdr:from>
    <xdr:to>
      <xdr:col>8</xdr:col>
      <xdr:colOff>1010067</xdr:colOff>
      <xdr:row>68</xdr:row>
      <xdr:rowOff>53729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62C81C-DA7C-4540-B2F3-1AA1FB639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1076742</xdr:colOff>
      <xdr:row>68</xdr:row>
      <xdr:rowOff>98179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170F08-8C3D-480E-9A33-A701CD2F2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24</xdr:row>
      <xdr:rowOff>63500</xdr:rowOff>
    </xdr:from>
    <xdr:to>
      <xdr:col>7</xdr:col>
      <xdr:colOff>1248192</xdr:colOff>
      <xdr:row>63</xdr:row>
      <xdr:rowOff>161679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30529A-75C6-4834-9537-53520C80A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24</xdr:row>
      <xdr:rowOff>63500</xdr:rowOff>
    </xdr:from>
    <xdr:to>
      <xdr:col>7</xdr:col>
      <xdr:colOff>1248192</xdr:colOff>
      <xdr:row>63</xdr:row>
      <xdr:rowOff>161679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D22E5-61AB-48D9-B910-452DC9480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ari, Sepehr" refreshedDate="45938.645723842594" createdVersion="8" refreshedVersion="8" minRefreshableVersion="3" recordCount="961" xr:uid="{687FFF08-AF14-4FBB-9749-37E7449933D6}">
  <cacheSource type="worksheet">
    <worksheetSource ref="A1:CK962" sheet="Data"/>
  </cacheSource>
  <cacheFields count="89">
    <cacheField name="POSIZIONE" numFmtId="0">
      <sharedItems containsSemiMixedTypes="0" containsString="0" containsNumber="1" containsInteger="1" minValue="329158" maxValue="360665"/>
    </cacheField>
    <cacheField name="CODICE" numFmtId="0">
      <sharedItems/>
    </cacheField>
    <cacheField name="DESCRIZIONE" numFmtId="0">
      <sharedItems/>
    </cacheField>
    <cacheField name="RILEVATA" numFmtId="164">
      <sharedItems containsSemiMixedTypes="0" containsNonDate="0" containsDate="1" containsString="0" minDate="2025-04-02T00:00:00" maxDate="2025-07-02T00:00:00"/>
    </cacheField>
    <cacheField name="INTERMEDIARIO" numFmtId="0">
      <sharedItems containsSemiMixedTypes="0" containsString="0" containsNumber="1" containsInteger="1" minValue="53850" maxValue="53850"/>
    </cacheField>
    <cacheField name="DIPENDENZA" numFmtId="0">
      <sharedItems containsSemiMixedTypes="0" containsString="0" containsNumber="1" containsInteger="1" minValue="99" maxValue="287"/>
    </cacheField>
    <cacheField name="IN CARICO A" numFmtId="0">
      <sharedItems/>
    </cacheField>
    <cacheField name="SISTEMA AR" numFmtId="0">
      <sharedItems/>
    </cacheField>
    <cacheField name="STATO" numFmtId="0">
      <sharedItems/>
    </cacheField>
    <cacheField name="INDICE PREDITTIVO" numFmtId="0">
      <sharedItems containsNonDate="0" containsString="0" containsBlank="1"/>
    </cacheField>
    <cacheField name="REGISTRAZIONE" numFmtId="0">
      <sharedItems containsMixedTypes="1" containsNumber="1" containsInteger="1" minValue="202504017856853" maxValue="202506308141975"/>
    </cacheField>
    <cacheField name="NUMERO RAPPORTO" numFmtId="0">
      <sharedItems containsSemiMixedTypes="0" containsString="0" containsNumber="1" containsInteger="1" minValue="999361870311" maxValue="2873300000860"/>
    </cacheField>
    <cacheField name="DATA OPERAZIONE" numFmtId="0">
      <sharedItems containsSemiMixedTypes="0" containsString="0" containsNumber="1" containsInteger="1" minValue="20250401" maxValue="20250630"/>
    </cacheField>
    <cacheField name="CAUSALE ANALITICA" numFmtId="0">
      <sharedItems count="34">
        <s v="SPECIAL"/>
        <s v="48 - Bonifico in arrivo"/>
        <s v="15 - Rimborso finanziamenti"/>
        <s v="26 - Bonifico in partenza"/>
        <s v="31 - Effetti ritirati"/>
        <s v="A7 - Erogazione finanziamenti diversi e prestiti personali"/>
        <s v="13 - Addebito per estinzione assegno"/>
        <s v="BB - Acquisto a pronti titoli e diritti d'opzione"/>
        <s v="39 - Disposizione per emolumenti"/>
        <s v="10 - Emisione assegni circolari e titoli similari vaglia"/>
        <s v="27 - Emolumenti"/>
        <s v="25 - Pagamento di documenti su Italia"/>
        <s v="BL - Rimborso finanziamento import"/>
        <s v="AF - Disp.giro conti diversi intestati ordinante(stesso intermed.)"/>
        <s v="C6 - Uscita dossier titoli a fronte c/c diversam.intestato(portatore)"/>
        <s v="50 - Pagamenti diversi"/>
        <s v="D7 - Addebito o incasso per contratti derivati"/>
        <s v="D6 - Accred.o incasso per contratti derivati"/>
        <s v="BT - Rimborso su libretti a risparmio"/>
        <s v="BU - Deposito su libretti a risparmio"/>
        <s v="BE - Sottoscrizione titoli e/o fondi comuni"/>
        <s v="BF - Rimborso titoli e/o fondi comuni"/>
        <s v="54 - Incassi diversi"/>
        <s v="52 - Prelevamento con moduli di sportello"/>
        <s v="BI - Erogazione finanziamento import"/>
        <s v="BQ - Pagam. rimesse docum. da o per estero"/>
        <s v="C4 - Trasferim.titoli a altro istituto(portatore)"/>
        <s v="C2 - Trasf.titoli tra dossier(immissione)"/>
        <s v="29 - Accrediti o incasso RI.BA."/>
        <s v="C5 - Immiss.dossier titoli a fronte c/c diversam.intestato(portatore)"/>
        <s v="AA - Bonifico da e per estero"/>
        <s v="BA - Vendita a prodotti titoli e diritti d'opzione"/>
        <s v="C1 - Trasferim.titoli tra dossier(uscita)"/>
        <s v="56 - Ricavo effetti o assegni in euro e/o valuta estera al dopo incasso"/>
      </sharedItems>
    </cacheField>
    <cacheField name="CAUSALE SINTETICA" numFmtId="0">
      <sharedItems containsNonDate="0" containsString="0" containsBlank="1"/>
    </cacheField>
    <cacheField name="PAESE INTERMED. CONTROP." numFmtId="0">
      <sharedItems containsBlank="1"/>
    </cacheField>
    <cacheField name="SEGNO" numFmtId="0">
      <sharedItems/>
    </cacheField>
    <cacheField name="IMPORTO" numFmtId="0">
      <sharedItems containsSemiMixedTypes="0" containsString="0" containsNumber="1" minValue="1000" maxValue="75195700.159999996"/>
    </cacheField>
    <cacheField name="DI CUI CONTANTE" numFmtId="0">
      <sharedItems containsSemiMixedTypes="0" containsString="0" containsNumber="1" minValue="0" maxValue="1078.94"/>
    </cacheField>
    <cacheField name="TITOLARE NDG" numFmtId="0">
      <sharedItems containsSemiMixedTypes="0" containsString="0" containsNumber="1" containsInteger="1" minValue="4019" maxValue="4996689"/>
    </cacheField>
    <cacheField name="CODICE FISCALE" numFmtId="0">
      <sharedItems containsBlank="1" containsMixedTypes="1" containsNumber="1" containsInteger="1" minValue="55560775" maxValue="92008910637"/>
    </cacheField>
    <cacheField name="COGNOME E NOME / RAGIONE SOCIALE" numFmtId="0">
      <sharedItems/>
    </cacheField>
    <cacheField name="D21 SAE" numFmtId="0">
      <sharedItems/>
    </cacheField>
    <cacheField name="D22 ATECO" numFmtId="0">
      <sharedItems containsBlank="1"/>
    </cacheField>
    <cacheField name="PAESE RESIDENZA" numFmtId="0">
      <sharedItems/>
    </cacheField>
    <cacheField name="GESTORE" numFmtId="0">
      <sharedItems containsString="0" containsBlank="1" containsNumber="1" containsInteger="1" minValue="363" maxValue="1961"/>
    </cacheField>
    <cacheField name="STATO VALUTAZIONE" numFmtId="0">
      <sharedItems containsNonDate="0" containsString="0" containsBlank="1"/>
    </cacheField>
    <cacheField name="ID ECCEZIONE" numFmtId="0">
      <sharedItems containsNonDate="0" containsString="0" containsBlank="1"/>
    </cacheField>
    <cacheField name="DATA ULT. VALUTAZIONE" numFmtId="0">
      <sharedItems containsNonDate="0" containsString="0" containsBlank="1"/>
    </cacheField>
    <cacheField name="UFFICIO" numFmtId="0">
      <sharedItems containsNonDate="0" containsString="0" containsBlank="1"/>
    </cacheField>
    <cacheField name="AUTORE" numFmtId="0">
      <sharedItems containsNonDate="0" containsString="0" containsBlank="1"/>
    </cacheField>
    <cacheField name="ULTIMA VALUTAZIONE" numFmtId="0">
      <sharedItems containsNonDate="0" containsString="0" containsBlank="1"/>
    </cacheField>
    <cacheField name="PRESENZA ALLEGATI" numFmtId="0">
      <sharedItems containsNonDate="0" containsString="0" containsBlank="1"/>
    </cacheField>
    <cacheField name="ALTRE VALUTAZIONI" numFmtId="0">
      <sharedItems containsSemiMixedTypes="0" containsString="0" containsNumber="1" containsInteger="1" minValue="0" maxValue="0"/>
    </cacheField>
    <cacheField name="ANNOMESE" numFmtId="0">
      <sharedItems containsSemiMixedTypes="0" containsString="0" containsNumber="1" containsInteger="1" minValue="202504" maxValue="202506"/>
    </cacheField>
    <cacheField name="Stato2" numFmtId="0">
      <sharedItems containsBlank="1"/>
    </cacheField>
    <cacheField name="flag_stato" numFmtId="0">
      <sharedItems containsSemiMixedTypes="0" containsString="0" containsNumber="1" containsInteger="1" minValue="0" maxValue="1" count="2">
        <n v="0"/>
        <n v="1"/>
      </sharedItems>
    </cacheField>
    <cacheField name="flg_SCEN_IN_USO" numFmtId="0">
      <sharedItems containsSemiMixedTypes="0" containsString="0" containsNumber="1" containsInteger="1" minValue="1" maxValue="1"/>
    </cacheField>
    <cacheField name="CDG" numFmtId="0">
      <sharedItems containsNonDate="0" containsString="0" containsBlank="1"/>
    </cacheField>
    <cacheField name="flag_OggValut" numFmtId="0">
      <sharedItems containsNonDate="0" containsString="0" containsBlank="1"/>
    </cacheField>
    <cacheField name="flag_anom_causale" numFmtId="0">
      <sharedItems containsSemiMixedTypes="0" containsString="0" containsNumber="1" containsInteger="1" minValue="0" maxValue="1"/>
    </cacheField>
    <cacheField name="ATECO_CODE" numFmtId="0">
      <sharedItems containsSemiMixedTypes="0" containsString="0" containsNumber="1" containsInteger="1" minValue="236" maxValue="999"/>
    </cacheField>
    <cacheField name="SAE_CODE" numFmtId="0">
      <sharedItems containsSemiMixedTypes="0" containsString="0" containsNumber="1" containsInteger="1" minValue="102" maxValue="775"/>
    </cacheField>
    <cacheField name="SAE_ATECO_CODE" numFmtId="0">
      <sharedItems containsSemiMixedTypes="0" containsString="0" containsNumber="1" containsInteger="1" minValue="102999" maxValue="775999"/>
    </cacheField>
    <cacheField name="Classe_old" numFmtId="0">
      <sharedItems containsBlank="1"/>
    </cacheField>
    <cacheField name="RES_ATECO" numFmtId="0">
      <sharedItems containsString="0" containsBlank="1" containsNumber="1" containsInteger="1" minValue="1" maxValue="1"/>
    </cacheField>
    <cacheField name="Classe" numFmtId="0">
      <sharedItems count="7">
        <s v="Classe di rischio 0"/>
        <s v="Classe di rischio 7"/>
        <s v="Classe di rischio 4"/>
        <s v="Classe di rischio 1"/>
        <s v="Classe di rischio 3"/>
        <s v="Classe di rischio 2"/>
        <s v="Classe di rischio 6"/>
      </sharedItems>
    </cacheField>
    <cacheField name="Percentile_00" numFmtId="0">
      <sharedItems containsString="0" containsBlank="1" containsNumber="1" minValue="1004.79" maxValue="15000000"/>
    </cacheField>
    <cacheField name="Percentile_05" numFmtId="0">
      <sharedItems containsString="0" containsBlank="1" containsNumber="1" minValue="1022.5295" maxValue="15000000"/>
    </cacheField>
    <cacheField name="Percentile_10" numFmtId="0">
      <sharedItems containsString="0" containsBlank="1" containsNumber="1" minValue="1032.5340000000001" maxValue="15000000"/>
    </cacheField>
    <cacheField name="Percentile_15" numFmtId="0">
      <sharedItems containsString="0" containsBlank="1" containsNumber="1" minValue="1093.4939999999999" maxValue="15000000"/>
    </cacheField>
    <cacheField name="Percentile_20" numFmtId="0">
      <sharedItems containsString="0" containsBlank="1" containsNumber="1" minValue="1160.46" maxValue="15000000"/>
    </cacheField>
    <cacheField name="Percentile_25" numFmtId="0">
      <sharedItems containsString="0" containsBlank="1" containsNumber="1" minValue="1198.615" maxValue="15000000"/>
    </cacheField>
    <cacheField name="Percentile_30" numFmtId="0">
      <sharedItems containsString="0" containsBlank="1" containsNumber="1" minValue="1236.346" maxValue="15000000"/>
    </cacheField>
    <cacheField name="Percentile_35" numFmtId="0">
      <sharedItems containsString="0" containsBlank="1" containsNumber="1" minValue="1329.982" maxValue="15000000"/>
    </cacheField>
    <cacheField name="Percentile_40" numFmtId="0">
      <sharedItems containsString="0" containsBlank="1" containsNumber="1" minValue="1462.298" maxValue="15000000"/>
    </cacheField>
    <cacheField name="Percentile_45" numFmtId="0">
      <sharedItems containsString="0" containsBlank="1" containsNumber="1" minValue="1576.251" maxValue="15000000"/>
    </cacheField>
    <cacheField name="Percentile_50" numFmtId="0">
      <sharedItems containsString="0" containsBlank="1" containsNumber="1" minValue="1740.5650000000001" maxValue="15000000"/>
    </cacheField>
    <cacheField name="Percentile_55" numFmtId="0">
      <sharedItems containsString="0" containsBlank="1" containsNumber="1" minValue="1870.8030000000001" maxValue="15000000"/>
    </cacheField>
    <cacheField name="Percentile_60" numFmtId="0">
      <sharedItems containsString="0" containsBlank="1" containsNumber="1" minValue="1911.9860000000001" maxValue="15000000"/>
    </cacheField>
    <cacheField name="Percentile_65" numFmtId="0">
      <sharedItems containsString="0" containsBlank="1" containsNumber="1" minValue="2001.66" maxValue="15000000"/>
    </cacheField>
    <cacheField name="Percentile_70" numFmtId="0">
      <sharedItems containsString="0" containsBlank="1" containsNumber="1" minValue="2015.43" maxValue="15000000"/>
    </cacheField>
    <cacheField name="Percentile_75" numFmtId="0">
      <sharedItems containsString="0" containsBlank="1" containsNumber="1" minValue="2053.8674999999998" maxValue="15000000"/>
    </cacheField>
    <cacheField name="Percentile_80" numFmtId="0">
      <sharedItems containsString="0" containsBlank="1" containsNumber="1" minValue="2113.5100000000002" maxValue="15000000"/>
    </cacheField>
    <cacheField name="Percentile_85" numFmtId="0">
      <sharedItems containsString="0" containsBlank="1" containsNumber="1" minValue="2273.3445000000002" maxValue="15000000"/>
    </cacheField>
    <cacheField name="Percentile_90" numFmtId="0">
      <sharedItems containsString="0" containsBlank="1" containsNumber="1" minValue="13659.61300000003" maxValue="15000000"/>
    </cacheField>
    <cacheField name="Percentile_95" numFmtId="0">
      <sharedItems containsString="0" containsBlank="1" containsNumber="1" minValue="40752.654000000002" maxValue="15000000"/>
    </cacheField>
    <cacheField name="Percentile_100" numFmtId="0">
      <sharedItems containsString="0" containsBlank="1" containsNumber="1" minValue="42791.93" maxValue="15500000"/>
    </cacheField>
    <cacheField name="flag_Percentile_00" numFmtId="0">
      <sharedItems containsSemiMixedTypes="0" containsString="0" containsNumber="1" containsInteger="1" minValue="0" maxValue="1"/>
    </cacheField>
    <cacheField name="flag_Percentile_05" numFmtId="0">
      <sharedItems containsSemiMixedTypes="0" containsString="0" containsNumber="1" containsInteger="1" minValue="0" maxValue="1"/>
    </cacheField>
    <cacheField name="flag_Percentile_10" numFmtId="0">
      <sharedItems containsSemiMixedTypes="0" containsString="0" containsNumber="1" containsInteger="1" minValue="0" maxValue="1"/>
    </cacheField>
    <cacheField name="flag_Percentile_15" numFmtId="0">
      <sharedItems containsSemiMixedTypes="0" containsString="0" containsNumber="1" containsInteger="1" minValue="0" maxValue="1"/>
    </cacheField>
    <cacheField name="flag_Percentile_20" numFmtId="0">
      <sharedItems containsSemiMixedTypes="0" containsString="0" containsNumber="1" containsInteger="1" minValue="0" maxValue="1"/>
    </cacheField>
    <cacheField name="flag_Percentile_25" numFmtId="0">
      <sharedItems containsSemiMixedTypes="0" containsString="0" containsNumber="1" containsInteger="1" minValue="0" maxValue="1"/>
    </cacheField>
    <cacheField name="flag_Percentile_30" numFmtId="0">
      <sharedItems containsSemiMixedTypes="0" containsString="0" containsNumber="1" containsInteger="1" minValue="0" maxValue="1"/>
    </cacheField>
    <cacheField name="flag_Percentile_35" numFmtId="0">
      <sharedItems containsSemiMixedTypes="0" containsString="0" containsNumber="1" containsInteger="1" minValue="0" maxValue="1"/>
    </cacheField>
    <cacheField name="flag_Percentile_40" numFmtId="0">
      <sharedItems containsSemiMixedTypes="0" containsString="0" containsNumber="1" containsInteger="1" minValue="0" maxValue="1"/>
    </cacheField>
    <cacheField name="flag_Percentile_45" numFmtId="0">
      <sharedItems containsSemiMixedTypes="0" containsString="0" containsNumber="1" containsInteger="1" minValue="0" maxValue="1"/>
    </cacheField>
    <cacheField name="flag_Percentile_50" numFmtId="0">
      <sharedItems containsSemiMixedTypes="0" containsString="0" containsNumber="1" containsInteger="1" minValue="0" maxValue="1"/>
    </cacheField>
    <cacheField name="flag_Percentile_55" numFmtId="0">
      <sharedItems containsSemiMixedTypes="0" containsString="0" containsNumber="1" containsInteger="1" minValue="0" maxValue="1"/>
    </cacheField>
    <cacheField name="flag_Percentile_60" numFmtId="0">
      <sharedItems containsSemiMixedTypes="0" containsString="0" containsNumber="1" containsInteger="1" minValue="0" maxValue="1"/>
    </cacheField>
    <cacheField name="flag_Percentile_65" numFmtId="0">
      <sharedItems containsSemiMixedTypes="0" containsString="0" containsNumber="1" containsInteger="1" minValue="0" maxValue="1"/>
    </cacheField>
    <cacheField name="flag_Percentile_70" numFmtId="0">
      <sharedItems containsSemiMixedTypes="0" containsString="0" containsNumber="1" containsInteger="1" minValue="0" maxValue="1"/>
    </cacheField>
    <cacheField name="flag_Percentile_75" numFmtId="0">
      <sharedItems containsSemiMixedTypes="0" containsString="0" containsNumber="1" containsInteger="1" minValue="0" maxValue="1"/>
    </cacheField>
    <cacheField name="flag_Percentile_80" numFmtId="0">
      <sharedItems containsSemiMixedTypes="0" containsString="0" containsNumber="1" containsInteger="1" minValue="0" maxValue="1"/>
    </cacheField>
    <cacheField name="flag_Percentile_85" numFmtId="0">
      <sharedItems containsSemiMixedTypes="0" containsString="0" containsNumber="1" containsInteger="1" minValue="0" maxValue="1"/>
    </cacheField>
    <cacheField name="flag_Percentile_90" numFmtId="0">
      <sharedItems containsSemiMixedTypes="0" containsString="0" containsNumber="1" containsInteger="1" minValue="0" maxValue="1"/>
    </cacheField>
    <cacheField name="flag_Percentile_95" numFmtId="0">
      <sharedItems containsSemiMixedTypes="0" containsString="0" containsNumber="1" containsInteger="1" minValue="0" maxValue="1"/>
    </cacheField>
    <cacheField name="flag_Percentile_100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ari, Sepehr" refreshedDate="45945.786525115742" createdVersion="8" refreshedVersion="8" minRefreshableVersion="3" recordCount="133" xr:uid="{1F53C31C-7593-46B3-A924-143C04D9FE01}">
  <cacheSource type="worksheet">
    <worksheetSource ref="A1:CL134" sheet="Data"/>
  </cacheSource>
  <cacheFields count="90">
    <cacheField name="POSIZIONE" numFmtId="0">
      <sharedItems containsSemiMixedTypes="0" containsString="0" containsNumber="1" containsInteger="1" minValue="329161" maxValue="360629"/>
    </cacheField>
    <cacheField name="CODICE" numFmtId="0">
      <sharedItems/>
    </cacheField>
    <cacheField name="DESCRIZIONE" numFmtId="0">
      <sharedItems/>
    </cacheField>
    <cacheField name="RILEVATA" numFmtId="164">
      <sharedItems containsSemiMixedTypes="0" containsNonDate="0" containsDate="1" containsString="0" minDate="2025-04-02T00:00:00" maxDate="2025-07-02T00:00:00"/>
    </cacheField>
    <cacheField name="INTERMEDIARIO" numFmtId="0">
      <sharedItems containsSemiMixedTypes="0" containsString="0" containsNumber="1" containsInteger="1" minValue="53850" maxValue="53850"/>
    </cacheField>
    <cacheField name="DIPENDENZA" numFmtId="0">
      <sharedItems containsSemiMixedTypes="0" containsString="0" containsNumber="1" containsInteger="1" minValue="102" maxValue="271"/>
    </cacheField>
    <cacheField name="IN CARICO A" numFmtId="0">
      <sharedItems/>
    </cacheField>
    <cacheField name="SISTEMA AR" numFmtId="0">
      <sharedItems/>
    </cacheField>
    <cacheField name="STATO" numFmtId="0">
      <sharedItems/>
    </cacheField>
    <cacheField name="INDICE PREDITTIVO" numFmtId="0">
      <sharedItems containsNonDate="0" containsString="0" containsBlank="1"/>
    </cacheField>
    <cacheField name="REGISTRAZIONE" numFmtId="0">
      <sharedItems containsSemiMixedTypes="0" containsString="0" containsNumber="1" containsInteger="1" minValue="202504017857376" maxValue="202506308138260"/>
    </cacheField>
    <cacheField name="NUMERO RAPPORTO" numFmtId="0">
      <sharedItems containsSemiMixedTypes="0" containsString="0" containsNumber="1" containsInteger="1" minValue="1023304893170" maxValue="2713300002851"/>
    </cacheField>
    <cacheField name="DATA OPERAZIONE" numFmtId="0">
      <sharedItems containsSemiMixedTypes="0" containsString="0" containsNumber="1" containsInteger="1" minValue="20250401" maxValue="20250630"/>
    </cacheField>
    <cacheField name="CAUSALE ANALITICA" numFmtId="0">
      <sharedItems count="1">
        <s v="AA - Bonifico da e per estero"/>
      </sharedItems>
    </cacheField>
    <cacheField name="CAUSALE SINTETICA" numFmtId="0">
      <sharedItems containsNonDate="0" containsString="0" containsBlank="1"/>
    </cacheField>
    <cacheField name="PAESE INTERMED. CONTROP." numFmtId="0">
      <sharedItems count="16">
        <s v="071 - SVIZZERA"/>
        <s v="076 - TURCHIA"/>
        <s v="182 - ISRAELE"/>
        <s v="278 - MACEDONIA"/>
        <s v="103 - HONG KONG"/>
        <s v="202 - JERSEY C.I."/>
        <s v="016 - CINA"/>
        <s v="129 - INDONESIA"/>
        <s v="090 - LIECHTENSTEIN"/>
        <s v="026 - ETIOPIA"/>
        <s v="290 - MONTENEGRO"/>
        <s v="289 - SERBIA"/>
        <s v="017 - COLOMBIA"/>
        <s v="263 - UCRAINA"/>
        <s v="291 - KOSOVO"/>
        <s v="220 - PORTORICO"/>
      </sharedItems>
    </cacheField>
    <cacheField name="SEGNO" numFmtId="0">
      <sharedItems count="2">
        <s v="A     - Avere"/>
        <s v="D     - Dare"/>
      </sharedItems>
    </cacheField>
    <cacheField name="IMPORTO" numFmtId="0">
      <sharedItems containsSemiMixedTypes="0" containsString="0" containsNumber="1" minValue="5000" maxValue="1236943.99"/>
    </cacheField>
    <cacheField name="DI CUI CONTANTE" numFmtId="0">
      <sharedItems containsSemiMixedTypes="0" containsString="0" containsNumber="1" containsInteger="1" minValue="0" maxValue="0"/>
    </cacheField>
    <cacheField name="TITOLARE NDG" numFmtId="0">
      <sharedItems containsSemiMixedTypes="0" containsString="0" containsNumber="1" containsInteger="1" minValue="17605" maxValue="4996689"/>
    </cacheField>
    <cacheField name="CODICE FISCALE" numFmtId="0">
      <sharedItems containsMixedTypes="1" containsNumber="1" containsInteger="1" minValue="254810724" maxValue="90059390725"/>
    </cacheField>
    <cacheField name="COGNOME E NOME / RAGIONE SOCIALE" numFmtId="0">
      <sharedItems/>
    </cacheField>
    <cacheField name="D21 SAE" numFmtId="0">
      <sharedItems/>
    </cacheField>
    <cacheField name="D22 ATECO" numFmtId="0">
      <sharedItems containsBlank="1"/>
    </cacheField>
    <cacheField name="PAESE RESIDENZA" numFmtId="0">
      <sharedItems/>
    </cacheField>
    <cacheField name="GESTORE" numFmtId="0">
      <sharedItems containsString="0" containsBlank="1" containsNumber="1" containsInteger="1" minValue="462" maxValue="1949"/>
    </cacheField>
    <cacheField name="STATO VALUTAZIONE" numFmtId="0">
      <sharedItems containsNonDate="0" containsString="0" containsBlank="1"/>
    </cacheField>
    <cacheField name="ID ECCEZIONE" numFmtId="0">
      <sharedItems containsNonDate="0" containsString="0" containsBlank="1"/>
    </cacheField>
    <cacheField name="DATA ULT. VALUTAZIONE" numFmtId="0">
      <sharedItems containsNonDate="0" containsString="0" containsBlank="1"/>
    </cacheField>
    <cacheField name="UFFICIO" numFmtId="0">
      <sharedItems containsNonDate="0" containsString="0" containsBlank="1"/>
    </cacheField>
    <cacheField name="AUTORE" numFmtId="0">
      <sharedItems containsNonDate="0" containsString="0" containsBlank="1"/>
    </cacheField>
    <cacheField name="ULTIMA VALUTAZIONE" numFmtId="0">
      <sharedItems containsNonDate="0" containsString="0" containsBlank="1"/>
    </cacheField>
    <cacheField name="PRESENZA ALLEGATI" numFmtId="0">
      <sharedItems containsNonDate="0" containsString="0" containsBlank="1"/>
    </cacheField>
    <cacheField name="ALTRE VALUTAZIONI" numFmtId="0">
      <sharedItems containsSemiMixedTypes="0" containsString="0" containsNumber="1" containsInteger="1" minValue="0" maxValue="0"/>
    </cacheField>
    <cacheField name="ANNOMESE" numFmtId="0">
      <sharedItems containsSemiMixedTypes="0" containsString="0" containsNumber="1" containsInteger="1" minValue="202504" maxValue="202506"/>
    </cacheField>
    <cacheField name="Stato2" numFmtId="0">
      <sharedItems containsBlank="1"/>
    </cacheField>
    <cacheField name="flag_stato" numFmtId="0">
      <sharedItems containsSemiMixedTypes="0" containsString="0" containsNumber="1" containsInteger="1" minValue="0" maxValue="1" count="2">
        <n v="0"/>
        <n v="1"/>
      </sharedItems>
    </cacheField>
    <cacheField name="flg_SCEN_IN_USO" numFmtId="0">
      <sharedItems containsSemiMixedTypes="0" containsString="0" containsNumber="1" containsInteger="1" minValue="1" maxValue="1"/>
    </cacheField>
    <cacheField name="CDG" numFmtId="0">
      <sharedItems containsString="0" containsBlank="1" containsNumber="1" containsInteger="1" minValue="440311" maxValue="4976123"/>
    </cacheField>
    <cacheField name="flag_OggValut" numFmtId="0">
      <sharedItems containsString="0" containsBlank="1" containsNumber="1" containsInteger="1" minValue="1" maxValue="1"/>
    </cacheField>
    <cacheField name="flag_anom_causale" numFmtId="0">
      <sharedItems containsSemiMixedTypes="0" containsString="0" containsNumber="1" containsInteger="1" minValue="0" maxValue="0"/>
    </cacheField>
    <cacheField name="ATECO_CODE" numFmtId="0">
      <sharedItems containsSemiMixedTypes="0" containsString="0" containsNumber="1" containsInteger="1" minValue="412" maxValue="999"/>
    </cacheField>
    <cacheField name="SAE_CODE" numFmtId="0">
      <sharedItems containsSemiMixedTypes="0" containsString="0" containsNumber="1" containsInteger="1" minValue="430" maxValue="775"/>
    </cacheField>
    <cacheField name="SAE_ATECO_CODE" numFmtId="0">
      <sharedItems containsSemiMixedTypes="0" containsString="0" containsNumber="1" containsInteger="1" minValue="430412" maxValue="775999"/>
    </cacheField>
    <cacheField name="Classe_old" numFmtId="0">
      <sharedItems containsBlank="1"/>
    </cacheField>
    <cacheField name="RES_ATECO" numFmtId="0">
      <sharedItems containsString="0" containsBlank="1" containsNumber="1" containsInteger="1" minValue="1" maxValue="1"/>
    </cacheField>
    <cacheField name="Classe" numFmtId="0">
      <sharedItems count="5">
        <s v="Classe di rischio 7"/>
        <s v="Classe di rischio 1"/>
        <s v="Classe di rischio 3"/>
        <s v="Classe di rischio 4"/>
        <s v="Classe di rischio 5"/>
      </sharedItems>
    </cacheField>
    <cacheField name="Rischio_Paese" numFmtId="0">
      <sharedItems count="2">
        <s v="Alta"/>
        <s v="Media"/>
      </sharedItems>
    </cacheField>
    <cacheField name="Percentile_00" numFmtId="0">
      <sharedItems containsSemiMixedTypes="0" containsString="0" containsNumber="1" minValue="5000" maxValue="35255.730000000003"/>
    </cacheField>
    <cacheField name="Percentile_05" numFmtId="0">
      <sharedItems containsSemiMixedTypes="0" containsString="0" containsNumber="1" minValue="15712.4" maxValue="40532.292000000001"/>
    </cacheField>
    <cacheField name="Percentile_10" numFmtId="0">
      <sharedItems containsSemiMixedTypes="0" containsString="0" containsNumber="1" minValue="18425.036" maxValue="44318.877999999997"/>
    </cacheField>
    <cacheField name="Percentile_15" numFmtId="0">
      <sharedItems containsSemiMixedTypes="0" containsString="0" containsNumber="1" minValue="19036" maxValue="45125.512000000002"/>
    </cacheField>
    <cacheField name="Percentile_20" numFmtId="0">
      <sharedItems containsSemiMixedTypes="0" containsString="0" containsNumber="1" minValue="19840" maxValue="47063.91"/>
    </cacheField>
    <cacheField name="Percentile_25" numFmtId="0">
      <sharedItems containsSemiMixedTypes="0" containsString="0" containsNumber="1" minValue="20740" maxValue="49568.19"/>
    </cacheField>
    <cacheField name="Percentile_30" numFmtId="0">
      <sharedItems containsSemiMixedTypes="0" containsString="0" containsNumber="1" minValue="22473.462" maxValue="51155.741999999998"/>
    </cacheField>
    <cacheField name="Percentile_35" numFmtId="0">
      <sharedItems containsSemiMixedTypes="0" containsString="0" containsNumber="1" minValue="23237.86" maxValue="53646.266000000003"/>
    </cacheField>
    <cacheField name="Percentile_40" numFmtId="0">
      <sharedItems containsSemiMixedTypes="0" containsString="0" containsNumber="1" minValue="25000" maxValue="57942.733999999997"/>
    </cacheField>
    <cacheField name="Percentile_45" numFmtId="0">
      <sharedItems containsSemiMixedTypes="0" containsString="0" containsNumber="1" minValue="27463.635999999999" maxValue="60683.345999999998"/>
    </cacheField>
    <cacheField name="Percentile_50" numFmtId="0">
      <sharedItems containsSemiMixedTypes="0" containsString="0" containsNumber="1" minValue="30000" maxValue="62646.03"/>
    </cacheField>
    <cacheField name="Percentile_55" numFmtId="0">
      <sharedItems containsSemiMixedTypes="0" containsString="0" containsNumber="1" minValue="34610.514000000003" maxValue="136475.66400000011"/>
    </cacheField>
    <cacheField name="Percentile_60" numFmtId="0">
      <sharedItems containsSemiMixedTypes="0" containsString="0" containsNumber="1" minValue="35046" maxValue="186663.09400000001"/>
    </cacheField>
    <cacheField name="Percentile_65" numFmtId="0">
      <sharedItems containsSemiMixedTypes="0" containsString="0" containsNumber="1" minValue="38582.447999999997" maxValue="189566.11600000001"/>
    </cacheField>
    <cacheField name="Percentile_70" numFmtId="0">
      <sharedItems containsSemiMixedTypes="0" containsString="0" containsNumber="1" minValue="42006.79" maxValue="195938.15400000001"/>
    </cacheField>
    <cacheField name="Percentile_75" numFmtId="0">
      <sharedItems containsSemiMixedTypes="0" containsString="0" containsNumber="1" minValue="50000" maxValue="204044.7"/>
    </cacheField>
    <cacheField name="Percentile_80" numFmtId="0">
      <sharedItems containsSemiMixedTypes="0" containsString="0" containsNumber="1" minValue="54336.774000000027" maxValue="227373.3000000001"/>
    </cacheField>
    <cacheField name="Percentile_85" numFmtId="0">
      <sharedItems containsSemiMixedTypes="0" containsString="0" containsNumber="1" minValue="65042.055999999982" maxValue="252854.712"/>
    </cacheField>
    <cacheField name="Percentile_90" numFmtId="0">
      <sharedItems containsSemiMixedTypes="0" containsString="0" containsNumber="1" minValue="78281.780000000086" maxValue="282641.74800000002"/>
    </cacheField>
    <cacheField name="Percentile_95" numFmtId="0">
      <sharedItems containsSemiMixedTypes="0" containsString="0" containsNumber="1" minValue="110403.728" maxValue="294996.82"/>
    </cacheField>
    <cacheField name="Percentile_100" numFmtId="0">
      <sharedItems containsSemiMixedTypes="0" containsString="0" containsNumber="1" minValue="134983.79999999999" maxValue="298635.90999999997"/>
    </cacheField>
    <cacheField name="flag_Percentile_00" numFmtId="0">
      <sharedItems containsSemiMixedTypes="0" containsString="0" containsNumber="1" containsInteger="1" minValue="0" maxValue="1"/>
    </cacheField>
    <cacheField name="flag_Percentile_05" numFmtId="0">
      <sharedItems containsSemiMixedTypes="0" containsString="0" containsNumber="1" containsInteger="1" minValue="0" maxValue="1"/>
    </cacheField>
    <cacheField name="flag_Percentile_10" numFmtId="0">
      <sharedItems containsSemiMixedTypes="0" containsString="0" containsNumber="1" containsInteger="1" minValue="0" maxValue="1"/>
    </cacheField>
    <cacheField name="flag_Percentile_15" numFmtId="0">
      <sharedItems containsSemiMixedTypes="0" containsString="0" containsNumber="1" containsInteger="1" minValue="0" maxValue="1"/>
    </cacheField>
    <cacheField name="flag_Percentile_20" numFmtId="0">
      <sharedItems containsSemiMixedTypes="0" containsString="0" containsNumber="1" containsInteger="1" minValue="0" maxValue="1"/>
    </cacheField>
    <cacheField name="flag_Percentile_25" numFmtId="0">
      <sharedItems containsSemiMixedTypes="0" containsString="0" containsNumber="1" containsInteger="1" minValue="0" maxValue="1"/>
    </cacheField>
    <cacheField name="flag_Percentile_30" numFmtId="0">
      <sharedItems containsSemiMixedTypes="0" containsString="0" containsNumber="1" containsInteger="1" minValue="0" maxValue="1"/>
    </cacheField>
    <cacheField name="flag_Percentile_35" numFmtId="0">
      <sharedItems containsSemiMixedTypes="0" containsString="0" containsNumber="1" containsInteger="1" minValue="0" maxValue="1"/>
    </cacheField>
    <cacheField name="flag_Percentile_40" numFmtId="0">
      <sharedItems containsSemiMixedTypes="0" containsString="0" containsNumber="1" containsInteger="1" minValue="0" maxValue="1"/>
    </cacheField>
    <cacheField name="flag_Percentile_45" numFmtId="0">
      <sharedItems containsSemiMixedTypes="0" containsString="0" containsNumber="1" containsInteger="1" minValue="0" maxValue="1"/>
    </cacheField>
    <cacheField name="flag_Percentile_50" numFmtId="0">
      <sharedItems containsSemiMixedTypes="0" containsString="0" containsNumber="1" containsInteger="1" minValue="0" maxValue="1"/>
    </cacheField>
    <cacheField name="flag_Percentile_55" numFmtId="0">
      <sharedItems containsSemiMixedTypes="0" containsString="0" containsNumber="1" containsInteger="1" minValue="0" maxValue="1"/>
    </cacheField>
    <cacheField name="flag_Percentile_60" numFmtId="0">
      <sharedItems containsSemiMixedTypes="0" containsString="0" containsNumber="1" containsInteger="1" minValue="0" maxValue="1"/>
    </cacheField>
    <cacheField name="flag_Percentile_65" numFmtId="0">
      <sharedItems containsSemiMixedTypes="0" containsString="0" containsNumber="1" containsInteger="1" minValue="0" maxValue="1"/>
    </cacheField>
    <cacheField name="flag_Percentile_70" numFmtId="0">
      <sharedItems containsSemiMixedTypes="0" containsString="0" containsNumber="1" containsInteger="1" minValue="0" maxValue="1"/>
    </cacheField>
    <cacheField name="flag_Percentile_75" numFmtId="0">
      <sharedItems containsSemiMixedTypes="0" containsString="0" containsNumber="1" containsInteger="1" minValue="0" maxValue="1"/>
    </cacheField>
    <cacheField name="flag_Percentile_80" numFmtId="0">
      <sharedItems containsSemiMixedTypes="0" containsString="0" containsNumber="1" containsInteger="1" minValue="0" maxValue="1"/>
    </cacheField>
    <cacheField name="flag_Percentile_85" numFmtId="0">
      <sharedItems containsSemiMixedTypes="0" containsString="0" containsNumber="1" containsInteger="1" minValue="0" maxValue="1"/>
    </cacheField>
    <cacheField name="flag_Percentile_90" numFmtId="0">
      <sharedItems containsSemiMixedTypes="0" containsString="0" containsNumber="1" containsInteger="1" minValue="0" maxValue="1"/>
    </cacheField>
    <cacheField name="flag_Percentile_95" numFmtId="0">
      <sharedItems containsSemiMixedTypes="0" containsString="0" containsNumber="1" containsInteger="1" minValue="0" maxValue="1"/>
    </cacheField>
    <cacheField name="flag_Percentile_100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1">
  <r>
    <n v="337726"/>
    <s v="14"/>
    <s v="Operazione per conto di importo elevato per la causale ed il soggetto"/>
    <d v="2025-05-01T00:00:00"/>
    <n v="53850"/>
    <n v="181"/>
    <s v="053850_181"/>
    <s v="Discovery Day"/>
    <s v="Mai valutato"/>
    <m/>
    <s v="202504306485623L"/>
    <n v="1813301029692"/>
    <n v="20250430"/>
    <x v="0"/>
    <m/>
    <m/>
    <s v="D     - Dare"/>
    <n v="1101.49"/>
    <n v="0"/>
    <n v="601835"/>
    <n v="83003310725"/>
    <s v="TRIBUNALE DI TRANI"/>
    <s v="102 - Amministrazione Statale e Organi Costituzionali"/>
    <m/>
    <s v="086 - ITALIA"/>
    <n v="1401"/>
    <m/>
    <m/>
    <m/>
    <m/>
    <m/>
    <m/>
    <m/>
    <n v="0"/>
    <n v="202504"/>
    <s v="ARCHIVIATA DA RPR"/>
    <x v="0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25"/>
    <s v="14"/>
    <s v="Operazione per conto di importo elevato per la causale ed il soggetto"/>
    <d v="2025-05-01T00:00:00"/>
    <n v="53850"/>
    <n v="284"/>
    <s v="053850_284"/>
    <s v="Discovery Day"/>
    <s v="Mai valutato"/>
    <m/>
    <n v="202504307937300"/>
    <n v="2843300000569"/>
    <n v="20250430"/>
    <x v="1"/>
    <m/>
    <s v="086 - ITALIA"/>
    <s v="A     - Avere"/>
    <n v="489643.2"/>
    <n v="0"/>
    <n v="1656943"/>
    <s v="DRZTTR67M02F205J"/>
    <s v="D'ORAZIO ETTORE"/>
    <s v="600 - Famiglie consumatrici"/>
    <m/>
    <s v="086 - ITALIA"/>
    <n v="1858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718"/>
    <s v="14"/>
    <s v="Operazione per conto di importo elevato per la causale ed il soggetto"/>
    <d v="2025-05-01T00:00:00"/>
    <n v="53850"/>
    <n v="119"/>
    <s v="053850_119"/>
    <s v="Discovery Day"/>
    <s v="Mai valutato"/>
    <m/>
    <n v="202504307936565"/>
    <n v="1193308874136"/>
    <n v="20250430"/>
    <x v="1"/>
    <m/>
    <s v="086 - ITALIA"/>
    <s v="A     - Avere"/>
    <n v="200678.35"/>
    <n v="0"/>
    <n v="585202"/>
    <s v="CSTMGR44D55A881Q"/>
    <s v="CASTELLUCCIO MARIA GRAZIA"/>
    <s v="600 - Famiglie consumatrici"/>
    <m/>
    <s v="086 - ITALIA"/>
    <n v="900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17"/>
    <s v="14"/>
    <s v="Operazione per conto di importo elevato per la causale ed il soggetto"/>
    <d v="2025-05-01T00:00:00"/>
    <n v="53850"/>
    <n v="102"/>
    <s v="053850_102"/>
    <s v="Discovery Day"/>
    <s v="Mai valutato"/>
    <m/>
    <n v="202504307937013"/>
    <n v="1503300001880"/>
    <n v="20250430"/>
    <x v="1"/>
    <m/>
    <s v="086 - ITALIA"/>
    <s v="A     - Avere"/>
    <n v="1985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m/>
    <n v="0"/>
    <n v="999"/>
    <n v="258"/>
    <n v="25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11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30"/>
    <n v="1503300001880"/>
    <n v="20250430"/>
    <x v="2"/>
    <m/>
    <m/>
    <s v="D     - Da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m/>
    <n v="0"/>
    <n v="999"/>
    <n v="258"/>
    <n v="258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05"/>
    <s v="14"/>
    <s v="Operazione per conto di importo elevato per la causale ed il soggetto"/>
    <d v="2025-05-01T00:00:00"/>
    <n v="53850"/>
    <n v="185"/>
    <s v="053850_185"/>
    <s v="Discovery Day"/>
    <s v="Mai valutato"/>
    <m/>
    <n v="202504307940590"/>
    <n v="1873300110261"/>
    <n v="20250430"/>
    <x v="3"/>
    <m/>
    <s v="086 - ITALIA"/>
    <s v="D     - Dare"/>
    <n v="204000"/>
    <n v="0"/>
    <n v="4983089"/>
    <s v="SCMNCL81H02C352S"/>
    <s v="SCAMARDI' NICOLA"/>
    <s v="600 - Famiglie consumatrici"/>
    <m/>
    <s v="086 - ITALIA"/>
    <n v="1351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704"/>
    <s v="14"/>
    <s v="Operazione per conto di importo elevato per la causale ed il soggetto"/>
    <d v="2025-05-01T00:00:00"/>
    <n v="53850"/>
    <n v="125"/>
    <s v="053850_125"/>
    <s v="Discovery Day"/>
    <s v="Mai valutato"/>
    <m/>
    <n v="202504307938437"/>
    <n v="1253300010013"/>
    <n v="20250430"/>
    <x v="4"/>
    <m/>
    <m/>
    <s v="D     - Dare"/>
    <n v="498936.77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4"/>
    <s v="ARCHIVIATA DA RPR"/>
    <x v="0"/>
    <n v="1"/>
    <m/>
    <m/>
    <n v="0"/>
    <n v="464"/>
    <n v="430"/>
    <n v="430464"/>
    <s v="Classe di rischio 4"/>
    <m/>
    <x v="2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02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29"/>
    <n v="1503300001880"/>
    <n v="20250430"/>
    <x v="5"/>
    <m/>
    <m/>
    <s v="A     - Ave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m/>
    <n v="0"/>
    <n v="999"/>
    <n v="258"/>
    <n v="258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99"/>
    <s v="14"/>
    <s v="Operazione per conto di importo elevato per la causale ed il soggetto"/>
    <d v="2025-05-01T00:00:00"/>
    <n v="53850"/>
    <n v="102"/>
    <s v="053850_102"/>
    <s v="Discovery Day"/>
    <s v="Mai valutato"/>
    <m/>
    <n v="202504307936462"/>
    <n v="1023305127300"/>
    <n v="20250430"/>
    <x v="1"/>
    <m/>
    <s v="086 - ITALIA"/>
    <s v="A     - Avere"/>
    <n v="700000"/>
    <n v="0"/>
    <n v="588978"/>
    <s v="CHRFNC69P08A225J"/>
    <s v="CHIERICO FRANCESCO"/>
    <s v="600 - Famiglie consumatrici"/>
    <m/>
    <s v="086 - ITALIA"/>
    <n v="1335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696"/>
    <s v="14"/>
    <s v="Operazione per conto di importo elevato per la causale ed il soggetto"/>
    <d v="2025-05-01T00:00:00"/>
    <n v="53850"/>
    <n v="187"/>
    <s v="053850_187"/>
    <s v="Discovery Day"/>
    <s v="Mai valutato"/>
    <m/>
    <n v="202504307935837"/>
    <n v="999361870311"/>
    <n v="20250430"/>
    <x v="3"/>
    <m/>
    <s v="086 - ITALIA"/>
    <s v="D     - Dare"/>
    <n v="1431879.04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694"/>
    <s v="14"/>
    <s v="Operazione per conto di importo elevato per la causale ed il soggetto"/>
    <d v="2025-05-01T00:00:00"/>
    <n v="53850"/>
    <n v="171"/>
    <s v="053850_171"/>
    <s v="Discovery Day"/>
    <s v="Mai valutato"/>
    <m/>
    <n v="202504307938972"/>
    <n v="1713302213842"/>
    <n v="20250430"/>
    <x v="6"/>
    <m/>
    <m/>
    <s v="D     - Dare"/>
    <n v="1435143.29"/>
    <n v="0"/>
    <n v="4148505"/>
    <n v="5848860721"/>
    <s v="FORMAT DISTRIBUZIONE SOCIETA' A RESPONSABILITA' LIMITATA"/>
    <s v="430 - Imprese produttive"/>
    <s v="469 - COMMERCIO ALL'INGROSSO NON SPECIALIZZATO"/>
    <s v="086 - ITALIA"/>
    <n v="1903"/>
    <m/>
    <m/>
    <m/>
    <m/>
    <m/>
    <m/>
    <m/>
    <n v="0"/>
    <n v="202504"/>
    <s v="IN CARICO AL RESPONSABILE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90"/>
    <s v="14"/>
    <s v="Operazione per conto di importo elevato per la causale ed il soggetto"/>
    <d v="2025-05-01T00:00:00"/>
    <n v="53850"/>
    <n v="122"/>
    <s v="053850_122"/>
    <s v="Discovery Day"/>
    <s v="Mai valutato"/>
    <m/>
    <n v="202504307937213"/>
    <n v="1223300001682"/>
    <n v="20250430"/>
    <x v="1"/>
    <m/>
    <s v="086 - ITALIA"/>
    <s v="A     - Avere"/>
    <n v="802613.71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88"/>
    <s v="14"/>
    <s v="Operazione per conto di importo elevato per la causale ed il soggetto"/>
    <d v="2025-05-01T00:00:00"/>
    <n v="53850"/>
    <n v="122"/>
    <s v="053850_122"/>
    <s v="Discovery Day"/>
    <s v="Mai valutato"/>
    <m/>
    <n v="202504307936003"/>
    <n v="1223300001682"/>
    <n v="20250430"/>
    <x v="3"/>
    <m/>
    <s v="086 - ITALIA"/>
    <s v="D     - Dare"/>
    <n v="160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86"/>
    <s v="14"/>
    <s v="Operazione per conto di importo elevato per la causale ed il soggetto"/>
    <d v="2025-05-01T00:00:00"/>
    <n v="53850"/>
    <n v="102"/>
    <s v="053850_102"/>
    <s v="Discovery Day"/>
    <s v="Mai valutato"/>
    <m/>
    <n v="202504307935471"/>
    <n v="1503300001880"/>
    <n v="20250430"/>
    <x v="3"/>
    <m/>
    <s v="086 - ITALIA"/>
    <s v="D     - Da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m/>
    <n v="0"/>
    <n v="999"/>
    <n v="258"/>
    <n v="258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85"/>
    <s v="14"/>
    <s v="Operazione per conto di importo elevato per la causale ed il soggetto"/>
    <d v="2025-05-01T00:00:00"/>
    <n v="53850"/>
    <n v="129"/>
    <s v="053850_129"/>
    <s v="Discovery Day"/>
    <s v="Mai valutato"/>
    <m/>
    <n v="202504307935568"/>
    <n v="1293300002289"/>
    <n v="20250430"/>
    <x v="3"/>
    <m/>
    <s v="086 - ITALIA"/>
    <s v="D     - Dare"/>
    <n v="2013000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81"/>
    <s v="14"/>
    <s v="Operazione per conto di importo elevato per la causale ed il soggetto"/>
    <d v="2025-05-01T00:00:00"/>
    <n v="53850"/>
    <n v="119"/>
    <s v="053850_119"/>
    <s v="Discovery Day"/>
    <s v="Mai valutato"/>
    <m/>
    <n v="202504307936565"/>
    <n v="1193308874136"/>
    <n v="20250430"/>
    <x v="1"/>
    <m/>
    <s v="086 - ITALIA"/>
    <s v="A     - Avere"/>
    <n v="200678.35"/>
    <n v="0"/>
    <n v="4265205"/>
    <s v="SFRMCL81M12A662T"/>
    <s v="SFORZA MARCELLO"/>
    <s v="600 - Famiglie consumatrici"/>
    <m/>
    <s v="086 - ITALIA"/>
    <n v="900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80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33"/>
    <n v="1503300003188"/>
    <n v="20250430"/>
    <x v="5"/>
    <m/>
    <m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74"/>
    <s v="14"/>
    <s v="Operazione per conto di importo elevato per la causale ed il soggetto"/>
    <d v="2025-05-01T00:00:00"/>
    <n v="53850"/>
    <n v="119"/>
    <s v="053850_119"/>
    <s v="Discovery Day"/>
    <s v="Mai valutato"/>
    <m/>
    <n v="202504307936565"/>
    <n v="1193308874136"/>
    <n v="20250430"/>
    <x v="1"/>
    <m/>
    <s v="086 - ITALIA"/>
    <s v="A     - Avere"/>
    <n v="200678.35"/>
    <n v="0"/>
    <n v="4035703"/>
    <s v="SFRNCL52E05L220G"/>
    <s v="SFORZA NICOLA"/>
    <s v="600 - Famiglie consumatrici"/>
    <m/>
    <s v="086 - ITALIA"/>
    <m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73"/>
    <s v="14"/>
    <s v="Operazione per conto di importo elevato per la causale ed il soggetto"/>
    <d v="2025-05-01T00:00:00"/>
    <n v="53850"/>
    <n v="106"/>
    <s v="053850_106"/>
    <s v="Discovery Day"/>
    <s v="Mai valutato"/>
    <m/>
    <n v="202504307936911"/>
    <n v="1063304235350"/>
    <n v="20250430"/>
    <x v="1"/>
    <m/>
    <s v="086 - ITALIA"/>
    <s v="A     - Avere"/>
    <n v="216020.67"/>
    <n v="0"/>
    <n v="423535"/>
    <s v="MRGNGL39C62F220E"/>
    <s v="MARGIOTTA ANGELA"/>
    <s v="600 - Famiglie consumatrici"/>
    <m/>
    <s v="086 - ITALIA"/>
    <n v="146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67"/>
    <s v="14"/>
    <s v="Operazione per conto di importo elevato per la causale ed il soggetto"/>
    <d v="2025-05-01T00:00:00"/>
    <n v="53850"/>
    <n v="102"/>
    <s v="053850_102"/>
    <s v="Discovery Day"/>
    <s v="Mai valutato"/>
    <m/>
    <n v="202504307940079"/>
    <n v="1503300003188"/>
    <n v="20250430"/>
    <x v="3"/>
    <m/>
    <s v="086 - ITALIA"/>
    <s v="D     - Dare"/>
    <n v="155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66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32"/>
    <n v="1503300003188"/>
    <n v="20250430"/>
    <x v="2"/>
    <m/>
    <m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64"/>
    <s v="14"/>
    <s v="Operazione per conto di importo elevato per la causale ed il soggetto"/>
    <d v="2025-04-30T00:00:00"/>
    <n v="53850"/>
    <n v="105"/>
    <s v="053850_105"/>
    <s v="Discovery Day"/>
    <s v="Mai valutato"/>
    <m/>
    <n v="202504307934036"/>
    <n v="1053304343840"/>
    <n v="20250430"/>
    <x v="7"/>
    <m/>
    <m/>
    <s v="D     - Dare"/>
    <n v="427457.45"/>
    <n v="0"/>
    <n v="434384"/>
    <s v="LSTFPP52E45E038X"/>
    <s v="LOSITO FILIPPA"/>
    <s v="600 - Famiglie consumatrici"/>
    <m/>
    <s v="086 - ITALIA"/>
    <n v="8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63"/>
    <s v="14"/>
    <s v="Operazione per conto di importo elevato per la causale ed il soggetto"/>
    <d v="2025-04-30T00:00:00"/>
    <n v="53850"/>
    <n v="104"/>
    <s v="053850_104"/>
    <s v="Discovery Day"/>
    <s v="Mai valutato"/>
    <m/>
    <n v="202504307934033"/>
    <n v="1043301450345"/>
    <n v="20250430"/>
    <x v="7"/>
    <m/>
    <m/>
    <s v="D     - Dare"/>
    <n v="412290.63"/>
    <n v="0"/>
    <n v="448111"/>
    <s v="CNNCSG41A68C983C"/>
    <s v="CANNILLO CONSIGLIA"/>
    <s v="600 - Famiglie consumatrici"/>
    <m/>
    <s v="086 - ITALIA"/>
    <n v="1267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62"/>
    <s v="14"/>
    <s v="Operazione per conto di importo elevato per la causale ed il soggetto"/>
    <d v="2025-04-30T00:00:00"/>
    <n v="53850"/>
    <n v="102"/>
    <s v="053850_102"/>
    <s v="Discovery Day"/>
    <s v="Mai valutato"/>
    <m/>
    <n v="202504307934016"/>
    <n v="1023301520020"/>
    <n v="20250430"/>
    <x v="7"/>
    <m/>
    <m/>
    <s v="D     - Dare"/>
    <n v="496585.69"/>
    <n v="0"/>
    <n v="152002"/>
    <s v="LRSLNT59B27A225O"/>
    <s v="LORUSSO LUIGI ANTONIO"/>
    <s v="600 - Famiglie consumatrici"/>
    <m/>
    <s v="086 - ITALIA"/>
    <n v="1431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61"/>
    <s v="14"/>
    <s v="Operazione per conto di importo elevato per la causale ed il soggetto"/>
    <d v="2025-04-30T00:00:00"/>
    <n v="53850"/>
    <n v="273"/>
    <s v="053850_273"/>
    <s v="Discovery Day"/>
    <s v="Mai valutato"/>
    <m/>
    <n v="202504297932175"/>
    <n v="2733300004156"/>
    <n v="20250429"/>
    <x v="8"/>
    <m/>
    <m/>
    <s v="D     - Dare"/>
    <n v="1244683.1299999999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161775"/>
    <n v="1165920.4065"/>
    <n v="1170065.8130000001"/>
    <n v="1174211.2194999999"/>
    <n v="1178356.6259999999"/>
    <n v="1182502.0325"/>
    <n v="1186647.439"/>
    <n v="1190792.8455000001"/>
    <n v="1194938.2520000001"/>
    <n v="1199083.6584999999"/>
    <n v="1203229.0649999999"/>
    <n v="1207374.4715"/>
    <n v="1211519.878"/>
    <n v="1215665.2845000001"/>
    <n v="1219810.6910000001"/>
    <n v="1223956.0974999999"/>
    <n v="1228101.504"/>
    <n v="1232246.9105"/>
    <n v="1236392.317"/>
    <n v="1240537.7235000001"/>
    <n v="1244683.12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59"/>
    <s v="14"/>
    <s v="Operazione per conto di importo elevato per la causale ed il soggetto"/>
    <d v="2025-04-30T00:00:00"/>
    <n v="53850"/>
    <n v="178"/>
    <s v="053850_178"/>
    <s v="Discovery Day"/>
    <s v="Mai valutato"/>
    <m/>
    <n v="202504297935055"/>
    <n v="1783301004498"/>
    <n v="20250429"/>
    <x v="0"/>
    <m/>
    <m/>
    <s v="D     - Dare"/>
    <n v="47140.45"/>
    <n v="0"/>
    <n v="4891240"/>
    <s v="DGVNGL41D43A669C"/>
    <s v="DIGIOVANNI ANGELA"/>
    <s v="600 - Famiglie consumatrici"/>
    <m/>
    <s v="086 - ITALIA"/>
    <n v="193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58"/>
    <s v="14"/>
    <s v="Operazione per conto di importo elevato per la causale ed il soggetto"/>
    <d v="2025-04-30T00:00:00"/>
    <n v="53850"/>
    <n v="182"/>
    <s v="053850_182"/>
    <s v="Discovery Day"/>
    <s v="Mai valutato"/>
    <m/>
    <s v="202504296436702L"/>
    <n v="1825502404004"/>
    <n v="20250429"/>
    <x v="0"/>
    <m/>
    <m/>
    <s v="A     - Avere"/>
    <n v="1110"/>
    <n v="0"/>
    <n v="623025"/>
    <s v="MLNNNA30H47L049I"/>
    <s v="MALANDRINO ANNA"/>
    <s v="600 - Famiglie consumatrici"/>
    <m/>
    <s v="086 - ITALIA"/>
    <n v="619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49"/>
    <s v="14"/>
    <s v="Operazione per conto di importo elevato per la causale ed il soggetto"/>
    <d v="2025-04-30T00:00:00"/>
    <n v="53850"/>
    <n v="132"/>
    <s v="053850_132"/>
    <s v="Discovery Day"/>
    <s v="Mai valutato"/>
    <m/>
    <n v="202504297934869"/>
    <n v="1323300001832"/>
    <n v="20250429"/>
    <x v="9"/>
    <m/>
    <m/>
    <s v="D     - Dare"/>
    <n v="241080.41"/>
    <n v="0"/>
    <n v="4739352"/>
    <s v="CCCMRC92H22G942N"/>
    <s v="CUCCARESE MARCO"/>
    <s v="600 - Famiglie consumatrici"/>
    <m/>
    <s v="086 - ITALIA"/>
    <n v="1959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46"/>
    <s v="14"/>
    <s v="Operazione per conto di importo elevato per la causale ed il soggetto"/>
    <d v="2025-04-30T00:00:00"/>
    <n v="53850"/>
    <n v="267"/>
    <s v="053850_267"/>
    <s v="Discovery Day"/>
    <s v="Mai valutato"/>
    <m/>
    <s v="202504296443065L"/>
    <n v="2673300000887"/>
    <n v="20250429"/>
    <x v="0"/>
    <m/>
    <m/>
    <s v="D     - Dare"/>
    <n v="2186.4499999999998"/>
    <n v="0"/>
    <n v="1642509"/>
    <s v="DGGNCL26S19D253S"/>
    <s v="DE GIGLIO NICOLA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44"/>
    <s v="14"/>
    <s v="Operazione per conto di importo elevato per la causale ed il soggetto"/>
    <d v="2025-04-30T00:00:00"/>
    <n v="53850"/>
    <n v="103"/>
    <s v="053850_103"/>
    <s v="Discovery Day"/>
    <s v="Mai valutato"/>
    <m/>
    <n v="202504297934709"/>
    <n v="1033306986058"/>
    <n v="20250429"/>
    <x v="3"/>
    <m/>
    <s v="086 - ITALIA"/>
    <s v="D     - Dare"/>
    <n v="220000"/>
    <n v="0"/>
    <n v="3741825"/>
    <s v="NDRGNT93P16E155L"/>
    <s v="ANDRISANI GIACINTO"/>
    <s v="600 - Famiglie consumatrici"/>
    <m/>
    <s v="086 - ITALIA"/>
    <n v="122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643"/>
    <s v="14"/>
    <s v="Operazione per conto di importo elevato per la causale ed il soggetto"/>
    <d v="2025-04-30T00:00:00"/>
    <n v="53850"/>
    <n v="103"/>
    <s v="053850_103"/>
    <s v="Discovery Day"/>
    <s v="Mai valutato"/>
    <m/>
    <n v="202504297934164"/>
    <n v="1033300209630"/>
    <n v="20250429"/>
    <x v="6"/>
    <m/>
    <m/>
    <s v="D     - Dare"/>
    <n v="300000"/>
    <n v="0"/>
    <n v="20963"/>
    <s v="CPLLCU45A01E155T"/>
    <s v="CAPOLONGO LUCA"/>
    <s v="600 - Famiglie consumatrici"/>
    <m/>
    <s v="086 - ITALIA"/>
    <m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641"/>
    <s v="14"/>
    <s v="Operazione per conto di importo elevato per la causale ed il soggetto"/>
    <d v="2025-04-30T00:00:00"/>
    <n v="53850"/>
    <n v="259"/>
    <s v="053850_259"/>
    <s v="Discovery Day"/>
    <s v="Mai valutato"/>
    <m/>
    <n v="202504297933563"/>
    <n v="2593300001020"/>
    <n v="20250429"/>
    <x v="1"/>
    <m/>
    <s v="086 - ITALIA"/>
    <s v="A     - Avere"/>
    <n v="7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37"/>
    <s v="14"/>
    <s v="Operazione per conto di importo elevato per la causale ed il soggetto"/>
    <d v="2025-04-30T00:00:00"/>
    <n v="53850"/>
    <n v="102"/>
    <s v="053850_102"/>
    <s v="Discovery Day"/>
    <s v="Mai valutato"/>
    <m/>
    <n v="202504297933562"/>
    <n v="1503300003188"/>
    <n v="20250429"/>
    <x v="1"/>
    <m/>
    <s v="086 - ITALIA"/>
    <s v="A     - Avere"/>
    <n v="15106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34"/>
    <s v="14"/>
    <s v="Operazione per conto di importo elevato per la causale ed il soggetto"/>
    <d v="2025-04-30T00:00:00"/>
    <n v="53850"/>
    <n v="264"/>
    <s v="053850_264"/>
    <s v="Discovery Day"/>
    <s v="Mai valutato"/>
    <m/>
    <n v="202504297933080"/>
    <n v="2643300000392"/>
    <n v="20250429"/>
    <x v="1"/>
    <m/>
    <s v="086 - ITALIA"/>
    <s v="A     - Avere"/>
    <n v="711234.48"/>
    <n v="0"/>
    <n v="1632767"/>
    <n v="1199090778"/>
    <s v="GENERAL COSTRUZIONI S.R.L."/>
    <s v="430 - Imprese produttive"/>
    <s v="412 - COSTRUZIONE DI EDIFICI RESIDENZIALI E NON RESIDENZIALI"/>
    <s v="086 - ITALIA"/>
    <n v="1926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33"/>
    <s v="14"/>
    <s v="Operazione per conto di importo elevato per la causale ed il soggetto"/>
    <d v="2025-04-30T00:00:00"/>
    <n v="53850"/>
    <n v="267"/>
    <s v="053850_267"/>
    <s v="Discovery Day"/>
    <s v="Mai valutato"/>
    <m/>
    <s v="202504296443065L"/>
    <n v="2673300000887"/>
    <n v="20250429"/>
    <x v="0"/>
    <m/>
    <m/>
    <s v="D     - Dare"/>
    <n v="2186.4499999999998"/>
    <n v="0"/>
    <n v="1642373"/>
    <s v="CNSTSN31A42D253I"/>
    <s v="IACONIS TERESINA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31"/>
    <s v="14"/>
    <s v="Operazione per conto di importo elevato per la causale ed il soggetto"/>
    <d v="2025-04-30T00:00:00"/>
    <n v="53850"/>
    <n v="178"/>
    <s v="053850_178"/>
    <s v="Discovery Day"/>
    <s v="Mai valutato"/>
    <m/>
    <n v="202504297935055"/>
    <n v="1783301004498"/>
    <n v="20250429"/>
    <x v="0"/>
    <m/>
    <m/>
    <s v="D     - Dare"/>
    <n v="47140.45"/>
    <n v="0"/>
    <n v="4891241"/>
    <s v="TDSNCL40E20A669R"/>
    <s v="TEDESCHI NICOLA"/>
    <s v="600 - Famiglie consumatrici"/>
    <m/>
    <s v="086 - ITALIA"/>
    <n v="193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29"/>
    <s v="14"/>
    <s v="Operazione per conto di importo elevato per la causale ed il soggetto"/>
    <d v="2025-04-30T00:00:00"/>
    <n v="53850"/>
    <n v="119"/>
    <s v="053850_119"/>
    <s v="Discovery Day"/>
    <s v="Mai valutato"/>
    <m/>
    <n v="202504297933416"/>
    <n v="1193308873898"/>
    <n v="20250429"/>
    <x v="10"/>
    <m/>
    <m/>
    <s v="A     - Avere"/>
    <n v="156252.39000000001"/>
    <n v="0"/>
    <n v="4205399"/>
    <s v="PPPGDU71M05A662Z"/>
    <s v="PAPPONETTI GUIDO"/>
    <s v="600 - Famiglie consumatrici"/>
    <m/>
    <s v="086 - ITALIA"/>
    <n v="900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28"/>
    <s v="14"/>
    <s v="Operazione per conto di importo elevato per la causale ed il soggetto"/>
    <d v="2025-04-30T00:00:00"/>
    <n v="53850"/>
    <n v="103"/>
    <s v="053850_103"/>
    <s v="Discovery Day"/>
    <s v="Mai valutato"/>
    <m/>
    <n v="202504297933659"/>
    <n v="1033306974262"/>
    <n v="20250429"/>
    <x v="1"/>
    <m/>
    <s v="086 - ITALIA"/>
    <s v="A     - Avere"/>
    <n v="800000"/>
    <n v="0"/>
    <n v="4679373"/>
    <n v="3294040724"/>
    <s v="CEREAL - FER SEMENTI DI PANTONE DOMENICO&amp; C. S.N.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4"/>
    <s v="IN VALUTAZIONE RPR"/>
    <x v="1"/>
    <n v="1"/>
    <m/>
    <m/>
    <n v="0"/>
    <n v="999"/>
    <n v="492"/>
    <n v="492999"/>
    <m/>
    <n v="1"/>
    <x v="5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21"/>
    <s v="14"/>
    <s v="Operazione per conto di importo elevato per la causale ed il soggetto"/>
    <d v="2025-04-30T00:00:00"/>
    <n v="53850"/>
    <n v="102"/>
    <s v="053850_102"/>
    <s v="Discovery Day"/>
    <s v="Mai valutato"/>
    <m/>
    <n v="202504297932144"/>
    <n v="1503300003188"/>
    <n v="20250429"/>
    <x v="3"/>
    <m/>
    <s v="086 - ITALIA"/>
    <s v="D     - Dare"/>
    <n v="12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18"/>
    <s v="14"/>
    <s v="Operazione per conto di importo elevato per la causale ed il soggetto"/>
    <d v="2025-04-30T00:00:00"/>
    <n v="53850"/>
    <n v="175"/>
    <s v="053850_175"/>
    <s v="Discovery Day"/>
    <s v="Mai valutato"/>
    <m/>
    <n v="202504297933367"/>
    <n v="1753302202252"/>
    <n v="20250429"/>
    <x v="1"/>
    <m/>
    <s v="086 - ITALIA"/>
    <s v="A     - Avere"/>
    <n v="1232440"/>
    <n v="0"/>
    <n v="611756"/>
    <s v="PTNRNT84E28H501P"/>
    <s v="POTENZA RENATO"/>
    <s v="615 - Altre famiglie produttrici"/>
    <s v="015 - COLTIVAZIONI AGRICOLE ASSOCIATE ALL'ALLEVAMENTO DI ANIMALI: ATTIVITÀ MISTA"/>
    <s v="086 - ITALIA"/>
    <n v="1110"/>
    <m/>
    <m/>
    <m/>
    <m/>
    <m/>
    <m/>
    <m/>
    <n v="0"/>
    <n v="202504"/>
    <s v="ARCHIVIATA"/>
    <x v="0"/>
    <n v="1"/>
    <m/>
    <m/>
    <n v="0"/>
    <n v="999"/>
    <n v="615"/>
    <n v="615999"/>
    <m/>
    <n v="1"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613"/>
    <s v="14"/>
    <s v="Operazione per conto di importo elevato per la causale ed il soggetto"/>
    <d v="2025-04-30T00:00:00"/>
    <n v="53850"/>
    <n v="131"/>
    <s v="053850_131"/>
    <s v="Discovery Day"/>
    <s v="Mai valutato"/>
    <m/>
    <s v="202504296437637L"/>
    <n v="1313300001607"/>
    <n v="20250429"/>
    <x v="0"/>
    <m/>
    <m/>
    <s v="D     - Dare"/>
    <n v="4921.43"/>
    <n v="0"/>
    <n v="4130205"/>
    <s v="LCCLNE70E42Z133M"/>
    <s v="LICCIONE ELENA"/>
    <s v="600 - Famiglie consumatrici"/>
    <m/>
    <s v="086 - ITALIA"/>
    <n v="82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612"/>
    <s v="14"/>
    <s v="Operazione per conto di importo elevato per la causale ed il soggetto"/>
    <d v="2025-04-30T00:00:00"/>
    <n v="53850"/>
    <n v="103"/>
    <s v="053850_103"/>
    <s v="Discovery Day"/>
    <s v="Mai valutato"/>
    <m/>
    <n v="202504297934709"/>
    <n v="1033306986058"/>
    <n v="20250429"/>
    <x v="3"/>
    <m/>
    <s v="086 - ITALIA"/>
    <s v="D     - Dare"/>
    <n v="220000"/>
    <n v="0"/>
    <n v="3741812"/>
    <s v="VRGMRT96L66E223V"/>
    <s v="VIRGILIO MARTA"/>
    <s v="600 - Famiglie consumatrici"/>
    <m/>
    <s v="086 - ITALIA"/>
    <n v="122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609"/>
    <s v="14"/>
    <s v="Operazione per conto di importo elevato per la causale ed il soggetto"/>
    <d v="2025-04-30T00:00:00"/>
    <n v="53850"/>
    <n v="286"/>
    <s v="053850_286"/>
    <s v="Discovery Day"/>
    <s v="Mai valutato"/>
    <m/>
    <n v="202504297935255"/>
    <n v="2863300013572"/>
    <n v="20250429"/>
    <x v="0"/>
    <m/>
    <m/>
    <s v="D     - Dare"/>
    <n v="53361.62"/>
    <n v="0"/>
    <n v="1630096"/>
    <s v="DMRBNL64M53C632D"/>
    <s v="DI MIERO BRUNELLA"/>
    <s v="600 - Famiglie consumatrici"/>
    <m/>
    <s v="086 - ITALIA"/>
    <n v="1248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606"/>
    <s v="14"/>
    <s v="Operazione per conto di importo elevato per la causale ed il soggetto"/>
    <d v="2025-04-30T00:00:00"/>
    <n v="53850"/>
    <n v="273"/>
    <s v="053850_273"/>
    <s v="Discovery Day"/>
    <s v="Mai valutato"/>
    <m/>
    <n v="202504297932757"/>
    <n v="2733300004156"/>
    <n v="20250429"/>
    <x v="1"/>
    <m/>
    <s v="086 - ITALIA"/>
    <s v="A     - Avere"/>
    <n v="16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04"/>
    <s v="14"/>
    <s v="Operazione per conto di importo elevato per la causale ed il soggetto"/>
    <d v="2025-04-29T00:00:00"/>
    <n v="53850"/>
    <n v="125"/>
    <s v="053850_125"/>
    <s v="Discovery Day"/>
    <s v="Mai valutato"/>
    <m/>
    <n v="202504287930608"/>
    <n v="1253300001106"/>
    <n v="20250428"/>
    <x v="11"/>
    <m/>
    <m/>
    <s v="D     - Dare"/>
    <n v="600000"/>
    <n v="0"/>
    <n v="4519282"/>
    <n v="6193171219"/>
    <s v="IM.A.F. S.R.L."/>
    <s v="430 - Imprese produttive"/>
    <s v="429 - COSTRUZIONE DI ALTRE OPERE DI INGEGNERIA CIVILE"/>
    <s v="086 - ITALIA"/>
    <n v="982"/>
    <m/>
    <m/>
    <m/>
    <m/>
    <m/>
    <m/>
    <m/>
    <n v="0"/>
    <n v="202504"/>
    <s v="ARCHIVIATA DA RPR"/>
    <x v="0"/>
    <n v="1"/>
    <m/>
    <m/>
    <n v="0"/>
    <n v="429"/>
    <n v="430"/>
    <n v="430429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598"/>
    <s v="14"/>
    <s v="Operazione per conto di importo elevato per la causale ed il soggetto"/>
    <d v="2025-04-29T00:00:00"/>
    <n v="53850"/>
    <n v="226"/>
    <s v="053850_226"/>
    <s v="Discovery Day"/>
    <s v="Mai valutato"/>
    <m/>
    <n v="202504287931770"/>
    <n v="2263300011941"/>
    <n v="20250428"/>
    <x v="0"/>
    <m/>
    <m/>
    <s v="D     - Dare"/>
    <n v="12994.01"/>
    <n v="0"/>
    <n v="3713253"/>
    <n v="8840260726"/>
    <s v="TERRADIMARE S.A.S. DI DEBORAH DI TONDO &amp; C."/>
    <s v="492 - Quasi societa' non finanziarie altre - Unita' o societa' con meno di 20 addetti"/>
    <s v="561 - RISTORANTI E ATTIVITÀ DI RISTORAZIONE MOBILE"/>
    <s v="086 - ITALIA"/>
    <n v="1932"/>
    <m/>
    <m/>
    <m/>
    <m/>
    <m/>
    <m/>
    <m/>
    <n v="0"/>
    <n v="202504"/>
    <s v="IN VALUTAZIONE RPR"/>
    <x v="1"/>
    <n v="1"/>
    <m/>
    <m/>
    <n v="1"/>
    <n v="561"/>
    <n v="492"/>
    <n v="492561"/>
    <s v="Classe di rischio 1"/>
    <m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591"/>
    <s v="14"/>
    <s v="Operazione per conto di importo elevato per la causale ed il soggetto"/>
    <d v="2025-04-29T00:00:00"/>
    <n v="53850"/>
    <n v="116"/>
    <s v="053850_116"/>
    <s v="Discovery Day"/>
    <s v="Mai valutato"/>
    <m/>
    <n v="202504287931355"/>
    <n v="1163307623534"/>
    <n v="20250428"/>
    <x v="3"/>
    <m/>
    <m/>
    <s v="D     - Dare"/>
    <n v="357884.01"/>
    <n v="0"/>
    <n v="455877"/>
    <s v="DMBMRZ80M26A662O"/>
    <s v="D'AMBROSIO MAURIZIO"/>
    <s v="600 - Famiglie consumatrici"/>
    <m/>
    <s v="086 - ITALIA"/>
    <n v="7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584"/>
    <s v="14"/>
    <s v="Operazione per conto di importo elevato per la causale ed il soggetto"/>
    <d v="2025-04-29T00:00:00"/>
    <n v="53850"/>
    <n v="182"/>
    <s v="053850_182"/>
    <s v="Discovery Day"/>
    <s v="Mai valutato"/>
    <m/>
    <n v="202504287929073"/>
    <n v="1823300072312"/>
    <n v="20250428"/>
    <x v="1"/>
    <m/>
    <s v="086 - ITALIA"/>
    <s v="A     - Avere"/>
    <n v="1215648.51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579"/>
    <s v="14"/>
    <s v="Operazione per conto di importo elevato per la causale ed il soggetto"/>
    <d v="2025-04-29T00:00:00"/>
    <n v="53850"/>
    <n v="109"/>
    <s v="053850_109"/>
    <s v="Discovery Day"/>
    <s v="Mai valutato"/>
    <m/>
    <n v="202504287929578"/>
    <n v="1093305187350"/>
    <n v="20250428"/>
    <x v="1"/>
    <m/>
    <s v="086 - ITALIA"/>
    <s v="A     - Avere"/>
    <n v="258955.49"/>
    <n v="0"/>
    <n v="518731"/>
    <s v="DMRFRI44R07G230X"/>
    <s v="DE MARTINO FIORE"/>
    <s v="600 - Famiglie consumatrici"/>
    <m/>
    <s v="086 - ITALIA"/>
    <n v="77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576"/>
    <s v="14"/>
    <s v="Operazione per conto di importo elevato per la causale ed il soggetto"/>
    <d v="2025-04-29T00:00:00"/>
    <n v="53850"/>
    <n v="187"/>
    <s v="053850_187"/>
    <s v="Discovery Day"/>
    <s v="Mai valutato"/>
    <m/>
    <n v="202504287931146"/>
    <n v="1873300111029"/>
    <n v="20250428"/>
    <x v="0"/>
    <m/>
    <m/>
    <s v="D     - Dare"/>
    <n v="9232.3799999999992"/>
    <n v="0"/>
    <n v="4433326"/>
    <s v="MRZFNC89L22L049F"/>
    <s v="MARZO FRANCO"/>
    <s v="600 - Famiglie consumatrici"/>
    <m/>
    <s v="086 - ITALIA"/>
    <n v="116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74"/>
    <s v="14"/>
    <s v="Operazione per conto di importo elevato per la causale ed il soggetto"/>
    <d v="2025-04-29T00:00:00"/>
    <n v="53850"/>
    <n v="102"/>
    <s v="053850_102"/>
    <s v="Discovery Day"/>
    <s v="Mai valutato"/>
    <m/>
    <n v="202504287931193"/>
    <n v="1023308725742"/>
    <n v="20250428"/>
    <x v="0"/>
    <m/>
    <m/>
    <s v="D     - Dare"/>
    <n v="28072.05"/>
    <n v="0"/>
    <n v="4032133"/>
    <s v="NZZGNN37S23A225G"/>
    <s v="NUZZI GIOVANNI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564"/>
    <s v="14"/>
    <s v="Operazione per conto di importo elevato per la causale ed il soggetto"/>
    <d v="2025-04-29T00:00:00"/>
    <n v="53850"/>
    <n v="116"/>
    <s v="053850_116"/>
    <s v="Discovery Day"/>
    <s v="Mai valutato"/>
    <m/>
    <n v="202504287931355"/>
    <n v="1163307623534"/>
    <n v="20250428"/>
    <x v="3"/>
    <m/>
    <m/>
    <s v="D     - Dare"/>
    <n v="357884.01"/>
    <n v="0"/>
    <n v="4811851"/>
    <s v="GRDNTN77L60A662K"/>
    <s v="GIARDINO ANTONIA"/>
    <s v="600 - Famiglie consumatrici"/>
    <m/>
    <s v="086 - ITALIA"/>
    <n v="7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562"/>
    <s v="14"/>
    <s v="Operazione per conto di importo elevato per la causale ed il soggetto"/>
    <d v="2025-04-29T00:00:00"/>
    <n v="53850"/>
    <n v="102"/>
    <s v="053850_102"/>
    <s v="Discovery Day"/>
    <s v="Mai valutato"/>
    <m/>
    <n v="202504287931193"/>
    <n v="1023308725742"/>
    <n v="20250428"/>
    <x v="0"/>
    <m/>
    <m/>
    <s v="D     - Dare"/>
    <n v="28072.05"/>
    <n v="0"/>
    <n v="501137"/>
    <s v="NNVGRZ41B66A225D"/>
    <s v="NINIVAGGI GRAZIA"/>
    <s v="600 - Famiglie consumatrici"/>
    <m/>
    <s v="086 - ITALIA"/>
    <n v="1648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561"/>
    <s v="14"/>
    <s v="Operazione per conto di importo elevato per la causale ed il soggetto"/>
    <d v="2025-04-29T00:00:00"/>
    <n v="53850"/>
    <n v="109"/>
    <s v="053850_109"/>
    <s v="Discovery Day"/>
    <s v="Mai valutato"/>
    <m/>
    <n v="202504287929578"/>
    <n v="1093305187350"/>
    <n v="20250428"/>
    <x v="1"/>
    <m/>
    <s v="086 - ITALIA"/>
    <s v="A     - Avere"/>
    <n v="258955.49"/>
    <n v="0"/>
    <n v="518734"/>
    <s v="RBTLCU49C62H645C"/>
    <s v="RIBATTI LUCIA"/>
    <s v="600 - Famiglie consumatrici"/>
    <m/>
    <s v="086 - ITALIA"/>
    <m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552"/>
    <s v="14"/>
    <s v="Operazione per conto di importo elevato per la causale ed il soggetto"/>
    <d v="2025-04-29T00:00:00"/>
    <n v="53850"/>
    <n v="125"/>
    <s v="053850_125"/>
    <s v="Discovery Day"/>
    <s v="Mai valutato"/>
    <m/>
    <n v="202504287928675"/>
    <n v="1253300001106"/>
    <n v="20250428"/>
    <x v="1"/>
    <m/>
    <s v="086 - ITALIA"/>
    <s v="A     - Avere"/>
    <n v="690234.02"/>
    <n v="0"/>
    <n v="4519282"/>
    <n v="6193171219"/>
    <s v="IM.A.F. S.R.L."/>
    <s v="430 - Imprese produttive"/>
    <s v="429 - COSTRUZIONE DI ALTRE OPERE DI INGEGNERIA CIVILE"/>
    <s v="086 - ITALIA"/>
    <n v="982"/>
    <m/>
    <m/>
    <m/>
    <m/>
    <m/>
    <m/>
    <m/>
    <n v="0"/>
    <n v="202504"/>
    <s v="ARCHIVIATA DA RPR"/>
    <x v="0"/>
    <n v="1"/>
    <m/>
    <m/>
    <n v="0"/>
    <n v="429"/>
    <n v="430"/>
    <n v="430429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33"/>
    <s v="14"/>
    <s v="Operazione per conto di importo elevato per la causale ed il soggetto"/>
    <d v="2025-04-25T00:00:00"/>
    <n v="53850"/>
    <n v="277"/>
    <s v="053850_277"/>
    <s v="Discovery Day"/>
    <s v="Mai valutato"/>
    <m/>
    <n v="202504247924972"/>
    <n v="2773300000865"/>
    <n v="20250424"/>
    <x v="0"/>
    <m/>
    <m/>
    <s v="D     - Dare"/>
    <n v="15562.96"/>
    <n v="0"/>
    <n v="1676449"/>
    <s v="PRSFRN55T04L218F"/>
    <s v="PERSICHITTI FLORINDO ANTONIO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530"/>
    <s v="14"/>
    <s v="Operazione per conto di importo elevato per la causale ed il soggetto"/>
    <d v="2025-04-25T00:00:00"/>
    <n v="53850"/>
    <n v="277"/>
    <s v="053850_277"/>
    <s v="Discovery Day"/>
    <s v="Mai valutato"/>
    <m/>
    <n v="202504247924972"/>
    <n v="2773300000865"/>
    <n v="20250424"/>
    <x v="0"/>
    <m/>
    <m/>
    <s v="D     - Dare"/>
    <n v="15562.96"/>
    <n v="0"/>
    <n v="1676448"/>
    <s v="RSSPRZ61M62E435E"/>
    <s v="RUSSO PATRIZIA"/>
    <s v="600 - Famiglie consumatrici"/>
    <m/>
    <s v="086 - ITALIA"/>
    <n v="1790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528"/>
    <s v="14"/>
    <s v="Operazione per conto di importo elevato per la causale ed il soggetto"/>
    <d v="2025-04-25T00:00:00"/>
    <n v="53850"/>
    <n v="109"/>
    <s v="053850_109"/>
    <s v="Discovery Day"/>
    <s v="Mai valutato"/>
    <m/>
    <n v="202504247924602"/>
    <n v="1093306667463"/>
    <n v="20250424"/>
    <x v="3"/>
    <m/>
    <s v="086 - ITALIA"/>
    <s v="D     - Dare"/>
    <n v="231724"/>
    <n v="0"/>
    <n v="4039788"/>
    <s v="FVAPRZ63C68A662B"/>
    <s v="FAVIA PATRIZIA"/>
    <s v="600 - Famiglie consumatrici"/>
    <m/>
    <s v="086 - ITALIA"/>
    <n v="50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24"/>
    <s v="14"/>
    <s v="Operazione per conto di importo elevato per la causale ed il soggetto"/>
    <d v="2025-04-25T00:00:00"/>
    <n v="53850"/>
    <n v="105"/>
    <s v="053850_105"/>
    <s v="Discovery Day"/>
    <s v="Mai valutato"/>
    <m/>
    <n v="202504247922074"/>
    <n v="1053306287103"/>
    <n v="20250424"/>
    <x v="3"/>
    <m/>
    <s v="086 - ITALIA"/>
    <s v="D     - Dare"/>
    <n v="1500000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17"/>
    <s v="14"/>
    <s v="Operazione per conto di importo elevato per la causale ed il soggetto"/>
    <d v="2025-04-25T00:00:00"/>
    <n v="53850"/>
    <n v="109"/>
    <s v="053850_109"/>
    <s v="Discovery Day"/>
    <s v="Mai valutato"/>
    <m/>
    <n v="202504247924602"/>
    <n v="1093306667463"/>
    <n v="20250424"/>
    <x v="3"/>
    <m/>
    <s v="086 - ITALIA"/>
    <s v="D     - Dare"/>
    <n v="231724"/>
    <n v="0"/>
    <n v="4039786"/>
    <s v="CRTNTN64P24G906V"/>
    <s v="CORTESE ANTONIO"/>
    <s v="600 - Famiglie consumatrici"/>
    <m/>
    <s v="086 - ITALIA"/>
    <n v="50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14"/>
    <s v="14"/>
    <s v="Operazione per conto di importo elevato per la causale ed il soggetto"/>
    <d v="2025-04-25T00:00:00"/>
    <n v="53850"/>
    <n v="181"/>
    <s v="053850_181"/>
    <s v="Discovery Day"/>
    <s v="Mai valutato"/>
    <m/>
    <n v="202504247923117"/>
    <n v="1813300010280"/>
    <n v="20250424"/>
    <x v="1"/>
    <m/>
    <s v="086 - ITALIA"/>
    <s v="A     - Avere"/>
    <n v="1200000"/>
    <n v="0"/>
    <n v="4788366"/>
    <n v="674460720"/>
    <s v="ELAIOPOLIO COOPERATIVO DELLA RIFORMA FONDIARIA DI RUVO DI PUGLIA SOCIETA' COOPER"/>
    <s v="430 - Imprese produttive"/>
    <s v="012 - COLTIVAZIONE DI COLTURE PERMANENTI"/>
    <s v="086 - ITALIA"/>
    <n v="1903"/>
    <m/>
    <m/>
    <m/>
    <m/>
    <m/>
    <m/>
    <m/>
    <n v="0"/>
    <n v="202504"/>
    <s v="IN CARICO AL GESTORE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510"/>
    <s v="14"/>
    <s v="Operazione per conto di importo elevato per la causale ed il soggetto"/>
    <d v="2025-04-25T00:00:00"/>
    <n v="53850"/>
    <n v="187"/>
    <s v="053850_187"/>
    <s v="Discovery Day"/>
    <s v="Mai valutato"/>
    <m/>
    <n v="202504247922522"/>
    <n v="999361870311"/>
    <n v="20250424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05"/>
    <s v="14"/>
    <s v="Operazione per conto di importo elevato per la causale ed il soggetto"/>
    <d v="2025-04-24T00:00:00"/>
    <n v="53850"/>
    <n v="145"/>
    <s v="053850_145"/>
    <s v="Discovery Day"/>
    <s v="Mai valutato"/>
    <m/>
    <n v="202504237920074"/>
    <n v="1453300002438"/>
    <n v="20250423"/>
    <x v="1"/>
    <m/>
    <s v="086 - ITALIA"/>
    <s v="A     - Avere"/>
    <n v="855151.57"/>
    <n v="0"/>
    <n v="4700611"/>
    <n v="2837290614"/>
    <s v="GIOVANNI MALINCONICO SPA IN AMMINISTRAZIONE GIUDIZIARIA"/>
    <s v="430 - Imprese produttive"/>
    <s v="421 - COSTRUZIONE DI STRADE E FERROVIE"/>
    <s v="086 - ITALIA"/>
    <n v="1256"/>
    <m/>
    <m/>
    <m/>
    <m/>
    <m/>
    <m/>
    <m/>
    <n v="0"/>
    <n v="202504"/>
    <s v="ARCHIVIATA"/>
    <x v="0"/>
    <n v="1"/>
    <m/>
    <m/>
    <n v="0"/>
    <n v="421"/>
    <n v="430"/>
    <n v="43042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502"/>
    <s v="14"/>
    <s v="Operazione per conto di importo elevato per la causale ed il soggetto"/>
    <d v="2025-04-24T00:00:00"/>
    <n v="53850"/>
    <n v="111"/>
    <s v="053850_111"/>
    <s v="Discovery Day"/>
    <s v="Mai valutato"/>
    <m/>
    <n v="202504237921508"/>
    <n v="1113304874720"/>
    <n v="20250423"/>
    <x v="0"/>
    <m/>
    <m/>
    <s v="D     - Dare"/>
    <n v="29683.38"/>
    <n v="0"/>
    <n v="487472"/>
    <s v="NTNMHL49S12E326H"/>
    <s v="ANTONICELLI MICHELE"/>
    <s v="600 - Famiglie consumatrici"/>
    <m/>
    <s v="086 - ITALIA"/>
    <n v="593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95"/>
    <s v="14"/>
    <s v="Operazione per conto di importo elevato per la causale ed il soggetto"/>
    <d v="2025-04-24T00:00:00"/>
    <n v="53850"/>
    <n v="136"/>
    <s v="053850_136"/>
    <s v="Discovery Day"/>
    <s v="Mai valutato"/>
    <m/>
    <n v="202504237920559"/>
    <n v="1363300003325"/>
    <n v="20250423"/>
    <x v="12"/>
    <m/>
    <m/>
    <s v="D     - Dare"/>
    <n v="22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700000"/>
    <n v="730000"/>
    <n v="760000"/>
    <n v="790000"/>
    <n v="820000"/>
    <n v="850000"/>
    <n v="880000"/>
    <n v="910000"/>
    <n v="940000"/>
    <n v="970000"/>
    <n v="1000000"/>
    <n v="1120000"/>
    <n v="1240000"/>
    <n v="1360000"/>
    <n v="1480000"/>
    <n v="1600000"/>
    <n v="1720000"/>
    <n v="1840000"/>
    <n v="1960000"/>
    <n v="2080000"/>
    <n v="2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90"/>
    <s v="14"/>
    <s v="Operazione per conto di importo elevato per la causale ed il soggetto"/>
    <d v="2025-04-24T00:00:00"/>
    <n v="53850"/>
    <n v="132"/>
    <s v="053850_132"/>
    <s v="Discovery Day"/>
    <s v="Mai valutato"/>
    <m/>
    <s v="202504236222374L"/>
    <n v="1323300003316"/>
    <n v="20250423"/>
    <x v="0"/>
    <m/>
    <m/>
    <s v="D     - Dare"/>
    <n v="2713.36"/>
    <n v="0"/>
    <n v="4974520"/>
    <s v="SMLGNZ48C13A055Y"/>
    <s v="SMALDINI IGNAZIO"/>
    <s v="600 - Famiglie consumatrici"/>
    <m/>
    <s v="086 - ITALIA"/>
    <n v="1628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485"/>
    <s v="14"/>
    <s v="Operazione per conto di importo elevato per la causale ed il soggetto"/>
    <d v="2025-04-24T00:00:00"/>
    <n v="53850"/>
    <n v="145"/>
    <s v="053850_145"/>
    <s v="Discovery Day"/>
    <s v="Mai valutato"/>
    <m/>
    <n v="202504237920083"/>
    <n v="1453300002438"/>
    <n v="20250423"/>
    <x v="1"/>
    <m/>
    <s v="086 - ITALIA"/>
    <s v="A     - Avere"/>
    <n v="758642.93"/>
    <n v="0"/>
    <n v="4700611"/>
    <n v="2837290614"/>
    <s v="GIOVANNI MALINCONICO SPA IN AMMINISTRAZIONE GIUDIZIARIA"/>
    <s v="430 - Imprese produttive"/>
    <s v="421 - COSTRUZIONE DI STRADE E FERROVIE"/>
    <s v="086 - ITALIA"/>
    <n v="1256"/>
    <m/>
    <m/>
    <m/>
    <m/>
    <m/>
    <m/>
    <m/>
    <n v="0"/>
    <n v="202504"/>
    <s v="ARCHIVIATA"/>
    <x v="0"/>
    <n v="1"/>
    <m/>
    <m/>
    <n v="0"/>
    <n v="421"/>
    <n v="430"/>
    <n v="43042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79"/>
    <s v="14"/>
    <s v="Operazione per conto di importo elevato per la causale ed il soggetto"/>
    <d v="2025-04-24T00:00:00"/>
    <n v="53850"/>
    <n v="102"/>
    <s v="053850_102"/>
    <s v="Discovery Day"/>
    <s v="Mai valutato"/>
    <m/>
    <n v="202504237921384"/>
    <n v="1023308726498"/>
    <n v="20250423"/>
    <x v="0"/>
    <m/>
    <m/>
    <s v="D     - Dare"/>
    <n v="66486.850000000006"/>
    <n v="0"/>
    <n v="187762"/>
    <s v="SRRRLB50L45F888O"/>
    <s v="SERRAO ROSALBA"/>
    <s v="600 - Famiglie consumatrici"/>
    <m/>
    <s v="086 - ITALIA"/>
    <n v="1648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77"/>
    <s v="14"/>
    <s v="Operazione per conto di importo elevato per la causale ed il soggetto"/>
    <d v="2025-04-24T00:00:00"/>
    <n v="53850"/>
    <n v="105"/>
    <s v="053850_105"/>
    <s v="Discovery Day"/>
    <s v="Mai valutato"/>
    <m/>
    <n v="202504237920443"/>
    <n v="1053306287103"/>
    <n v="20250423"/>
    <x v="1"/>
    <m/>
    <s v="086 - ITALIA"/>
    <s v="A     - Avere"/>
    <n v="1572927.57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475"/>
    <s v="14"/>
    <s v="Operazione per conto di importo elevato per la causale ed il soggetto"/>
    <d v="2025-04-24T00:00:00"/>
    <n v="53850"/>
    <n v="187"/>
    <s v="053850_187"/>
    <s v="Discovery Day"/>
    <s v="Mai valutato"/>
    <m/>
    <n v="202504237919231"/>
    <n v="999361870311"/>
    <n v="20250423"/>
    <x v="8"/>
    <m/>
    <m/>
    <s v="D     - Dare"/>
    <n v="1277706.639999999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240852.8799999999"/>
    <n v="1244221.3400000001"/>
    <n v="1247589.8"/>
    <n v="1250958.26"/>
    <n v="1254326.72"/>
    <n v="1257695.18"/>
    <n v="1261063.6399999999"/>
    <n v="1264432.1000000001"/>
    <n v="1267800.56"/>
    <n v="1271169.02"/>
    <n v="1274537.48"/>
    <n v="1274854.3959999999"/>
    <n v="1275171.3119999999"/>
    <n v="1275488.2279999999"/>
    <n v="1275805.1440000001"/>
    <n v="1276122.06"/>
    <n v="1276438.976"/>
    <n v="1276755.892"/>
    <n v="1277072.808"/>
    <n v="1277389.7239999999"/>
    <n v="1277706.63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71"/>
    <s v="14"/>
    <s v="Operazione per conto di importo elevato per la causale ed il soggetto"/>
    <d v="2025-04-24T00:00:00"/>
    <n v="53850"/>
    <n v="187"/>
    <s v="053850_187"/>
    <s v="Discovery Day"/>
    <s v="Mai valutato"/>
    <m/>
    <s v="202504236234831L"/>
    <n v="1873300109486"/>
    <n v="20250423"/>
    <x v="0"/>
    <m/>
    <m/>
    <s v="D     - Dare"/>
    <n v="2276.12"/>
    <n v="0"/>
    <n v="4141023"/>
    <s v="DTTSVN55S44L049F"/>
    <s v="DATTO SILVANA"/>
    <s v="600 - Famiglie consumatrici"/>
    <m/>
    <s v="086 - ITALIA"/>
    <n v="116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467"/>
    <s v="14"/>
    <s v="Operazione per conto di importo elevato per la causale ed il soggetto"/>
    <d v="2025-04-23T00:00:00"/>
    <n v="53850"/>
    <n v="129"/>
    <s v="053850_129"/>
    <s v="Discovery Day"/>
    <s v="Mai valutato"/>
    <m/>
    <n v="202504227915901"/>
    <n v="1293300002289"/>
    <n v="20250422"/>
    <x v="1"/>
    <m/>
    <s v="086 - ITALIA"/>
    <s v="A     - Avere"/>
    <n v="1500000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64"/>
    <s v="14"/>
    <s v="Operazione per conto di importo elevato per la causale ed il soggetto"/>
    <d v="2025-04-23T00:00:00"/>
    <n v="53850"/>
    <n v="279"/>
    <s v="053850_279"/>
    <s v="Discovery Day"/>
    <s v="Mai valutato"/>
    <m/>
    <s v="202504226104916L"/>
    <n v="2793300001771"/>
    <n v="20250422"/>
    <x v="0"/>
    <m/>
    <m/>
    <s v="D     - Dare"/>
    <n v="2006.41"/>
    <n v="0"/>
    <n v="1693514"/>
    <n v="2688340690"/>
    <s v="DAFE' S.N.C. DI DANILO SALVATORE E C."/>
    <s v="492 - Quasi societa' non finanziarie altre - Unita' o societa' con meno di 20 addetti"/>
    <s v="563 - BAR E ALTRI ESERCIZI SIMILI SENZA CUCINA"/>
    <s v="086 - ITALIA"/>
    <n v="1786"/>
    <m/>
    <m/>
    <m/>
    <m/>
    <m/>
    <m/>
    <m/>
    <n v="0"/>
    <n v="202504"/>
    <s v="ARCHIVIATA DA RPR"/>
    <x v="0"/>
    <n v="1"/>
    <m/>
    <m/>
    <n v="1"/>
    <n v="999"/>
    <n v="492"/>
    <n v="492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63"/>
    <s v="14"/>
    <s v="Operazione per conto di importo elevato per la causale ed il soggetto"/>
    <d v="2025-04-23T00:00:00"/>
    <n v="53850"/>
    <n v="117"/>
    <s v="053850_117"/>
    <s v="Discovery Day"/>
    <s v="Mai valutato"/>
    <m/>
    <n v="202504227916745"/>
    <n v="1173300538670"/>
    <n v="20250422"/>
    <x v="1"/>
    <m/>
    <s v="086 - ITALIA"/>
    <s v="A     - Avere"/>
    <n v="349192.69"/>
    <n v="0"/>
    <n v="4645325"/>
    <s v="LNEMST53E59A662Q"/>
    <s v="LEONE MARIA STELLA"/>
    <s v="600 - Famiglie consumatrici"/>
    <m/>
    <s v="086 - ITALIA"/>
    <n v="1772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60"/>
    <s v="14"/>
    <s v="Operazione per conto di importo elevato per la causale ed il soggetto"/>
    <d v="2025-04-23T00:00:00"/>
    <n v="53850"/>
    <n v="103"/>
    <s v="053850_103"/>
    <s v="Discovery Day"/>
    <s v="Mai valutato"/>
    <m/>
    <n v="202504227918100"/>
    <n v="1033306974008"/>
    <n v="20250422"/>
    <x v="0"/>
    <m/>
    <m/>
    <s v="D     - Dare"/>
    <n v="7562.53"/>
    <n v="0"/>
    <n v="4562541"/>
    <s v="GFFFNC86M23A662I"/>
    <s v="GOFFREDO FRANCESCO"/>
    <s v="600 - Famiglie consumatrici"/>
    <m/>
    <s v="086 - ITALIA"/>
    <n v="1099"/>
    <m/>
    <m/>
    <m/>
    <m/>
    <m/>
    <m/>
    <m/>
    <n v="0"/>
    <n v="202504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456"/>
    <s v="14"/>
    <s v="Operazione per conto di importo elevato per la causale ed il soggetto"/>
    <d v="2025-04-23T00:00:00"/>
    <n v="53850"/>
    <n v="117"/>
    <s v="053850_117"/>
    <s v="Discovery Day"/>
    <s v="Mai valutato"/>
    <m/>
    <n v="202504227916745"/>
    <n v="1173300538670"/>
    <n v="20250422"/>
    <x v="1"/>
    <m/>
    <s v="086 - ITALIA"/>
    <s v="A     - Avere"/>
    <n v="349192.69"/>
    <n v="0"/>
    <n v="4035187"/>
    <s v="LNERNG60B10A662I"/>
    <s v="LEONE ARCANGELO GERMANO"/>
    <s v="600 - Famiglie consumatrici"/>
    <m/>
    <s v="086 - ITALIA"/>
    <n v="1772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54"/>
    <s v="14"/>
    <s v="Operazione per conto di importo elevato per la causale ed il soggetto"/>
    <d v="2025-04-23T00:00:00"/>
    <n v="53850"/>
    <n v="279"/>
    <s v="053850_279"/>
    <s v="Discovery Day"/>
    <s v="Mai valutato"/>
    <m/>
    <n v="202504227918653"/>
    <n v="2793300000731"/>
    <n v="20250422"/>
    <x v="0"/>
    <m/>
    <m/>
    <s v="D     - Dare"/>
    <n v="8882.2099999999991"/>
    <n v="0"/>
    <n v="1668170"/>
    <s v="CRIGNN35L70G290V"/>
    <s v="CIERI GIOVANNA ANTONIETTA"/>
    <s v="600 - Famiglie consumatrici"/>
    <m/>
    <s v="086 - ITALIA"/>
    <n v="182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51"/>
    <s v="14"/>
    <s v="Operazione per conto di importo elevato per la causale ed il soggetto"/>
    <d v="2025-04-23T00:00:00"/>
    <n v="53850"/>
    <n v="167"/>
    <s v="053850_167"/>
    <s v="Discovery Day"/>
    <s v="Mai valutato"/>
    <m/>
    <n v="202504227918059"/>
    <n v="1673300000962"/>
    <n v="20250422"/>
    <x v="0"/>
    <m/>
    <m/>
    <s v="D     - Dare"/>
    <n v="11241.66"/>
    <n v="0"/>
    <n v="4755229"/>
    <s v="PRRGLC73P05F052O"/>
    <s v="PERRONE GIANLUCA"/>
    <s v="600 - Famiglie consumatrici"/>
    <m/>
    <s v="086 - ITALIA"/>
    <n v="451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48"/>
    <s v="14"/>
    <s v="Operazione per conto di importo elevato per la causale ed il soggetto"/>
    <d v="2025-04-23T00:00:00"/>
    <n v="53850"/>
    <n v="187"/>
    <s v="053850_187"/>
    <s v="Discovery Day"/>
    <s v="Mai valutato"/>
    <m/>
    <n v="202504227915242"/>
    <n v="999361870311"/>
    <n v="20250422"/>
    <x v="3"/>
    <m/>
    <s v="086 - ITALIA"/>
    <s v="D     - Dare"/>
    <n v="2852357.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43"/>
    <s v="14"/>
    <s v="Operazione per conto di importo elevato per la causale ed il soggetto"/>
    <d v="2025-04-23T00:00:00"/>
    <n v="53850"/>
    <n v="137"/>
    <s v="053850_137"/>
    <s v="Discovery Day"/>
    <s v="Mai valutato"/>
    <m/>
    <n v="202504227916919"/>
    <n v="1373304102457"/>
    <n v="20250422"/>
    <x v="1"/>
    <m/>
    <s v="086 - ITALIA"/>
    <s v="A     - Avere"/>
    <n v="390167.62"/>
    <n v="0"/>
    <n v="1003291"/>
    <s v="FRRGPP44R58L230X"/>
    <s v="FERRAZZANO GIUSEPPINA"/>
    <s v="600 - Famiglie consumatrici"/>
    <m/>
    <s v="086 - ITALIA"/>
    <n v="1867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42"/>
    <s v="14"/>
    <s v="Operazione per conto di importo elevato per la causale ed il soggetto"/>
    <d v="2025-04-23T00:00:00"/>
    <n v="53850"/>
    <n v="168"/>
    <s v="053850_168"/>
    <s v="Discovery Day"/>
    <s v="Mai valutato"/>
    <m/>
    <n v="202504227918393"/>
    <n v="1683306276775"/>
    <n v="20250422"/>
    <x v="0"/>
    <m/>
    <m/>
    <s v="D     - Dare"/>
    <n v="50379.92"/>
    <n v="0"/>
    <n v="105145"/>
    <s v="NCSGPP38S28C351Q"/>
    <s v="NICASTRO GIUSEPPE"/>
    <s v="600 - Famiglie consumatrici"/>
    <m/>
    <s v="086 - ITALIA"/>
    <n v="131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40"/>
    <s v="14"/>
    <s v="Operazione per conto di importo elevato per la causale ed il soggetto"/>
    <d v="2025-04-23T00:00:00"/>
    <n v="53850"/>
    <n v="168"/>
    <s v="053850_168"/>
    <s v="Discovery Day"/>
    <s v="Mai valutato"/>
    <m/>
    <n v="202504227918393"/>
    <n v="1683306276775"/>
    <n v="20250422"/>
    <x v="0"/>
    <m/>
    <m/>
    <s v="D     - Dare"/>
    <n v="50379.92"/>
    <n v="0"/>
    <n v="4874375"/>
    <s v="CCCLNE34M58I330P"/>
    <s v="CECCA ELENA"/>
    <s v="600 - Famiglie consumatrici"/>
    <m/>
    <s v="086 - ITALIA"/>
    <n v="131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36"/>
    <s v="14"/>
    <s v="Operazione per conto di importo elevato per la causale ed il soggetto"/>
    <d v="2025-04-23T00:00:00"/>
    <n v="53850"/>
    <n v="169"/>
    <s v="053850_169"/>
    <s v="Discovery Day"/>
    <s v="Mai valutato"/>
    <m/>
    <n v="202504227918396"/>
    <n v="1693302223267"/>
    <n v="20250422"/>
    <x v="3"/>
    <m/>
    <s v="086 - ITALIA"/>
    <s v="D     - Dare"/>
    <n v="250000"/>
    <n v="0"/>
    <n v="4254594"/>
    <s v="BLGSMR51D55A883W"/>
    <s v="BELGIOVINE ISA MARIA"/>
    <s v="600 - Famiglie consumatrici"/>
    <m/>
    <s v="086 - ITALIA"/>
    <n v="1352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34"/>
    <s v="14"/>
    <s v="Operazione per conto di importo elevato per la causale ed il soggetto"/>
    <d v="2025-04-23T00:00:00"/>
    <n v="53850"/>
    <n v="109"/>
    <s v="053850_109"/>
    <s v="Discovery Day"/>
    <s v="Mai valutato"/>
    <m/>
    <n v="202504227917396"/>
    <n v="1093306677156"/>
    <n v="20250422"/>
    <x v="6"/>
    <m/>
    <m/>
    <s v="D     - Dare"/>
    <n v="250000"/>
    <n v="0"/>
    <n v="455840"/>
    <s v="SVNPLA75A53A662D"/>
    <s v="SAVINO PAOLA"/>
    <s v="600 - Famiglie consumatrici"/>
    <m/>
    <s v="086 - ITALIA"/>
    <n v="50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33"/>
    <s v="14"/>
    <s v="Operazione per conto di importo elevato per la causale ed il soggetto"/>
    <d v="2025-04-23T00:00:00"/>
    <n v="53850"/>
    <n v="169"/>
    <s v="053850_169"/>
    <s v="Discovery Day"/>
    <s v="Mai valutato"/>
    <m/>
    <n v="202504227918396"/>
    <n v="1693302223267"/>
    <n v="20250422"/>
    <x v="3"/>
    <m/>
    <s v="086 - ITALIA"/>
    <s v="D     - Dare"/>
    <n v="250000"/>
    <n v="0"/>
    <n v="4254593"/>
    <s v="SCHLDM48E30A883V"/>
    <s v="SCHIRALLI LUIGI DOMENICO VITO"/>
    <s v="600 - Famiglie consumatrici"/>
    <m/>
    <s v="086 - ITALIA"/>
    <n v="1352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30"/>
    <s v="14"/>
    <s v="Operazione per conto di importo elevato per la causale ed il soggetto"/>
    <d v="2025-04-23T00:00:00"/>
    <n v="53850"/>
    <n v="279"/>
    <s v="053850_279"/>
    <s v="Discovery Day"/>
    <s v="Mai valutato"/>
    <m/>
    <n v="202504227918653"/>
    <n v="2793300000731"/>
    <n v="20250422"/>
    <x v="0"/>
    <m/>
    <m/>
    <s v="D     - Dare"/>
    <n v="8882.2099999999991"/>
    <n v="0"/>
    <n v="1668422"/>
    <s v="CNTNMR60S42G290H"/>
    <s v="CONTE ANITA MARIA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27"/>
    <s v="14"/>
    <s v="Operazione per conto di importo elevato per la causale ed il soggetto"/>
    <d v="2025-04-23T00:00:00"/>
    <n v="53850"/>
    <n v="102"/>
    <s v="053850_102"/>
    <s v="Discovery Day"/>
    <s v="Mai valutato"/>
    <m/>
    <n v="202504227915512"/>
    <n v="1023308727913"/>
    <n v="20250422"/>
    <x v="13"/>
    <m/>
    <s v="086 - ITALIA"/>
    <s v="D     - Dare"/>
    <n v="2500000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25"/>
    <s v="14"/>
    <s v="Operazione per conto di importo elevato per la causale ed il soggetto"/>
    <d v="2025-04-23T00:00:00"/>
    <n v="53850"/>
    <n v="167"/>
    <s v="053850_167"/>
    <s v="Discovery Day"/>
    <s v="Mai valutato"/>
    <m/>
    <n v="202504227918059"/>
    <n v="1673300000962"/>
    <n v="20250422"/>
    <x v="0"/>
    <m/>
    <m/>
    <s v="D     - Dare"/>
    <n v="11241.66"/>
    <n v="0"/>
    <n v="4034244"/>
    <s v="BSLTZN76S52H096Y"/>
    <s v="BASILE TIZIANA"/>
    <s v="600 - Famiglie consumatrici"/>
    <m/>
    <s v="086 - ITALIA"/>
    <n v="451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23"/>
    <s v="14"/>
    <s v="Operazione per conto di importo elevato per la causale ed il soggetto"/>
    <d v="2025-04-23T00:00:00"/>
    <n v="53850"/>
    <n v="109"/>
    <s v="053850_109"/>
    <s v="Discovery Day"/>
    <s v="Mai valutato"/>
    <m/>
    <n v="202504227917396"/>
    <n v="1093306677156"/>
    <n v="20250422"/>
    <x v="6"/>
    <m/>
    <m/>
    <s v="D     - Dare"/>
    <n v="250000"/>
    <n v="0"/>
    <n v="9339"/>
    <s v="SGNPLM44D60A662S"/>
    <s v="SIGNORILE PALMA"/>
    <s v="600 - Famiglie consumatrici"/>
    <m/>
    <s v="086 - ITALIA"/>
    <n v="50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22"/>
    <s v="14"/>
    <s v="Operazione per conto di importo elevato per la causale ed il soggetto"/>
    <d v="2025-04-23T00:00:00"/>
    <n v="53850"/>
    <n v="103"/>
    <s v="053850_103"/>
    <s v="Discovery Day"/>
    <s v="Mai valutato"/>
    <m/>
    <n v="202504227918100"/>
    <n v="1033306974008"/>
    <n v="20250422"/>
    <x v="0"/>
    <m/>
    <m/>
    <s v="D     - Dare"/>
    <n v="7562.53"/>
    <n v="0"/>
    <n v="4336032"/>
    <s v="SNSRSO86T56E155F"/>
    <s v="SINISI ROSA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414"/>
    <s v="14"/>
    <s v="Operazione per conto di importo elevato per la causale ed il soggetto"/>
    <d v="2025-04-23T00:00:00"/>
    <n v="53850"/>
    <n v="117"/>
    <s v="053850_117"/>
    <s v="Discovery Day"/>
    <s v="Mai valutato"/>
    <m/>
    <n v="202504187917140"/>
    <n v="1170050027918"/>
    <n v="20250418"/>
    <x v="14"/>
    <m/>
    <m/>
    <s v="D     - Dare"/>
    <n v="402992.09"/>
    <n v="0"/>
    <n v="4035187"/>
    <s v="LNERNG60B10A662I"/>
    <s v="LEONE ARCANGELO GERMANO"/>
    <s v="600 - Famiglie consumatrici"/>
    <m/>
    <s v="086 - ITALIA"/>
    <n v="1772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06"/>
    <s v="14"/>
    <s v="Operazione per conto di importo elevato per la causale ed il soggetto"/>
    <d v="2025-04-19T00:00:00"/>
    <n v="53850"/>
    <n v="143"/>
    <s v="053850_143"/>
    <s v="Discovery Day"/>
    <s v="Mai valutato"/>
    <m/>
    <n v="202504187910037"/>
    <n v="1423300308937"/>
    <n v="20250418"/>
    <x v="3"/>
    <m/>
    <s v="086 - ITALIA"/>
    <s v="D     - Dare"/>
    <n v="208650"/>
    <n v="0"/>
    <n v="4922771"/>
    <s v="DLLLCU62C13I158Q"/>
    <s v="DELLISANTI LUCIO"/>
    <s v="600 - Famiglie consumatrici"/>
    <m/>
    <s v="086 - ITALIA"/>
    <n v="860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02"/>
    <s v="14"/>
    <s v="Operazione per conto di importo elevato per la causale ed il soggetto"/>
    <d v="2025-04-19T00:00:00"/>
    <n v="53850"/>
    <n v="122"/>
    <s v="053850_122"/>
    <s v="Discovery Day"/>
    <s v="Mai valutato"/>
    <m/>
    <n v="202504187909307"/>
    <n v="1223300001682"/>
    <n v="20250418"/>
    <x v="15"/>
    <m/>
    <m/>
    <s v="D     - Dare"/>
    <n v="3299950.48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01"/>
    <s v="14"/>
    <s v="Operazione per conto di importo elevato per la causale ed il soggetto"/>
    <d v="2025-04-19T00:00:00"/>
    <n v="53850"/>
    <n v="264"/>
    <s v="053850_264"/>
    <s v="Discovery Day"/>
    <s v="Mai valutato"/>
    <m/>
    <s v="202504186077488L"/>
    <n v="2643300010660"/>
    <n v="20250418"/>
    <x v="0"/>
    <m/>
    <m/>
    <s v="D     - Dare"/>
    <n v="4504.6099999999997"/>
    <n v="0"/>
    <n v="3740410"/>
    <s v="CRBMRC80S16G786H"/>
    <s v="CARBONE MARCO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400"/>
    <s v="14"/>
    <s v="Operazione per conto di importo elevato per la causale ed il soggetto"/>
    <d v="2025-04-19T00:00:00"/>
    <n v="53850"/>
    <n v="171"/>
    <s v="053850_171"/>
    <s v="Discovery Day"/>
    <s v="Mai valutato"/>
    <m/>
    <n v="202504187910116"/>
    <n v="1713302213235"/>
    <n v="20250418"/>
    <x v="0"/>
    <m/>
    <m/>
    <s v="D     - Dare"/>
    <n v="10138.19"/>
    <n v="0"/>
    <n v="4066625"/>
    <s v="LLGMRA40M53A893U"/>
    <s v="ALLEGRETTI MARIA"/>
    <s v="600 - Famiglie consumatrici"/>
    <m/>
    <s v="086 - ITALIA"/>
    <n v="85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97"/>
    <s v="14"/>
    <s v="Operazione per conto di importo elevato per la causale ed il soggetto"/>
    <d v="2025-04-19T00:00:00"/>
    <n v="53850"/>
    <n v="143"/>
    <s v="053850_143"/>
    <s v="Discovery Day"/>
    <s v="Mai valutato"/>
    <m/>
    <n v="202504187910037"/>
    <n v="1423300308937"/>
    <n v="20250418"/>
    <x v="3"/>
    <m/>
    <s v="086 - ITALIA"/>
    <s v="D     - Dare"/>
    <n v="208650"/>
    <n v="0"/>
    <n v="4922778"/>
    <s v="GBRFRT68R69Z315E"/>
    <s v="GEBREYES TEGEGNE FIKIRET"/>
    <s v="600 - Famiglie consumatrici"/>
    <m/>
    <s v="086 - ITALIA"/>
    <n v="65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96"/>
    <s v="14"/>
    <s v="Operazione per conto di importo elevato per la causale ed il soggetto"/>
    <d v="2025-04-19T00:00:00"/>
    <n v="53850"/>
    <n v="132"/>
    <s v="053850_132"/>
    <s v="Discovery Day"/>
    <s v="Mai valutato"/>
    <m/>
    <n v="202504187910004"/>
    <n v="1323300001944"/>
    <n v="20250418"/>
    <x v="9"/>
    <m/>
    <m/>
    <s v="D     - Dare"/>
    <n v="329000"/>
    <n v="0"/>
    <n v="4730749"/>
    <s v="PRSGNT90P24L418W"/>
    <s v="PARISI GIACINTO"/>
    <s v="600 - Famiglie consumatrici"/>
    <m/>
    <s v="086 - ITALIA"/>
    <n v="873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395"/>
    <s v="14"/>
    <s v="Operazione per conto di importo elevato per la causale ed il soggetto"/>
    <d v="2025-04-19T00:00:00"/>
    <n v="53850"/>
    <n v="121"/>
    <s v="053850_121"/>
    <s v="Discovery Day"/>
    <s v="Mai valutato"/>
    <m/>
    <n v="202504187908967"/>
    <n v="1213300002600"/>
    <n v="20250418"/>
    <x v="3"/>
    <m/>
    <s v="086 - ITALIA"/>
    <s v="D     - Dare"/>
    <n v="1000000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4"/>
    <s v="IN CARICO AL RESPONSABILE"/>
    <x v="1"/>
    <n v="1"/>
    <m/>
    <m/>
    <n v="0"/>
    <n v="463"/>
    <n v="430"/>
    <n v="430463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392"/>
    <s v="14"/>
    <s v="Operazione per conto di importo elevato per la causale ed il soggetto"/>
    <d v="2025-04-19T00:00:00"/>
    <n v="53850"/>
    <n v="192"/>
    <s v="053850_192"/>
    <s v="Discovery Day"/>
    <s v="Mai valutato"/>
    <m/>
    <n v="202504187910166"/>
    <n v="1923300183477"/>
    <n v="20250418"/>
    <x v="0"/>
    <m/>
    <m/>
    <s v="D     - Dare"/>
    <n v="8442.5499999999993"/>
    <n v="0"/>
    <n v="4587104"/>
    <s v="MLIMRA73A43E986S"/>
    <s v="MIALI MARIA"/>
    <s v="600 - Famiglie consumatrici"/>
    <m/>
    <s v="086 - ITALIA"/>
    <n v="363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391"/>
    <s v="14"/>
    <s v="Operazione per conto di importo elevato per la causale ed il soggetto"/>
    <d v="2025-04-19T00:00:00"/>
    <n v="53850"/>
    <n v="171"/>
    <s v="053850_171"/>
    <s v="Discovery Day"/>
    <s v="Mai valutato"/>
    <m/>
    <n v="202504187910116"/>
    <n v="1713302213235"/>
    <n v="20250418"/>
    <x v="0"/>
    <m/>
    <m/>
    <s v="D     - Dare"/>
    <n v="10138.19"/>
    <n v="0"/>
    <n v="4063319"/>
    <s v="FRSGPP32H08A893Q"/>
    <s v="FRASCELLA GIUSEPPE"/>
    <s v="600 - Famiglie consumatrici"/>
    <m/>
    <s v="086 - ITALIA"/>
    <n v="85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90"/>
    <s v="14"/>
    <s v="Operazione per conto di importo elevato per la causale ed il soggetto"/>
    <d v="2025-04-19T00:00:00"/>
    <n v="53850"/>
    <n v="192"/>
    <s v="053850_192"/>
    <s v="Discovery Day"/>
    <s v="Mai valutato"/>
    <m/>
    <n v="202504187910166"/>
    <n v="1923300183477"/>
    <n v="20250418"/>
    <x v="0"/>
    <m/>
    <m/>
    <s v="D     - Dare"/>
    <n v="8442.5499999999993"/>
    <n v="0"/>
    <n v="3060699"/>
    <s v="MLITDS39E26E986A"/>
    <s v="MIALI TEODOSIO"/>
    <s v="600 - Famiglie consumatrici"/>
    <m/>
    <s v="086 - ITALIA"/>
    <n v="363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387"/>
    <s v="14"/>
    <s v="Operazione per conto di importo elevato per la causale ed il soggetto"/>
    <d v="2025-04-19T00:00:00"/>
    <n v="53850"/>
    <n v="264"/>
    <s v="053850_264"/>
    <s v="Discovery Day"/>
    <s v="Mai valutato"/>
    <m/>
    <s v="202504186077488L"/>
    <n v="2643300010660"/>
    <n v="20250418"/>
    <x v="0"/>
    <m/>
    <m/>
    <s v="D     - Dare"/>
    <n v="4504.6099999999997"/>
    <n v="0"/>
    <n v="3740411"/>
    <s v="CRBNGL74L11F052Z"/>
    <s v="CARBONE ANGELO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86"/>
    <s v="14"/>
    <s v="Operazione per conto di importo elevato per la causale ed il soggetto"/>
    <d v="2025-04-19T00:00:00"/>
    <n v="53850"/>
    <n v="264"/>
    <s v="053850_264"/>
    <s v="Discovery Day"/>
    <s v="Mai valutato"/>
    <m/>
    <s v="202504186077488L"/>
    <n v="2643300010660"/>
    <n v="20250418"/>
    <x v="0"/>
    <m/>
    <m/>
    <s v="D     - Dare"/>
    <n v="4504.6099999999997"/>
    <n v="0"/>
    <n v="3740414"/>
    <s v="CRBLRD78M07F052Q"/>
    <s v="CARBONE LEONARDO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74"/>
    <s v="14"/>
    <s v="Operazione per conto di importo elevato per la causale ed il soggetto"/>
    <d v="2025-04-18T00:00:00"/>
    <n v="53850"/>
    <n v="268"/>
    <s v="053850_268"/>
    <s v="Discovery Day"/>
    <s v="Mai valutato"/>
    <m/>
    <n v="202504177907010"/>
    <n v="2683300000171"/>
    <n v="20250417"/>
    <x v="16"/>
    <m/>
    <m/>
    <s v="D     - Dare"/>
    <n v="805996.47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72"/>
    <s v="14"/>
    <s v="Operazione per conto di importo elevato per la causale ed il soggetto"/>
    <d v="2025-04-18T00:00:00"/>
    <n v="53850"/>
    <n v="192"/>
    <s v="053850_192"/>
    <s v="Discovery Day"/>
    <s v="Mai valutato"/>
    <m/>
    <s v="202504176017961L"/>
    <n v="1923300178032"/>
    <n v="20250417"/>
    <x v="0"/>
    <m/>
    <m/>
    <s v="D     - Dare"/>
    <n v="1480.93"/>
    <n v="0"/>
    <n v="4031368"/>
    <s v="PLONGL37C51H096Q"/>
    <s v="POLI ANGELA"/>
    <s v="600 - Famiglie consumatrici"/>
    <m/>
    <s v="086 - ITALIA"/>
    <n v="48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69"/>
    <s v="14"/>
    <s v="Operazione per conto di importo elevato per la causale ed il soggetto"/>
    <d v="2025-04-18T00:00:00"/>
    <n v="53850"/>
    <n v="104"/>
    <s v="053850_104"/>
    <s v="Discovery Day"/>
    <s v="Mai valutato"/>
    <m/>
    <n v="202504177907564"/>
    <n v="1043301449156"/>
    <n v="20250417"/>
    <x v="5"/>
    <m/>
    <m/>
    <s v="A     - Avere"/>
    <n v="58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368"/>
    <s v="14"/>
    <s v="Operazione per conto di importo elevato per la causale ed il soggetto"/>
    <d v="2025-04-18T00:00:00"/>
    <n v="53850"/>
    <n v="196"/>
    <s v="053850_196"/>
    <s v="Discovery Day"/>
    <s v="Mai valutato"/>
    <m/>
    <n v="202504177905875"/>
    <n v="1963302353232"/>
    <n v="20250417"/>
    <x v="3"/>
    <m/>
    <s v="086 - ITALIA"/>
    <s v="D     - Dare"/>
    <n v="1060364.46"/>
    <n v="0"/>
    <n v="4129136"/>
    <n v="1943350718"/>
    <s v="VINORTE S.R.L."/>
    <s v="430 - Imprese produttive"/>
    <s v="110 - INDUSTRIA DELLE BEVANDE"/>
    <s v="086 - ITALIA"/>
    <n v="870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66"/>
    <s v="14"/>
    <s v="Operazione per conto di importo elevato per la causale ed il soggetto"/>
    <d v="2025-04-18T00:00:00"/>
    <n v="53850"/>
    <n v="192"/>
    <s v="053850_192"/>
    <s v="Discovery Day"/>
    <s v="Mai valutato"/>
    <m/>
    <s v="202504176017962L"/>
    <n v="1923300125945"/>
    <n v="20250417"/>
    <x v="0"/>
    <m/>
    <m/>
    <s v="D     - Dare"/>
    <n v="1081.31"/>
    <n v="0"/>
    <n v="3174010"/>
    <s v="CCRNTN32L10E986O"/>
    <s v="CICERO ANTONIO"/>
    <s v="600 - Famiglie consumatrici"/>
    <m/>
    <s v="086 - ITALIA"/>
    <n v="48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55"/>
    <s v="14"/>
    <s v="Operazione per conto di importo elevato per la causale ed il soggetto"/>
    <d v="2025-04-18T00:00:00"/>
    <n v="53850"/>
    <n v="268"/>
    <s v="053850_268"/>
    <s v="Discovery Day"/>
    <s v="Mai valutato"/>
    <m/>
    <n v="202504177907009"/>
    <n v="2681147800157"/>
    <n v="20250417"/>
    <x v="17"/>
    <m/>
    <m/>
    <s v="A     - Avere"/>
    <n v="805996.47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47"/>
    <s v="14"/>
    <s v="Operazione per conto di importo elevato per la causale ed il soggetto"/>
    <d v="2025-04-18T00:00:00"/>
    <n v="53850"/>
    <n v="192"/>
    <s v="053850_192"/>
    <s v="Discovery Day"/>
    <s v="Mai valutato"/>
    <m/>
    <s v="202504176017961L"/>
    <n v="1923300178032"/>
    <n v="20250417"/>
    <x v="0"/>
    <m/>
    <m/>
    <s v="D     - Dare"/>
    <n v="1480.93"/>
    <n v="0"/>
    <n v="3174010"/>
    <s v="CCRNTN32L10E986O"/>
    <s v="CICERO ANTONIO"/>
    <s v="600 - Famiglie consumatrici"/>
    <m/>
    <s v="086 - ITALIA"/>
    <n v="48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37"/>
    <s v="14"/>
    <s v="Operazione per conto di importo elevato per la causale ed il soggetto"/>
    <d v="2025-04-17T00:00:00"/>
    <n v="53850"/>
    <n v="125"/>
    <s v="053850_125"/>
    <s v="Discovery Day"/>
    <s v="Mai valutato"/>
    <m/>
    <s v="202504165994287L"/>
    <n v="1253300001246"/>
    <n v="20250416"/>
    <x v="0"/>
    <m/>
    <m/>
    <s v="D     - Dare"/>
    <n v="1650.83"/>
    <n v="0"/>
    <n v="4171290"/>
    <s v="GNTFNN61D15I676G"/>
    <s v="GENTILE FERNANDO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36"/>
    <s v="14"/>
    <s v="Operazione per conto di importo elevato per la causale ed il soggetto"/>
    <d v="2025-04-17T00:00:00"/>
    <n v="53850"/>
    <n v="119"/>
    <s v="053850_119"/>
    <s v="Discovery Day"/>
    <s v="Mai valutato"/>
    <m/>
    <n v="202504167905032"/>
    <n v="1193308874020"/>
    <n v="20250416"/>
    <x v="0"/>
    <m/>
    <m/>
    <s v="D     - Dare"/>
    <n v="8026.95"/>
    <n v="0"/>
    <n v="475355"/>
    <s v="CLLNGL31A06A662F"/>
    <s v="CILLO ANGELO"/>
    <s v="600 - Famiglie consumatrici"/>
    <m/>
    <s v="086 - ITALIA"/>
    <n v="669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35"/>
    <s v="14"/>
    <s v="Operazione per conto di importo elevato per la causale ed il soggetto"/>
    <d v="2025-04-17T00:00:00"/>
    <n v="53850"/>
    <n v="122"/>
    <s v="053850_122"/>
    <s v="Discovery Day"/>
    <s v="Mai valutato"/>
    <m/>
    <n v="202504167902925"/>
    <n v="1223300001682"/>
    <n v="20250416"/>
    <x v="1"/>
    <m/>
    <s v="086 - ITALIA"/>
    <s v="A     - Avere"/>
    <n v="1245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333"/>
    <s v="14"/>
    <s v="Operazione per conto di importo elevato per la causale ed il soggetto"/>
    <d v="2025-04-17T00:00:00"/>
    <n v="53850"/>
    <n v="106"/>
    <s v="053850_106"/>
    <s v="Discovery Day"/>
    <s v="Mai valutato"/>
    <m/>
    <n v="202504167904969"/>
    <n v="1063302770540"/>
    <n v="20250416"/>
    <x v="0"/>
    <m/>
    <m/>
    <s v="D     - Dare"/>
    <n v="12338.81"/>
    <n v="0"/>
    <n v="4111345"/>
    <s v="ZCCGTN68T18L328D"/>
    <s v="ZACCAGNI GAETANO"/>
    <s v="600 - Famiglie consumatrici"/>
    <m/>
    <s v="086 - ITALIA"/>
    <n v="1464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332"/>
    <s v="14"/>
    <s v="Operazione per conto di importo elevato per la causale ed il soggetto"/>
    <d v="2025-04-17T00:00:00"/>
    <n v="53850"/>
    <n v="106"/>
    <s v="053850_106"/>
    <s v="Discovery Day"/>
    <s v="Mai valutato"/>
    <m/>
    <n v="202504167904969"/>
    <n v="1063302770540"/>
    <n v="20250416"/>
    <x v="0"/>
    <m/>
    <m/>
    <s v="D     - Dare"/>
    <n v="12338.81"/>
    <n v="0"/>
    <n v="34026"/>
    <s v="ZCCFDN34D27F220B"/>
    <s v="ZACCAGNI FERDINANDO"/>
    <s v="600 - Famiglie consumatrici"/>
    <m/>
    <s v="086 - ITALIA"/>
    <n v="1464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324"/>
    <s v="14"/>
    <s v="Operazione per conto di importo elevato per la causale ed il soggetto"/>
    <d v="2025-04-17T00:00:00"/>
    <n v="53850"/>
    <n v="125"/>
    <s v="053850_125"/>
    <s v="Discovery Day"/>
    <s v="Mai valutato"/>
    <m/>
    <s v="202504165994287L"/>
    <n v="1253300001246"/>
    <n v="20250416"/>
    <x v="0"/>
    <m/>
    <m/>
    <s v="D     - Dare"/>
    <n v="1650.83"/>
    <n v="0"/>
    <n v="4171313"/>
    <s v="GNTGNI65M09I676Y"/>
    <s v="GENTILE GINO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22"/>
    <s v="14"/>
    <s v="Operazione per conto di importo elevato per la causale ed il soggetto"/>
    <d v="2025-04-17T00:00:00"/>
    <n v="53850"/>
    <n v="141"/>
    <s v="053850_141"/>
    <s v="Discovery Day"/>
    <s v="Mai valutato"/>
    <m/>
    <n v="202504167905088"/>
    <n v="1413300004360"/>
    <n v="20250416"/>
    <x v="3"/>
    <m/>
    <m/>
    <s v="D     - Dare"/>
    <n v="320000"/>
    <n v="0"/>
    <n v="3740194"/>
    <s v="RREFRC81H70D862X"/>
    <s v="ERROI FEDERICA"/>
    <s v="600 - Famiglie consumatrici"/>
    <m/>
    <s v="086 - ITALIA"/>
    <n v="1380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318"/>
    <s v="14"/>
    <s v="Operazione per conto di importo elevato per la causale ed il soggetto"/>
    <d v="2025-04-17T00:00:00"/>
    <n v="53850"/>
    <n v="187"/>
    <s v="053850_187"/>
    <s v="Discovery Day"/>
    <s v="Mai valutato"/>
    <m/>
    <n v="202504167902317"/>
    <n v="999361870311"/>
    <n v="20250416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16"/>
    <s v="14"/>
    <s v="Operazione per conto di importo elevato per la causale ed il soggetto"/>
    <d v="2025-04-17T00:00:00"/>
    <n v="53850"/>
    <n v="270"/>
    <s v="053850_270"/>
    <s v="Discovery Day"/>
    <s v="Mai valutato"/>
    <m/>
    <n v="202504167904871"/>
    <n v="2703300010043"/>
    <n v="20250416"/>
    <x v="0"/>
    <m/>
    <m/>
    <s v="D     - Dare"/>
    <n v="45671.839999999997"/>
    <n v="0"/>
    <n v="1623092"/>
    <s v="RSTNDA62R42Z700H"/>
    <s v="ROSATO NADIA"/>
    <s v="600 - Famiglie consumatrici"/>
    <m/>
    <s v="086 - ITALIA"/>
    <n v="187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313"/>
    <s v="14"/>
    <s v="Operazione per conto di importo elevato per la causale ed il soggetto"/>
    <d v="2025-04-17T00:00:00"/>
    <n v="53850"/>
    <n v="119"/>
    <s v="053850_119"/>
    <s v="Discovery Day"/>
    <s v="Mai valutato"/>
    <m/>
    <n v="202504167905032"/>
    <n v="1193308874020"/>
    <n v="20250416"/>
    <x v="0"/>
    <m/>
    <m/>
    <s v="D     - Dare"/>
    <n v="8026.95"/>
    <n v="0"/>
    <n v="571251"/>
    <s v="CLLLRD63B02A662N"/>
    <s v="CILLO LEONARDO"/>
    <s v="600 - Famiglie consumatrici"/>
    <m/>
    <s v="086 - ITALIA"/>
    <n v="669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12"/>
    <s v="14"/>
    <s v="Operazione per conto di importo elevato per la causale ed il soggetto"/>
    <d v="2025-04-17T00:00:00"/>
    <n v="53850"/>
    <n v="106"/>
    <s v="053850_106"/>
    <s v="Discovery Day"/>
    <s v="Mai valutato"/>
    <m/>
    <n v="202504167904966"/>
    <n v="1063302768424"/>
    <n v="20250416"/>
    <x v="0"/>
    <m/>
    <m/>
    <s v="D     - Dare"/>
    <n v="20474.53"/>
    <n v="0"/>
    <n v="4028926"/>
    <n v="90018550724"/>
    <s v="ASSOCIAZIONE PRO LOCO MINERVINO MURGE"/>
    <s v="501 - Istituzioni ed enti con finalita' di assistenza, beneficenza, istruzione, culturali, sindacali, politiche, sportive, ricreative e simili"/>
    <m/>
    <s v="086 - ITALIA"/>
    <n v="1630"/>
    <m/>
    <m/>
    <m/>
    <m/>
    <m/>
    <m/>
    <m/>
    <n v="0"/>
    <n v="202504"/>
    <s v="IN VALUTAZIONE RPR"/>
    <x v="1"/>
    <n v="1"/>
    <m/>
    <m/>
    <n v="1"/>
    <n v="999"/>
    <n v="501"/>
    <n v="501999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311"/>
    <s v="14"/>
    <s v="Operazione per conto di importo elevato per la causale ed il soggetto"/>
    <d v="2025-04-17T00:00:00"/>
    <n v="53850"/>
    <n v="102"/>
    <s v="053850_102"/>
    <s v="Discovery Day"/>
    <s v="Mai valutato"/>
    <m/>
    <n v="202504167903092"/>
    <n v="1023308727913"/>
    <n v="20250416"/>
    <x v="1"/>
    <m/>
    <s v="086 - ITALIA"/>
    <s v="A     - Avere"/>
    <n v="3000000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307"/>
    <s v="14"/>
    <s v="Operazione per conto di importo elevato per la causale ed il soggetto"/>
    <d v="2025-04-17T00:00:00"/>
    <n v="53850"/>
    <n v="169"/>
    <s v="053850_169"/>
    <s v="Discovery Day"/>
    <s v="Mai valutato"/>
    <m/>
    <s v="202504166002684L"/>
    <n v="1693302225542"/>
    <n v="20250416"/>
    <x v="0"/>
    <m/>
    <m/>
    <s v="D     - Dare"/>
    <n v="4676.7"/>
    <n v="0"/>
    <n v="553145"/>
    <s v="DLLNDR46L26A883Z"/>
    <s v="DELL'ORCO ANDREA"/>
    <s v="600 - Famiglie consumatrici"/>
    <m/>
    <s v="086 - ITALIA"/>
    <n v="135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04"/>
    <s v="14"/>
    <s v="Operazione per conto di importo elevato per la causale ed il soggetto"/>
    <d v="2025-04-16T00:00:00"/>
    <n v="53850"/>
    <n v="141"/>
    <s v="053850_141"/>
    <s v="Discovery Day"/>
    <s v="Mai valutato"/>
    <m/>
    <n v="202504157898702"/>
    <n v="1413300003985"/>
    <n v="20250415"/>
    <x v="3"/>
    <m/>
    <s v="086 - ITALIA"/>
    <s v="D     - Dare"/>
    <n v="1566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4"/>
    <s v="ARCHIVIATA"/>
    <x v="0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303"/>
    <s v="14"/>
    <s v="Operazione per conto di importo elevato per la causale ed il soggetto"/>
    <d v="2025-04-16T00:00:00"/>
    <n v="53850"/>
    <n v="164"/>
    <s v="053850_164"/>
    <s v="Discovery Day"/>
    <s v="Mai valutato"/>
    <m/>
    <n v="202504157901537"/>
    <n v="1645500369067"/>
    <n v="20250415"/>
    <x v="18"/>
    <m/>
    <m/>
    <s v="D     - Da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300"/>
    <s v="14"/>
    <s v="Operazione per conto di importo elevato per la causale ed il soggetto"/>
    <d v="2025-04-16T00:00:00"/>
    <n v="53850"/>
    <n v="102"/>
    <s v="053850_102"/>
    <s v="Discovery Day"/>
    <s v="Mai valutato"/>
    <m/>
    <n v="202504157900518"/>
    <n v="1023308719190"/>
    <n v="20250415"/>
    <x v="15"/>
    <m/>
    <m/>
    <s v="D     - Dare"/>
    <n v="1576491.0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4"/>
    <s v="IN VALUTAZIONE RPR"/>
    <x v="1"/>
    <n v="1"/>
    <m/>
    <m/>
    <n v="0"/>
    <n v="999"/>
    <n v="248"/>
    <n v="248999"/>
    <m/>
    <n v="1"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98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0"/>
    <n v="1645500369067"/>
    <n v="20250415"/>
    <x v="19"/>
    <m/>
    <m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297"/>
    <s v="14"/>
    <s v="Operazione per conto di importo elevato per la causale ed il soggetto"/>
    <d v="2025-04-16T00:00:00"/>
    <n v="53850"/>
    <n v="193"/>
    <s v="053850_193"/>
    <s v="Discovery Day"/>
    <s v="Mai valutato"/>
    <m/>
    <s v="202504155917729L"/>
    <n v="1933300023734"/>
    <n v="20250415"/>
    <x v="0"/>
    <m/>
    <m/>
    <s v="D     - Dare"/>
    <n v="1714.22"/>
    <n v="0"/>
    <n v="4120833"/>
    <s v="TVLNTN80M04A048T"/>
    <s v="TIEVOLI ANTONIO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296"/>
    <s v="14"/>
    <s v="Operazione per conto di importo elevato per la causale ed il soggetto"/>
    <d v="2025-04-16T00:00:00"/>
    <n v="53850"/>
    <n v="193"/>
    <s v="053850_193"/>
    <s v="Discovery Day"/>
    <s v="Mai valutato"/>
    <m/>
    <n v="202504157901632"/>
    <n v="1933300024574"/>
    <n v="20250415"/>
    <x v="0"/>
    <m/>
    <m/>
    <s v="D     - Dare"/>
    <n v="91155.22"/>
    <n v="0"/>
    <n v="4919436"/>
    <s v="LNTFPP79L13F784B"/>
    <s v="LENTINI FILIPPO"/>
    <s v="615 - Altre famiglie produttrici"/>
    <s v="561 - RISTORANTI E ATTIVITÀ DI RISTORAZIONE MOBILE"/>
    <s v="086 - ITALIA"/>
    <n v="1583"/>
    <m/>
    <m/>
    <m/>
    <m/>
    <m/>
    <m/>
    <m/>
    <n v="0"/>
    <n v="202504"/>
    <s v="IN VALUTAZIONE RPR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92"/>
    <s v="14"/>
    <s v="Operazione per conto di importo elevato per la causale ed il soggetto"/>
    <d v="2025-04-16T00:00:00"/>
    <n v="53850"/>
    <n v="102"/>
    <s v="053850_102"/>
    <s v="Discovery Day"/>
    <s v="Mai valutato"/>
    <m/>
    <n v="202504157899756"/>
    <n v="1023308726073"/>
    <n v="20250415"/>
    <x v="1"/>
    <m/>
    <s v="086 - ITALIA"/>
    <s v="A     - Avere"/>
    <n v="823562.73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4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91"/>
    <s v="14"/>
    <s v="Operazione per conto di importo elevato per la causale ed il soggetto"/>
    <d v="2025-04-16T00:00:00"/>
    <n v="53850"/>
    <n v="102"/>
    <s v="053850_102"/>
    <s v="Discovery Day"/>
    <s v="Mai valutato"/>
    <m/>
    <n v="202504157901265"/>
    <n v="1023308727570"/>
    <n v="20250415"/>
    <x v="3"/>
    <m/>
    <s v="086 - ITALIA"/>
    <s v="D     - Dare"/>
    <n v="179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s v="IN VALUTAZIONE RPR"/>
    <x v="1"/>
    <n v="1"/>
    <m/>
    <m/>
    <n v="0"/>
    <n v="999"/>
    <n v="285"/>
    <n v="285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289"/>
    <s v="14"/>
    <s v="Operazione per conto di importo elevato per la causale ed il soggetto"/>
    <d v="2025-04-16T00:00:00"/>
    <n v="53850"/>
    <n v="269"/>
    <s v="053850_269"/>
    <s v="Discovery Day"/>
    <s v="Mai valutato"/>
    <m/>
    <n v="202504157901735"/>
    <n v="2693300011439"/>
    <n v="20250415"/>
    <x v="0"/>
    <m/>
    <m/>
    <s v="D     - Dare"/>
    <n v="19817.11"/>
    <n v="0"/>
    <n v="1660933"/>
    <s v="FTTCSR53B05F582H"/>
    <s v="FITTI CESARE"/>
    <s v="600 - Famiglie consumatrici"/>
    <m/>
    <s v="086 - ITALIA"/>
    <n v="1713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87"/>
    <s v="14"/>
    <s v="Operazione per conto di importo elevato per la causale ed il soggetto"/>
    <d v="2025-04-16T00:00:00"/>
    <n v="53850"/>
    <n v="121"/>
    <s v="053850_121"/>
    <s v="Discovery Day"/>
    <s v="Mai valutato"/>
    <m/>
    <s v="202504155917316L"/>
    <n v="1213300001148"/>
    <n v="20250415"/>
    <x v="0"/>
    <m/>
    <m/>
    <s v="D     - Dare"/>
    <n v="2326.5700000000002"/>
    <n v="0"/>
    <n v="44845"/>
    <s v="DDNMHL50P15F923F"/>
    <s v="DIDONNA MICHELE"/>
    <s v="600 - Famiglie consumatrici"/>
    <m/>
    <s v="086 - ITALIA"/>
    <n v="145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84"/>
    <s v="14"/>
    <s v="Operazione per conto di importo elevato per la causale ed il soggetto"/>
    <d v="2025-04-16T00:00:00"/>
    <n v="53850"/>
    <n v="136"/>
    <s v="053850_136"/>
    <s v="Discovery Day"/>
    <s v="Mai valutato"/>
    <m/>
    <n v="202504157899087"/>
    <n v="1363300003821"/>
    <n v="20250415"/>
    <x v="1"/>
    <m/>
    <s v="086 - ITALIA"/>
    <s v="A     - Avere"/>
    <n v="1500000"/>
    <n v="0"/>
    <n v="4724343"/>
    <n v="80007020748"/>
    <s v="TRIBUNALE DI BRINDISI"/>
    <s v="102 - Amministrazione Statale e Organi Costituzionali"/>
    <m/>
    <s v="086 - ITALIA"/>
    <n v="1909"/>
    <m/>
    <m/>
    <m/>
    <m/>
    <m/>
    <m/>
    <m/>
    <n v="0"/>
    <n v="202504"/>
    <s v="ARCHIVIATA"/>
    <x v="0"/>
    <n v="1"/>
    <m/>
    <m/>
    <n v="0"/>
    <n v="999"/>
    <n v="102"/>
    <n v="102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83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1"/>
    <n v="1645500369067"/>
    <n v="20250415"/>
    <x v="1"/>
    <m/>
    <s v="086 - ITALIA"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80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0"/>
    <n v="1645500369067"/>
    <n v="20250415"/>
    <x v="19"/>
    <m/>
    <m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275"/>
    <s v="14"/>
    <s v="Operazione per conto di importo elevato per la causale ed il soggetto"/>
    <d v="2025-04-16T00:00:00"/>
    <n v="53850"/>
    <n v="261"/>
    <s v="053850_261"/>
    <s v="Discovery Day"/>
    <s v="Mai valutato"/>
    <m/>
    <n v="202504157901699"/>
    <n v="2613300000555"/>
    <n v="20250415"/>
    <x v="1"/>
    <m/>
    <s v="086 - ITALIA"/>
    <s v="A     - Avere"/>
    <n v="304798.26"/>
    <n v="0"/>
    <n v="1615499"/>
    <s v="QGLSVN55B43E799H"/>
    <s v="QUAGLIA SILVANA"/>
    <s v="600 - Famiglie consumatrici"/>
    <m/>
    <s v="086 - ITALIA"/>
    <n v="177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74"/>
    <s v="14"/>
    <s v="Operazione per conto di importo elevato per la causale ed il soggetto"/>
    <d v="2025-04-16T00:00:00"/>
    <n v="53850"/>
    <n v="164"/>
    <s v="053850_164"/>
    <s v="Discovery Day"/>
    <s v="Mai valutato"/>
    <m/>
    <n v="202504157901537"/>
    <n v="1645500369067"/>
    <n v="20250415"/>
    <x v="18"/>
    <m/>
    <m/>
    <s v="D     - Da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72"/>
    <s v="14"/>
    <s v="Operazione per conto di importo elevato per la causale ed il soggetto"/>
    <d v="2025-04-16T00:00:00"/>
    <n v="53850"/>
    <n v="121"/>
    <s v="053850_121"/>
    <s v="Discovery Day"/>
    <s v="Mai valutato"/>
    <m/>
    <s v="202504155917316L"/>
    <n v="1213300001148"/>
    <n v="20250415"/>
    <x v="0"/>
    <m/>
    <m/>
    <s v="D     - Dare"/>
    <n v="2326.5700000000002"/>
    <n v="0"/>
    <n v="621271"/>
    <s v="SVNNGL54H51F923K"/>
    <s v="SAVINO ANGELA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71"/>
    <s v="14"/>
    <s v="Operazione per conto di importo elevato per la causale ed il soggetto"/>
    <d v="2025-04-16T00:00:00"/>
    <n v="53850"/>
    <n v="102"/>
    <s v="053850_102"/>
    <s v="Discovery Day"/>
    <s v="Mai valutato"/>
    <m/>
    <n v="202504157899557"/>
    <n v="1023308719190"/>
    <n v="20250415"/>
    <x v="1"/>
    <m/>
    <s v="086 - ITALIA"/>
    <s v="A     - Avere"/>
    <n v="1554410.45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4"/>
    <s v="IN VALUTAZIONE RPR"/>
    <x v="1"/>
    <n v="1"/>
    <m/>
    <m/>
    <n v="0"/>
    <n v="999"/>
    <n v="248"/>
    <n v="24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66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1"/>
    <n v="1645500369067"/>
    <n v="20250415"/>
    <x v="1"/>
    <m/>
    <s v="086 - ITALIA"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62"/>
    <s v="14"/>
    <s v="Operazione per conto di importo elevato per la causale ed il soggetto"/>
    <d v="2025-04-15T00:00:00"/>
    <n v="53850"/>
    <n v="122"/>
    <s v="053850_122"/>
    <s v="Discovery Day"/>
    <s v="Mai valutato"/>
    <m/>
    <n v="202504147896370"/>
    <n v="1223300001682"/>
    <n v="20250414"/>
    <x v="1"/>
    <m/>
    <s v="086 - ITALIA"/>
    <s v="A     - Avere"/>
    <n v="941353.02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261"/>
    <s v="14"/>
    <s v="Operazione per conto di importo elevato per la causale ed il soggetto"/>
    <d v="2025-04-15T00:00:00"/>
    <n v="53850"/>
    <n v="114"/>
    <s v="053850_114"/>
    <s v="Discovery Day"/>
    <s v="Mai valutato"/>
    <m/>
    <n v="202504147897691"/>
    <n v="1143306282417"/>
    <n v="20250414"/>
    <x v="0"/>
    <m/>
    <m/>
    <s v="D     - Dare"/>
    <n v="8139.04"/>
    <n v="0"/>
    <n v="520648"/>
    <s v="SRRRNN56P55D643A"/>
    <s v="SERRONE ROSANNA"/>
    <s v="600 - Famiglie consumatrici"/>
    <m/>
    <s v="086 - ITALIA"/>
    <n v="642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60"/>
    <s v="14"/>
    <s v="Operazione per conto di importo elevato per la causale ed il soggetto"/>
    <d v="2025-04-15T00:00:00"/>
    <n v="53850"/>
    <n v="175"/>
    <s v="053850_175"/>
    <s v="Discovery Day"/>
    <s v="Mai valutato"/>
    <m/>
    <n v="202504147895113"/>
    <n v="1753305636160"/>
    <n v="20250414"/>
    <x v="3"/>
    <m/>
    <s v="086 - ITALIA"/>
    <s v="D     - Dare"/>
    <n v="145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4"/>
    <s v="ARCHIVIATA"/>
    <x v="0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255"/>
    <s v="14"/>
    <s v="Operazione per conto di importo elevato per la causale ed il soggetto"/>
    <d v="2025-04-15T00:00:00"/>
    <n v="53850"/>
    <n v="103"/>
    <s v="053850_103"/>
    <s v="Discovery Day"/>
    <s v="Mai valutato"/>
    <m/>
    <n v="202504147896449"/>
    <n v="1033306969582"/>
    <n v="20250414"/>
    <x v="1"/>
    <m/>
    <s v="086 - ITALIA"/>
    <s v="A     - Avere"/>
    <n v="573593.99"/>
    <n v="0"/>
    <n v="449281"/>
    <s v="CLSMNT62E67E155U"/>
    <s v="COLASANTI MARIA ANTONIETTA"/>
    <s v="600 - Famiglie consumatrici"/>
    <m/>
    <s v="086 - ITALIA"/>
    <n v="806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254"/>
    <s v="14"/>
    <s v="Operazione per conto di importo elevato per la causale ed il soggetto"/>
    <d v="2025-04-15T00:00:00"/>
    <n v="53850"/>
    <n v="109"/>
    <s v="053850_109"/>
    <s v="Discovery Day"/>
    <s v="Mai valutato"/>
    <m/>
    <n v="202504147897650"/>
    <n v="1093300826060"/>
    <n v="20250414"/>
    <x v="0"/>
    <m/>
    <m/>
    <s v="D     - Dare"/>
    <n v="50860.3"/>
    <n v="0"/>
    <n v="82561"/>
    <s v="CHRMRA28S19A662J"/>
    <s v="CHIARAPPA MARIO"/>
    <s v="600 - Famiglie consumatrici"/>
    <m/>
    <s v="086 - ITALIA"/>
    <n v="1430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246"/>
    <s v="14"/>
    <s v="Operazione per conto di importo elevato per la causale ed il soggetto"/>
    <d v="2025-04-15T00:00:00"/>
    <n v="53850"/>
    <n v="141"/>
    <s v="053850_141"/>
    <s v="Discovery Day"/>
    <s v="Mai valutato"/>
    <m/>
    <n v="202504147895340"/>
    <n v="1413300003985"/>
    <n v="20250414"/>
    <x v="3"/>
    <m/>
    <s v="086 - ITALIA"/>
    <s v="D     - Dare"/>
    <n v="1351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4"/>
    <s v="ARCHIVIATA"/>
    <x v="0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236"/>
    <s v="14"/>
    <s v="Operazione per conto di importo elevato per la causale ed il soggetto"/>
    <d v="2025-04-15T00:00:00"/>
    <n v="53850"/>
    <n v="122"/>
    <s v="053850_122"/>
    <s v="Discovery Day"/>
    <s v="Mai valutato"/>
    <m/>
    <n v="202504147896369"/>
    <n v="1223300001682"/>
    <n v="20250414"/>
    <x v="1"/>
    <m/>
    <s v="086 - ITALIA"/>
    <s v="A     - Avere"/>
    <n v="659334.14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35"/>
    <s v="14"/>
    <s v="Operazione per conto di importo elevato per la causale ed il soggetto"/>
    <d v="2025-04-15T00:00:00"/>
    <n v="53850"/>
    <n v="195"/>
    <s v="053850_195"/>
    <s v="Discovery Day"/>
    <s v="Mai valutato"/>
    <m/>
    <n v="202504147896431"/>
    <n v="1943300005257"/>
    <n v="20250414"/>
    <x v="1"/>
    <m/>
    <s v="086 - ITALIA"/>
    <s v="A     - Avere"/>
    <n v="155770.47"/>
    <n v="0"/>
    <n v="3044309"/>
    <s v="DTTNMR66S68G252L"/>
    <s v="DETTOLI ANNA MARIA"/>
    <s v="615 - Altre famiglie produttrici"/>
    <s v="477 - COMMERCIO AL DETTAGLIO DI ALTRI PRODOTTI IN ESERCIZI SPECIALIZZATI"/>
    <s v="086 - ITALIA"/>
    <n v="1961"/>
    <m/>
    <m/>
    <m/>
    <m/>
    <m/>
    <m/>
    <m/>
    <n v="0"/>
    <n v="202504"/>
    <s v="IN VALUTAZIONE RPR"/>
    <x v="1"/>
    <n v="1"/>
    <m/>
    <m/>
    <n v="0"/>
    <n v="477"/>
    <n v="615"/>
    <n v="615477"/>
    <s v="Classe di rischio 6"/>
    <m/>
    <x v="6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34"/>
    <s v="14"/>
    <s v="Operazione per conto di importo elevato per la causale ed il soggetto"/>
    <d v="2025-04-15T00:00:00"/>
    <n v="53850"/>
    <n v="102"/>
    <s v="053850_102"/>
    <s v="Discovery Day"/>
    <s v="Mai valutato"/>
    <m/>
    <n v="202504147895160"/>
    <n v="1503300003188"/>
    <n v="20250414"/>
    <x v="3"/>
    <m/>
    <s v="086 - ITALIA"/>
    <s v="D     - Dare"/>
    <n v="134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33"/>
    <s v="14"/>
    <s v="Operazione per conto di importo elevato per la causale ed il soggetto"/>
    <d v="2025-04-15T00:00:00"/>
    <n v="53850"/>
    <n v="175"/>
    <s v="053850_175"/>
    <s v="Discovery Day"/>
    <s v="Mai valutato"/>
    <m/>
    <n v="202504147896454"/>
    <n v="1753302203732"/>
    <n v="20250414"/>
    <x v="1"/>
    <m/>
    <s v="086 - ITALIA"/>
    <s v="A     - Avere"/>
    <n v="206686.93"/>
    <n v="0"/>
    <n v="70830"/>
    <s v="ZCCDNC49D12E326K"/>
    <s v="ZICCARDI DOMENICO"/>
    <s v="600 - Famiglie consumatrici"/>
    <m/>
    <s v="086 - ITALIA"/>
    <n v="126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231"/>
    <s v="14"/>
    <s v="Operazione per conto di importo elevato per la causale ed il soggetto"/>
    <d v="2025-04-15T00:00:00"/>
    <n v="53850"/>
    <n v="102"/>
    <s v="053850_102"/>
    <s v="Discovery Day"/>
    <s v="Mai valutato"/>
    <m/>
    <n v="202504147897549"/>
    <n v="1023302224320"/>
    <n v="20250414"/>
    <x v="0"/>
    <m/>
    <m/>
    <s v="D     - Dare"/>
    <n v="52291.78"/>
    <n v="0"/>
    <n v="222432"/>
    <s v="DBNDTM31P58A225I"/>
    <s v="DIBENEDETTO DONATA MARIA"/>
    <s v="600 - Famiglie consumatrici"/>
    <m/>
    <s v="086 - ITALIA"/>
    <n v="1429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230"/>
    <s v="14"/>
    <s v="Operazione per conto di importo elevato per la causale ed il soggetto"/>
    <d v="2025-04-15T00:00:00"/>
    <n v="53850"/>
    <n v="114"/>
    <s v="053850_114"/>
    <s v="Discovery Day"/>
    <s v="Mai valutato"/>
    <m/>
    <n v="202504147897691"/>
    <n v="1143306282417"/>
    <n v="20250414"/>
    <x v="0"/>
    <m/>
    <m/>
    <s v="D     - Dare"/>
    <n v="8139.04"/>
    <n v="0"/>
    <n v="520646"/>
    <s v="MGLFNC48A02D643D"/>
    <s v="MAGALETTA FRANCESCO"/>
    <s v="600 - Famiglie consumatrici"/>
    <m/>
    <s v="086 - ITALIA"/>
    <n v="642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27"/>
    <s v="14"/>
    <s v="Operazione per conto di importo elevato per la causale ed il soggetto"/>
    <d v="2025-04-15T00:00:00"/>
    <n v="53850"/>
    <n v="164"/>
    <s v="053850_164"/>
    <s v="Discovery Day"/>
    <s v="Mai valutato"/>
    <m/>
    <s v="202504145854880L"/>
    <n v="1643300370271"/>
    <n v="20250414"/>
    <x v="0"/>
    <m/>
    <m/>
    <s v="D     - Dare"/>
    <n v="3050.66"/>
    <n v="0"/>
    <n v="4972098"/>
    <s v="RNLNLM66C70I158Q"/>
    <s v="RINALDI ANGELA MARIA"/>
    <s v="600 - Famiglie consumatrici"/>
    <m/>
    <s v="086 - ITALIA"/>
    <n v="793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23"/>
    <s v="14"/>
    <s v="Operazione per conto di importo elevato per la causale ed il soggetto"/>
    <d v="2025-04-15T00:00:00"/>
    <n v="53850"/>
    <n v="277"/>
    <s v="053850_277"/>
    <s v="Discovery Day"/>
    <s v="Mai valutato"/>
    <m/>
    <n v="202504147897500"/>
    <n v="2773300001983"/>
    <n v="20250414"/>
    <x v="11"/>
    <m/>
    <m/>
    <s v="D     - Dare"/>
    <n v="600000"/>
    <n v="0"/>
    <n v="1706936"/>
    <n v="1539900694"/>
    <s v="PRIMA EASTERN SPA"/>
    <s v="430 - Imprese produttive"/>
    <s v="151 - PREPARAZIONE E CONCIA DEL CUOIO, FABBRICAZIONE DI ARTICOLI DA VIAGGIO, BORSE, PELLETTERIA E SELLERIA, PREPARAZIONE E TINTURA DI PELLICCE"/>
    <s v="086 - ITALIA"/>
    <n v="1856"/>
    <m/>
    <m/>
    <m/>
    <m/>
    <m/>
    <m/>
    <m/>
    <n v="0"/>
    <n v="202504"/>
    <s v="CONFERMATA RPR"/>
    <x v="0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22"/>
    <s v="14"/>
    <s v="Operazione per conto di importo elevato per la causale ed il soggetto"/>
    <d v="2025-04-15T00:00:00"/>
    <n v="53850"/>
    <n v="102"/>
    <s v="053850_102"/>
    <s v="Discovery Day"/>
    <s v="Mai valutato"/>
    <m/>
    <n v="202504147895681"/>
    <n v="1023305588130"/>
    <n v="20250414"/>
    <x v="1"/>
    <m/>
    <s v="086 - ITALIA"/>
    <s v="A     - Avere"/>
    <n v="294308"/>
    <n v="0"/>
    <n v="70682"/>
    <s v="PRNNTN54B53A225Z"/>
    <s v="PERNIOLA ANTONIA"/>
    <s v="600 - Famiglie consumatrici"/>
    <m/>
    <s v="086 - ITALIA"/>
    <n v="133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221"/>
    <s v="14"/>
    <s v="Operazione per conto di importo elevato per la causale ed il soggetto"/>
    <d v="2025-04-15T00:00:00"/>
    <n v="53850"/>
    <n v="110"/>
    <s v="053850_110"/>
    <s v="Discovery Day"/>
    <s v="Mai valutato"/>
    <m/>
    <n v="202504147897663"/>
    <n v="1103304317690"/>
    <n v="20250414"/>
    <x v="3"/>
    <m/>
    <s v="086 - ITALIA"/>
    <s v="D     - Dare"/>
    <n v="240000"/>
    <n v="0"/>
    <n v="431769"/>
    <s v="RSSGPP57S14A669Q"/>
    <s v="RUSSO GIUSEPPE"/>
    <s v="600 - Famiglie consumatrici"/>
    <m/>
    <s v="086 - ITALIA"/>
    <n v="1359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219"/>
    <s v="14"/>
    <s v="Operazione per conto di importo elevato per la causale ed il soggetto"/>
    <d v="2025-04-15T00:00:00"/>
    <n v="53850"/>
    <n v="175"/>
    <s v="053850_175"/>
    <s v="Discovery Day"/>
    <s v="Mai valutato"/>
    <m/>
    <n v="202504147896454"/>
    <n v="1753302203732"/>
    <n v="20250414"/>
    <x v="1"/>
    <m/>
    <s v="086 - ITALIA"/>
    <s v="A     - Avere"/>
    <n v="206686.93"/>
    <n v="0"/>
    <n v="421274"/>
    <s v="TRNFME52L52E326F"/>
    <s v="TARANTINO EUFEMIA"/>
    <s v="600 - Famiglie consumatrici"/>
    <m/>
    <s v="086 - ITALIA"/>
    <n v="59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217"/>
    <s v="14"/>
    <s v="Operazione per conto di importo elevato per la causale ed il soggetto"/>
    <d v="2025-04-15T00:00:00"/>
    <n v="53850"/>
    <n v="109"/>
    <s v="053850_109"/>
    <s v="Discovery Day"/>
    <s v="Mai valutato"/>
    <m/>
    <n v="202504147897654"/>
    <n v="1093304137240"/>
    <n v="20250414"/>
    <x v="0"/>
    <m/>
    <m/>
    <s v="D     - Dare"/>
    <n v="28337.87"/>
    <n v="0"/>
    <n v="413724"/>
    <s v="DFLRRT52M11A893Z"/>
    <s v="DE FLAMMINEIS ROBERTO"/>
    <s v="600 - Famiglie consumatrici"/>
    <m/>
    <s v="086 - ITALIA"/>
    <n v="1430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15"/>
    <s v="14"/>
    <s v="Operazione per conto di importo elevato per la causale ed il soggetto"/>
    <d v="2025-04-15T00:00:00"/>
    <n v="53850"/>
    <n v="170"/>
    <s v="053850_170"/>
    <s v="Discovery Day"/>
    <s v="Mai valutato"/>
    <m/>
    <n v="202504147895302"/>
    <n v="1703306290830"/>
    <n v="20250414"/>
    <x v="8"/>
    <m/>
    <m/>
    <s v="D     - Dare"/>
    <n v="732210.04"/>
    <n v="0"/>
    <n v="4934769"/>
    <n v="2791590728"/>
    <s v="LA PULITA &amp; SERVICE S.C.R.L. COOPERATIVA DI PRODUZIONE E LAVORO A RESPONSABILITA"/>
    <s v="430 - Imprese produttive"/>
    <s v="812 - ATTIVITÀ DI PULIZIA E DISINFESTAZIONE"/>
    <s v="086 - ITALIA"/>
    <n v="1919"/>
    <m/>
    <m/>
    <m/>
    <m/>
    <m/>
    <m/>
    <m/>
    <n v="0"/>
    <n v="202504"/>
    <s v="IN VALUTAZIONE RPR"/>
    <x v="1"/>
    <n v="1"/>
    <m/>
    <m/>
    <n v="0"/>
    <n v="812"/>
    <n v="430"/>
    <n v="4308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14"/>
    <s v="14"/>
    <s v="Operazione per conto di importo elevato per la causale ed il soggetto"/>
    <d v="2025-04-15T00:00:00"/>
    <n v="53850"/>
    <n v="122"/>
    <s v="053850_122"/>
    <s v="Discovery Day"/>
    <s v="Mai valutato"/>
    <m/>
    <n v="202504147897736"/>
    <n v="1223300002884"/>
    <n v="20250414"/>
    <x v="3"/>
    <m/>
    <m/>
    <s v="D     - Dare"/>
    <n v="282133.15999999997"/>
    <n v="0"/>
    <n v="3736222"/>
    <s v="TRTLSN80R55F842D"/>
    <s v="TROTTA ALESSANDRA"/>
    <s v="600 - Famiglie consumatrici"/>
    <m/>
    <s v="086 - ITALIA"/>
    <n v="96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210"/>
    <s v="14"/>
    <s v="Operazione per conto di importo elevato per la causale ed il soggetto"/>
    <d v="2025-04-15T00:00:00"/>
    <n v="53850"/>
    <n v="109"/>
    <s v="053850_109"/>
    <s v="Discovery Day"/>
    <s v="Mai valutato"/>
    <m/>
    <n v="202504147897650"/>
    <n v="1093300826060"/>
    <n v="20250414"/>
    <x v="0"/>
    <m/>
    <m/>
    <s v="D     - Dare"/>
    <n v="50860.3"/>
    <n v="0"/>
    <n v="82565"/>
    <s v="DBRCST26E70A662Z"/>
    <s v="DE BARTOLO CRISTINA"/>
    <s v="600 - Famiglie consumatrici"/>
    <m/>
    <s v="086 - ITALIA"/>
    <n v="1918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516"/>
    <s v="14"/>
    <s v="Operazione per conto di importo elevato per la causale ed il soggetto"/>
    <d v="2025-04-12T00:00:00"/>
    <n v="53850"/>
    <n v="117"/>
    <s v="053850_117"/>
    <s v="Discovery Day"/>
    <s v="Mai valutato"/>
    <m/>
    <n v="202504147888460"/>
    <n v="1173300536339"/>
    <n v="20250414"/>
    <x v="20"/>
    <m/>
    <m/>
    <s v="D     - Dare"/>
    <n v="320000"/>
    <n v="0"/>
    <n v="3028778"/>
    <s v="DLMCRL58T29L049W"/>
    <s v="DEL MARE CARLO"/>
    <s v="600 - Famiglie consumatrici"/>
    <m/>
    <s v="086 - ITALIA"/>
    <n v="1772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320000"/>
    <n v="321500"/>
    <n v="323000"/>
    <n v="324500"/>
    <n v="326000"/>
    <n v="327500"/>
    <n v="329000"/>
    <n v="330500"/>
    <n v="332000"/>
    <n v="333500"/>
    <n v="335000"/>
    <n v="336500"/>
    <n v="338000"/>
    <n v="339500"/>
    <n v="341000"/>
    <n v="342500"/>
    <n v="344000"/>
    <n v="345500"/>
    <n v="347000"/>
    <n v="348500"/>
    <n v="35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5"/>
    <s v="14"/>
    <s v="Operazione per conto di importo elevato per la causale ed il soggetto"/>
    <d v="2025-04-12T00:00:00"/>
    <n v="53850"/>
    <n v="102"/>
    <s v="053850_102"/>
    <s v="Discovery Day"/>
    <s v="Mai valutato"/>
    <m/>
    <n v="202504147888524"/>
    <n v="1023302251821"/>
    <n v="20250414"/>
    <x v="21"/>
    <m/>
    <m/>
    <s v="A     - Avere"/>
    <n v="199998"/>
    <n v="0"/>
    <n v="522069"/>
    <s v="CHRGNN79D17A225A"/>
    <s v="CHIRONNA GIOVANNI"/>
    <s v="614 - Artigiani"/>
    <s v="383 - RECUPERO DEI MATERIALI"/>
    <s v="086 - ITALIA"/>
    <n v="1306"/>
    <m/>
    <m/>
    <m/>
    <m/>
    <m/>
    <m/>
    <m/>
    <n v="0"/>
    <n v="202504"/>
    <s v="ARCHIVIATA"/>
    <x v="0"/>
    <n v="1"/>
    <m/>
    <m/>
    <n v="0"/>
    <n v="383"/>
    <n v="614"/>
    <n v="614383"/>
    <s v="Classe di rischio 6"/>
    <m/>
    <x v="6"/>
    <n v="199998"/>
    <n v="215173"/>
    <n v="230348"/>
    <n v="245523"/>
    <n v="260698"/>
    <n v="275873"/>
    <n v="291048"/>
    <n v="306223"/>
    <n v="321398"/>
    <n v="336573"/>
    <n v="351748"/>
    <n v="366923"/>
    <n v="382098"/>
    <n v="397273"/>
    <n v="412448"/>
    <n v="427623"/>
    <n v="442798"/>
    <n v="457973"/>
    <n v="473148"/>
    <n v="488323"/>
    <n v="5034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4"/>
    <s v="14"/>
    <s v="Operazione per conto di importo elevato per la causale ed il soggetto"/>
    <d v="2025-04-12T00:00:00"/>
    <n v="53850"/>
    <n v="103"/>
    <s v="053850_103"/>
    <s v="Discovery Day"/>
    <s v="Mai valutato"/>
    <m/>
    <n v="202504147888566"/>
    <n v="1033306973662"/>
    <n v="20250414"/>
    <x v="21"/>
    <m/>
    <m/>
    <s v="A     - Avere"/>
    <n v="399998"/>
    <n v="0"/>
    <n v="11422"/>
    <s v="MSSGRZ57M45E155I"/>
    <s v="MASSARI GRAZIA"/>
    <s v="600 - Famiglie consumatrici"/>
    <m/>
    <s v="086 - ITALIA"/>
    <n v="806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3"/>
    <s v="14"/>
    <s v="Operazione per conto di importo elevato per la causale ed il soggetto"/>
    <d v="2025-04-12T00:00:00"/>
    <n v="53850"/>
    <n v="105"/>
    <s v="053850_105"/>
    <s v="Discovery Day"/>
    <s v="Mai valutato"/>
    <m/>
    <n v="202504147888589"/>
    <n v="1053304343840"/>
    <n v="20250414"/>
    <x v="21"/>
    <m/>
    <m/>
    <s v="A     - Avere"/>
    <n v="419998"/>
    <n v="0"/>
    <n v="434384"/>
    <s v="LSTFPP52E45E038X"/>
    <s v="LOSITO FILIPPA"/>
    <s v="600 - Famiglie consumatrici"/>
    <m/>
    <s v="086 - ITALIA"/>
    <n v="8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2"/>
    <s v="14"/>
    <s v="Operazione per conto di importo elevato per la causale ed il soggetto"/>
    <d v="2025-04-12T00:00:00"/>
    <n v="53850"/>
    <n v="109"/>
    <s v="053850_109"/>
    <s v="Discovery Day"/>
    <s v="Mai valutato"/>
    <m/>
    <n v="202504147888620"/>
    <n v="1093306673947"/>
    <n v="20250414"/>
    <x v="7"/>
    <m/>
    <m/>
    <s v="D     - Dare"/>
    <n v="383398.28"/>
    <n v="0"/>
    <n v="619606"/>
    <s v="DGSGRL71B60A662X"/>
    <s v="D'AGOSTINO GABRIELLA"/>
    <s v="600 - Famiglie consumatrici"/>
    <m/>
    <s v="086 - ITALIA"/>
    <n v="74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1"/>
    <s v="14"/>
    <s v="Operazione per conto di importo elevato per la causale ed il soggetto"/>
    <d v="2025-04-12T00:00:00"/>
    <n v="53850"/>
    <n v="116"/>
    <s v="053850_116"/>
    <s v="Discovery Day"/>
    <s v="Mai valutato"/>
    <m/>
    <n v="202504147888647"/>
    <n v="1423300308662"/>
    <n v="20250414"/>
    <x v="7"/>
    <m/>
    <m/>
    <s v="D     - Dare"/>
    <n v="599623.14"/>
    <n v="0"/>
    <n v="4239979"/>
    <n v="6173370724"/>
    <s v="ENTERPRICE ELVIM SISTEMI S.R.L."/>
    <s v="430 - Imprese produttive"/>
    <s v="619 - ALTRE ATTIVITÀ DI TELECOMUNICAZIONE"/>
    <s v="086 - ITALIA"/>
    <n v="1612"/>
    <m/>
    <m/>
    <m/>
    <m/>
    <m/>
    <m/>
    <m/>
    <n v="0"/>
    <n v="202504"/>
    <s v="IN VALUTAZIONE RPR"/>
    <x v="1"/>
    <n v="1"/>
    <m/>
    <m/>
    <n v="0"/>
    <n v="619"/>
    <n v="430"/>
    <n v="430619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0"/>
    <s v="14"/>
    <s v="Operazione per conto di importo elevato per la causale ed il soggetto"/>
    <d v="2025-04-12T00:00:00"/>
    <n v="53850"/>
    <n v="103"/>
    <s v="053850_103"/>
    <s v="Discovery Day"/>
    <s v="Mai valutato"/>
    <m/>
    <n v="202504147888548"/>
    <n v="1033301057030"/>
    <n v="20250414"/>
    <x v="21"/>
    <m/>
    <m/>
    <s v="A     - Avere"/>
    <n v="399998"/>
    <n v="0"/>
    <n v="105703"/>
    <s v="CLSMHL58T07E155M"/>
    <s v="COLASANTI MICHELE"/>
    <s v="600 - Famiglie consumatrici"/>
    <m/>
    <s v="086 - ITALIA"/>
    <n v="165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9"/>
    <s v="14"/>
    <s v="Operazione per conto di importo elevato per la causale ed il soggetto"/>
    <d v="2025-04-12T00:00:00"/>
    <n v="53850"/>
    <n v="103"/>
    <s v="053850_103"/>
    <s v="Discovery Day"/>
    <s v="Mai valutato"/>
    <m/>
    <n v="202504147888566"/>
    <n v="1033306973662"/>
    <n v="20250414"/>
    <x v="21"/>
    <m/>
    <m/>
    <s v="A     - Avere"/>
    <n v="399998"/>
    <n v="0"/>
    <n v="103743"/>
    <s v="SNTGPP57B16E155R"/>
    <s v="SANTERAMO GIUSEPPE"/>
    <s v="600 - Famiglie consumatrici"/>
    <m/>
    <s v="086 - ITALIA"/>
    <m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6"/>
    <s v="14"/>
    <s v="Operazione per conto di importo elevato per la causale ed il soggetto"/>
    <d v="2025-04-12T00:00:00"/>
    <n v="53850"/>
    <n v="270"/>
    <s v="053850_270"/>
    <s v="Discovery Day"/>
    <s v="Mai valutato"/>
    <m/>
    <n v="202504117890039"/>
    <n v="2703300001695"/>
    <n v="20250411"/>
    <x v="0"/>
    <m/>
    <m/>
    <s v="D     - Dare"/>
    <n v="35936.81"/>
    <n v="0"/>
    <n v="1663273"/>
    <s v="CMPBNC26S61D763B"/>
    <s v="CAMPLI BIANCA"/>
    <s v="600 - Famiglie consumatrici"/>
    <m/>
    <s v="086 - ITALIA"/>
    <n v="187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504"/>
    <s v="14"/>
    <s v="Operazione per conto di importo elevato per la causale ed il soggetto"/>
    <d v="2025-04-12T00:00:00"/>
    <n v="53850"/>
    <n v="164"/>
    <s v="053850_164"/>
    <s v="Discovery Day"/>
    <s v="Mai valutato"/>
    <m/>
    <n v="202504117889843"/>
    <n v="1645500369067"/>
    <n v="20250411"/>
    <x v="19"/>
    <m/>
    <m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502"/>
    <s v="14"/>
    <s v="Operazione per conto di importo elevato per la causale ed il soggetto"/>
    <d v="2025-04-12T00:00:00"/>
    <n v="53850"/>
    <n v="103"/>
    <s v="053850_103"/>
    <s v="Discovery Day"/>
    <s v="Mai valutato"/>
    <m/>
    <n v="202504117888088"/>
    <n v="1033302887038"/>
    <n v="20250411"/>
    <x v="1"/>
    <m/>
    <s v="086 - ITALIA"/>
    <s v="A     - Avere"/>
    <n v="200185.1"/>
    <n v="0"/>
    <n v="439301"/>
    <s v="FLMGNN82C26A662U"/>
    <s v="FILIMBENI GIOVANNI"/>
    <s v="600 - Famiglie consumatrici"/>
    <m/>
    <s v="086 - ITALIA"/>
    <m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1"/>
    <s v="14"/>
    <s v="Operazione per conto di importo elevato per la causale ed il soggetto"/>
    <d v="2025-04-12T00:00:00"/>
    <n v="53850"/>
    <n v="103"/>
    <s v="053850_103"/>
    <s v="Discovery Day"/>
    <s v="Mai valutato"/>
    <m/>
    <n v="202504117888088"/>
    <n v="1033302887038"/>
    <n v="20250411"/>
    <x v="1"/>
    <m/>
    <s v="086 - ITALIA"/>
    <s v="A     - Avere"/>
    <n v="200185.1"/>
    <n v="0"/>
    <n v="403536"/>
    <s v="FLMRFL46T10E155G"/>
    <s v="FILIMBENI RAFFAELE"/>
    <s v="600 - Famiglie consumatrici"/>
    <m/>
    <s v="086 - ITALIA"/>
    <n v="165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0"/>
    <s v="14"/>
    <s v="Operazione per conto di importo elevato per la causale ed il soggetto"/>
    <d v="2025-04-12T00:00:00"/>
    <n v="53850"/>
    <n v="103"/>
    <s v="053850_103"/>
    <s v="Discovery Day"/>
    <s v="Mai valutato"/>
    <m/>
    <n v="202504117888088"/>
    <n v="1033302887038"/>
    <n v="20250411"/>
    <x v="1"/>
    <m/>
    <s v="086 - ITALIA"/>
    <s v="A     - Avere"/>
    <n v="200185.1"/>
    <n v="0"/>
    <n v="106613"/>
    <s v="PRSMVN51H53E155C"/>
    <s v="PARISI MARIA VINCENZA"/>
    <s v="600 - Famiglie consumatrici"/>
    <m/>
    <s v="086 - ITALIA"/>
    <n v="1657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93"/>
    <s v="14"/>
    <s v="Operazione per conto di importo elevato per la causale ed il soggetto"/>
    <d v="2025-04-12T00:00:00"/>
    <n v="53850"/>
    <n v="192"/>
    <s v="053850_192"/>
    <s v="Discovery Day"/>
    <s v="Mai valutato"/>
    <m/>
    <n v="202504117889963"/>
    <n v="1923300184022"/>
    <n v="20250411"/>
    <x v="0"/>
    <m/>
    <m/>
    <s v="D     - Dare"/>
    <n v="63308.61"/>
    <n v="0"/>
    <n v="4970354"/>
    <s v="FRNDNT40L68I907U"/>
    <s v="FRANCHINI DONATA"/>
    <s v="600 - Famiglie consumatrici"/>
    <m/>
    <s v="086 - ITALIA"/>
    <n v="48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90"/>
    <s v="14"/>
    <s v="Operazione per conto di importo elevato per la causale ed il soggetto"/>
    <d v="2025-04-12T00:00:00"/>
    <n v="53850"/>
    <n v="164"/>
    <s v="053850_164"/>
    <s v="Discovery Day"/>
    <s v="Mai valutato"/>
    <m/>
    <n v="202504117889843"/>
    <n v="1645500369067"/>
    <n v="20250411"/>
    <x v="19"/>
    <m/>
    <m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489"/>
    <s v="14"/>
    <s v="Operazione per conto di importo elevato per la causale ed il soggetto"/>
    <d v="2025-04-12T00:00:00"/>
    <n v="53850"/>
    <n v="192"/>
    <s v="053850_192"/>
    <s v="Discovery Day"/>
    <s v="Mai valutato"/>
    <m/>
    <n v="202504117889963"/>
    <n v="1923300184022"/>
    <n v="20250411"/>
    <x v="0"/>
    <m/>
    <m/>
    <s v="D     - Dare"/>
    <n v="63308.61"/>
    <n v="0"/>
    <n v="3009295"/>
    <s v="RGSPTR39C26E986C"/>
    <s v="RAGUSO PIETRO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86"/>
    <s v="14"/>
    <s v="Operazione per conto di importo elevato per la causale ed il soggetto"/>
    <d v="2025-04-12T00:00:00"/>
    <n v="53850"/>
    <n v="187"/>
    <s v="053850_187"/>
    <s v="Discovery Day"/>
    <s v="Mai valutato"/>
    <m/>
    <s v="202504115810476L"/>
    <n v="1873300109751"/>
    <n v="20250411"/>
    <x v="0"/>
    <m/>
    <m/>
    <s v="D     - Dare"/>
    <n v="1401.07"/>
    <n v="0"/>
    <n v="4949517"/>
    <s v="TDRMFR66M60F531E"/>
    <s v="TODARO MARIA FIORA"/>
    <s v="600 - Famiglie consumatrici"/>
    <m/>
    <s v="086 - ITALIA"/>
    <n v="116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80"/>
    <s v="14"/>
    <s v="Operazione per conto di importo elevato per la causale ed il soggetto"/>
    <d v="2025-04-12T00:00:00"/>
    <n v="53850"/>
    <n v="187"/>
    <s v="053850_187"/>
    <s v="Discovery Day"/>
    <s v="Mai valutato"/>
    <m/>
    <s v="202504115810476L"/>
    <n v="1873300109751"/>
    <n v="20250411"/>
    <x v="0"/>
    <m/>
    <m/>
    <s v="D     - Dare"/>
    <n v="1401.07"/>
    <n v="0"/>
    <n v="4949521"/>
    <s v="MNGGPP40C52F531L"/>
    <s v="MANIGRASSO GIUSEPPA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79"/>
    <s v="14"/>
    <s v="Operazione per conto di importo elevato per la causale ed il soggetto"/>
    <d v="2025-04-11T00:00:00"/>
    <n v="53850"/>
    <n v="110"/>
    <s v="053850_110"/>
    <s v="Discovery Day"/>
    <s v="Mai valutato"/>
    <m/>
    <n v="202504117885346"/>
    <n v="1103306286220"/>
    <n v="20250411"/>
    <x v="20"/>
    <m/>
    <m/>
    <s v="D     - Dare"/>
    <n v="500000"/>
    <n v="0"/>
    <n v="4216175"/>
    <s v="LMCGCH71P10A669A"/>
    <s v="LAMACCHIA GIOACCHINO"/>
    <s v="615 - Altre famiglie produttrici"/>
    <s v="012 - COLTIVAZIONE DI COLTURE PERMANENTI"/>
    <s v="086 - ITALIA"/>
    <n v="458"/>
    <m/>
    <m/>
    <m/>
    <m/>
    <m/>
    <m/>
    <m/>
    <n v="0"/>
    <n v="202504"/>
    <s v="IN VALUTAZIONE RPR"/>
    <x v="1"/>
    <n v="1"/>
    <m/>
    <m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78"/>
    <s v="14"/>
    <s v="Operazione per conto di importo elevato per la causale ed il soggetto"/>
    <d v="2025-04-11T00:00:00"/>
    <n v="53850"/>
    <n v="153"/>
    <s v="053850_153"/>
    <s v="Discovery Day"/>
    <s v="Mai valutato"/>
    <m/>
    <n v="202504107886350"/>
    <n v="1533300663496"/>
    <n v="20250410"/>
    <x v="0"/>
    <m/>
    <m/>
    <s v="D     - Dare"/>
    <n v="161797.57999999999"/>
    <n v="0"/>
    <n v="2001604"/>
    <s v="CPPGRD37M15F506P"/>
    <s v="COPPOLA GERARDO"/>
    <s v="600 - Famiglie consumatrici"/>
    <m/>
    <s v="086 - ITALIA"/>
    <n v="1051"/>
    <m/>
    <m/>
    <m/>
    <m/>
    <m/>
    <m/>
    <m/>
    <n v="0"/>
    <n v="202504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77"/>
    <s v="14"/>
    <s v="Operazione per conto di importo elevato per la causale ed il soggetto"/>
    <d v="2025-04-11T00:00:00"/>
    <n v="53850"/>
    <n v="105"/>
    <s v="053850_105"/>
    <s v="Discovery Day"/>
    <s v="Mai valutato"/>
    <m/>
    <n v="202504107886192"/>
    <n v="1053306295285"/>
    <n v="20250410"/>
    <x v="3"/>
    <m/>
    <s v="086 - ITALIA"/>
    <s v="D     - Dare"/>
    <n v="261649.5"/>
    <n v="0"/>
    <n v="3740303"/>
    <s v="LEONGL72C68E038E"/>
    <s v="LEO ANGELA"/>
    <s v="600 - Famiglie consumatrici"/>
    <m/>
    <s v="086 - ITALIA"/>
    <n v="763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70"/>
    <s v="14"/>
    <s v="Operazione per conto di importo elevato per la causale ed il soggetto"/>
    <d v="2025-04-11T00:00:00"/>
    <n v="53850"/>
    <n v="284"/>
    <s v="053850_284"/>
    <s v="Discovery Day"/>
    <s v="Mai valutato"/>
    <m/>
    <n v="202504107886611"/>
    <n v="2843300000468"/>
    <n v="20250410"/>
    <x v="0"/>
    <m/>
    <m/>
    <s v="D     - Dare"/>
    <n v="7537.58"/>
    <n v="0"/>
    <n v="1656678"/>
    <s v="TRTVCN61D45B238W"/>
    <s v="TORTO VINCENZA"/>
    <s v="600 - Famiglie consumatrici"/>
    <m/>
    <s v="086 - ITALIA"/>
    <n v="1860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469"/>
    <s v="14"/>
    <s v="Operazione per conto di importo elevato per la causale ed il soggetto"/>
    <d v="2025-04-11T00:00:00"/>
    <n v="53850"/>
    <n v="188"/>
    <s v="053850_188"/>
    <s v="Discovery Day"/>
    <s v="Mai valutato"/>
    <m/>
    <s v="202504105772518L"/>
    <n v="1883300128444"/>
    <n v="20250410"/>
    <x v="0"/>
    <m/>
    <m/>
    <s v="D     - Dare"/>
    <n v="3919.57"/>
    <n v="0"/>
    <n v="4121707"/>
    <s v="CLVLDN69M71L049N"/>
    <s v="CALVIELLO LOREDANA"/>
    <s v="600 - Famiglie consumatrici"/>
    <m/>
    <s v="086 - ITALIA"/>
    <n v="433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467"/>
    <s v="14"/>
    <s v="Operazione per conto di importo elevato per la causale ed il soggetto"/>
    <d v="2025-04-11T00:00:00"/>
    <n v="53850"/>
    <n v="153"/>
    <s v="053850_153"/>
    <s v="Discovery Day"/>
    <s v="Mai valutato"/>
    <m/>
    <n v="202504107885819"/>
    <n v="1533303003511"/>
    <n v="20250410"/>
    <x v="4"/>
    <m/>
    <m/>
    <s v="D     - Dare"/>
    <n v="953751.8"/>
    <n v="0"/>
    <n v="4176708"/>
    <n v="606490647"/>
    <s v="ELETTROCANALI S.R.L."/>
    <s v="430 - Imprese produttive"/>
    <s v="222 - FABBRICAZIONE DI ARTICOLI IN MATERIE PLASTICHE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63"/>
    <s v="14"/>
    <s v="Operazione per conto di importo elevato per la causale ed il soggetto"/>
    <d v="2025-04-11T00:00:00"/>
    <n v="53850"/>
    <n v="200"/>
    <s v="053850_200"/>
    <s v="Discovery Day"/>
    <s v="Mai valutato"/>
    <m/>
    <n v="202504107886545"/>
    <n v="2003300003447"/>
    <n v="20250410"/>
    <x v="22"/>
    <m/>
    <m/>
    <s v="A     - Avere"/>
    <n v="717873.56"/>
    <n v="0"/>
    <n v="4985570"/>
    <n v="12490960965"/>
    <s v="KENTROS S.R.L."/>
    <s v="285 - Holding operative finanziarie"/>
    <s v="642 - ATTIVITÀ DELLE SOCIETÀ DI PARTECIPAZIONE (HOLDING)"/>
    <s v="086 - ITALIA"/>
    <n v="1784"/>
    <m/>
    <m/>
    <m/>
    <m/>
    <m/>
    <m/>
    <m/>
    <n v="0"/>
    <n v="202504"/>
    <s v="ARCHIVIATA"/>
    <x v="0"/>
    <n v="1"/>
    <m/>
    <m/>
    <n v="0"/>
    <n v="999"/>
    <n v="285"/>
    <n v="285999"/>
    <m/>
    <n v="1"/>
    <x v="0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61"/>
    <s v="14"/>
    <s v="Operazione per conto di importo elevato per la causale ed il soggetto"/>
    <d v="2025-04-11T00:00:00"/>
    <n v="53850"/>
    <n v="284"/>
    <s v="053850_284"/>
    <s v="Discovery Day"/>
    <s v="Mai valutato"/>
    <m/>
    <n v="202504107886611"/>
    <n v="2843300000468"/>
    <n v="20250410"/>
    <x v="0"/>
    <m/>
    <m/>
    <s v="D     - Dare"/>
    <n v="7537.58"/>
    <n v="0"/>
    <n v="1702561"/>
    <s v="GRFDNC60E06C632E"/>
    <s v="GAROFALO DOMENICO"/>
    <s v="600 - Famiglie consumatrici"/>
    <m/>
    <s v="086 - ITALIA"/>
    <n v="1860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459"/>
    <s v="14"/>
    <s v="Operazione per conto di importo elevato per la causale ed il soggetto"/>
    <d v="2025-04-11T00:00:00"/>
    <n v="53850"/>
    <n v="109"/>
    <s v="053850_109"/>
    <s v="Discovery Day"/>
    <s v="Mai valutato"/>
    <m/>
    <n v="202504107885699"/>
    <n v="1093304102436"/>
    <n v="20250410"/>
    <x v="4"/>
    <m/>
    <m/>
    <s v="D     - Dare"/>
    <n v="318131.78999999998"/>
    <n v="0"/>
    <n v="4142804"/>
    <n v="4794510729"/>
    <s v="ACMEI SUD SPA"/>
    <s v="430 - Imprese produttive"/>
    <s v="464 - COMMERCIO ALL'INGROSSO DI BENI DI CONSUMO FINALE"/>
    <s v="086 - ITALIA"/>
    <n v="1919"/>
    <m/>
    <m/>
    <m/>
    <m/>
    <m/>
    <m/>
    <m/>
    <n v="0"/>
    <n v="202504"/>
    <s v="ARCHIVIATA"/>
    <x v="0"/>
    <n v="1"/>
    <m/>
    <m/>
    <n v="0"/>
    <n v="464"/>
    <n v="430"/>
    <n v="430464"/>
    <s v="Classe di rischio 4"/>
    <m/>
    <x v="2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58"/>
    <s v="14"/>
    <s v="Operazione per conto di importo elevato per la causale ed il soggetto"/>
    <d v="2025-04-11T00:00:00"/>
    <n v="53850"/>
    <n v="149"/>
    <s v="053850_149"/>
    <s v="Discovery Day"/>
    <s v="Mai valutato"/>
    <m/>
    <n v="202504107884602"/>
    <n v="1493300665012"/>
    <n v="20250410"/>
    <x v="1"/>
    <m/>
    <s v="086 - ITALIA"/>
    <s v="A     - Avere"/>
    <n v="1098966.73"/>
    <n v="0"/>
    <n v="3711346"/>
    <n v="9125231218"/>
    <s v="MOLISSO S.R.L."/>
    <s v="430 - Imprese produttive"/>
    <s v="494 - TRASPORTO DI MERCI SU STRADA E SERVIZI DI TRASLOCO"/>
    <s v="086 - ITALIA"/>
    <n v="1910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54"/>
    <s v="14"/>
    <s v="Operazione per conto di importo elevato per la causale ed il soggetto"/>
    <d v="2025-04-11T00:00:00"/>
    <n v="53850"/>
    <n v="188"/>
    <s v="053850_188"/>
    <s v="Discovery Day"/>
    <s v="Mai valutato"/>
    <m/>
    <s v="202504105772518L"/>
    <n v="1883300128444"/>
    <n v="20250410"/>
    <x v="0"/>
    <m/>
    <m/>
    <s v="D     - Dare"/>
    <n v="3919.57"/>
    <n v="0"/>
    <n v="3009549"/>
    <s v="CMBNDR39T41Z110L"/>
    <s v="COMBE ANDREE'"/>
    <s v="600 - Famiglie consumatrici"/>
    <m/>
    <s v="086 - ITALIA"/>
    <n v="433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451"/>
    <s v="14"/>
    <s v="Operazione per conto di importo elevato per la causale ed il soggetto"/>
    <d v="2025-04-11T00:00:00"/>
    <n v="53850"/>
    <n v="102"/>
    <s v="053850_102"/>
    <s v="Discovery Day"/>
    <s v="Mai valutato"/>
    <m/>
    <n v="202504107885589"/>
    <n v="1023300113820"/>
    <n v="20250410"/>
    <x v="11"/>
    <m/>
    <m/>
    <s v="D     - Dare"/>
    <n v="1800737.18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47"/>
    <s v="14"/>
    <s v="Operazione per conto di importo elevato per la causale ed il soggetto"/>
    <d v="2025-04-11T00:00:00"/>
    <n v="53850"/>
    <n v="196"/>
    <s v="053850_196"/>
    <s v="Discovery Day"/>
    <s v="Mai valutato"/>
    <m/>
    <s v="202504105765042L"/>
    <n v="1963302354309"/>
    <n v="20250410"/>
    <x v="0"/>
    <m/>
    <m/>
    <s v="D     - Dare"/>
    <n v="1163.22"/>
    <n v="0"/>
    <n v="4945096"/>
    <s v="MGGLGU98L15C514B"/>
    <s v="MAGGIO LUIGI"/>
    <s v="600 - Famiglie consumatrici"/>
    <m/>
    <s v="086 - ITALIA"/>
    <n v="79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46"/>
    <s v="14"/>
    <s v="Operazione per conto di importo elevato per la causale ed il soggetto"/>
    <d v="2025-04-11T00:00:00"/>
    <n v="53850"/>
    <n v="200"/>
    <s v="053850_200"/>
    <s v="Discovery Day"/>
    <s v="Mai valutato"/>
    <m/>
    <n v="202504107886544"/>
    <n v="2003300003466"/>
    <n v="20250410"/>
    <x v="0"/>
    <m/>
    <m/>
    <s v="D     - Dare"/>
    <n v="717873.56"/>
    <n v="0"/>
    <n v="4985570"/>
    <n v="12490960965"/>
    <s v="KENTROS S.R.L."/>
    <s v="285 - Holding operative finanziarie"/>
    <s v="642 - ATTIVITÀ DELLE SOCIETÀ DI PARTECIPAZIONE (HOLDING)"/>
    <s v="086 - ITALIA"/>
    <n v="1784"/>
    <m/>
    <m/>
    <m/>
    <m/>
    <m/>
    <m/>
    <m/>
    <n v="0"/>
    <n v="202504"/>
    <s v="ARCHIVIATA"/>
    <x v="0"/>
    <n v="1"/>
    <m/>
    <m/>
    <n v="1"/>
    <n v="999"/>
    <n v="285"/>
    <n v="285999"/>
    <m/>
    <n v="1"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37"/>
    <s v="14"/>
    <s v="Operazione per conto di importo elevato per la causale ed il soggetto"/>
    <d v="2025-04-10T00:00:00"/>
    <n v="53850"/>
    <n v="269"/>
    <s v="053850_269"/>
    <s v="Discovery Day"/>
    <s v="Mai valutato"/>
    <m/>
    <n v="202504097881464"/>
    <n v="2693300001683"/>
    <n v="20250409"/>
    <x v="1"/>
    <m/>
    <s v="086 - ITALIA"/>
    <s v="A     - Avere"/>
    <n v="575445.98"/>
    <n v="0"/>
    <n v="1707161"/>
    <s v="RSIMSM58T28C034W"/>
    <s v="RISI MASSIMO"/>
    <s v="775 - Famiglie consumatrici di paesi non UE"/>
    <m/>
    <s v="069 - STATI UNITI"/>
    <n v="1713"/>
    <m/>
    <m/>
    <m/>
    <m/>
    <m/>
    <m/>
    <m/>
    <n v="0"/>
    <n v="202504"/>
    <s v="ARCHIVIATA DA RPR"/>
    <x v="0"/>
    <n v="1"/>
    <m/>
    <m/>
    <n v="0"/>
    <n v="999"/>
    <n v="775"/>
    <n v="775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35"/>
    <s v="14"/>
    <s v="Operazione per conto di importo elevato per la causale ed il soggetto"/>
    <d v="2025-04-10T00:00:00"/>
    <n v="53850"/>
    <n v="271"/>
    <s v="053850_271"/>
    <s v="Discovery Day"/>
    <s v="Mai valutato"/>
    <m/>
    <n v="202504097881920"/>
    <n v="2713300001219"/>
    <n v="20250409"/>
    <x v="1"/>
    <m/>
    <s v="086 - ITALIA"/>
    <s v="A     - Avere"/>
    <n v="207830.21"/>
    <n v="0"/>
    <n v="1628082"/>
    <s v="BRSVVN76B63G141P"/>
    <s v="BARISCI VIVIANA"/>
    <s v="600 - Famiglie consumatrici"/>
    <m/>
    <s v="086 - ITALIA"/>
    <n v="994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432"/>
    <s v="14"/>
    <s v="Operazione per conto di importo elevato per la causale ed il soggetto"/>
    <d v="2025-04-10T00:00:00"/>
    <n v="53850"/>
    <n v="269"/>
    <s v="053850_269"/>
    <s v="Discovery Day"/>
    <s v="Mai valutato"/>
    <m/>
    <n v="202504097881464"/>
    <n v="2693300001683"/>
    <n v="20250409"/>
    <x v="1"/>
    <m/>
    <s v="086 - ITALIA"/>
    <s v="A     - Avere"/>
    <n v="575445.98"/>
    <n v="0"/>
    <n v="1706596"/>
    <s v="FLCLCU62E65F582L"/>
    <s v="FALCONE LUCIA"/>
    <s v="600 - Famiglie consumatrici"/>
    <m/>
    <s v="086 - ITALIA"/>
    <n v="1713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28"/>
    <s v="14"/>
    <s v="Operazione per conto di importo elevato per la causale ed il soggetto"/>
    <d v="2025-04-10T00:00:00"/>
    <n v="53850"/>
    <n v="268"/>
    <s v="053850_268"/>
    <s v="Discovery Day"/>
    <s v="Mai valutato"/>
    <m/>
    <n v="202504097883425"/>
    <n v="2683300010864"/>
    <n v="20250409"/>
    <x v="3"/>
    <m/>
    <s v="086 - ITALIA"/>
    <s v="D     - Dare"/>
    <n v="217212"/>
    <n v="0"/>
    <n v="3739084"/>
    <s v="DLCGNN87S28D086S"/>
    <s v="DE LUCA GIOVANNI"/>
    <s v="600 - Famiglie consumatrici"/>
    <m/>
    <s v="086 - ITALIA"/>
    <n v="1830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427"/>
    <s v="14"/>
    <s v="Operazione per conto di importo elevato per la causale ed il soggetto"/>
    <d v="2025-04-10T00:00:00"/>
    <n v="53850"/>
    <n v="103"/>
    <s v="053850_103"/>
    <s v="Discovery Day"/>
    <s v="Mai valutato"/>
    <m/>
    <n v="202504097883043"/>
    <n v="1033302887757"/>
    <n v="20250409"/>
    <x v="0"/>
    <m/>
    <m/>
    <s v="D     - Dare"/>
    <n v="94953.62"/>
    <n v="0"/>
    <n v="4066375"/>
    <s v="CTLGPP74E03A225F"/>
    <s v="CATALDI GIUSEPPE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26"/>
    <s v="14"/>
    <s v="Operazione per conto di importo elevato per la causale ed il soggetto"/>
    <d v="2025-04-10T00:00:00"/>
    <n v="53850"/>
    <n v="268"/>
    <s v="053850_268"/>
    <s v="Discovery Day"/>
    <s v="Mai valutato"/>
    <m/>
    <n v="202504097883425"/>
    <n v="2683300010864"/>
    <n v="20250409"/>
    <x v="3"/>
    <m/>
    <s v="086 - ITALIA"/>
    <s v="D     - Dare"/>
    <n v="217212"/>
    <n v="0"/>
    <n v="1628555"/>
    <s v="CMTVNI89L64H579T"/>
    <s v="COMITO IVANA"/>
    <s v="600 - Famiglie consumatrici"/>
    <m/>
    <s v="086 - ITALIA"/>
    <n v="1870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420"/>
    <s v="14"/>
    <s v="Operazione per conto di importo elevato per la causale ed il soggetto"/>
    <d v="2025-04-10T00:00:00"/>
    <n v="53850"/>
    <n v="282"/>
    <s v="053850_282"/>
    <s v="Discovery Day"/>
    <s v="Mai valutato"/>
    <m/>
    <n v="202504097883472"/>
    <n v="2823300000075"/>
    <n v="20250409"/>
    <x v="23"/>
    <m/>
    <m/>
    <s v="D     - Dare"/>
    <n v="168023.98"/>
    <n v="0"/>
    <n v="1602060"/>
    <s v="PTRNTN44M03B985V"/>
    <s v="PIETROPAOLO ANTONIO"/>
    <s v="600 - Famiglie consumatrici"/>
    <m/>
    <s v="086 - ITALIA"/>
    <n v="175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17"/>
    <s v="14"/>
    <s v="Operazione per conto di importo elevato per la causale ed il soggetto"/>
    <d v="2025-04-10T00:00:00"/>
    <n v="53850"/>
    <n v="282"/>
    <s v="053850_282"/>
    <s v="Discovery Day"/>
    <s v="Mai valutato"/>
    <m/>
    <n v="202504097883473"/>
    <n v="2825500000010"/>
    <n v="20250409"/>
    <x v="19"/>
    <m/>
    <m/>
    <s v="A     - Avere"/>
    <n v="168023.98"/>
    <n v="0"/>
    <n v="1602060"/>
    <s v="PTRNTN44M03B985V"/>
    <s v="PIETROPAOLO ANTONIO"/>
    <s v="600 - Famiglie consumatrici"/>
    <m/>
    <s v="086 - ITALIA"/>
    <n v="175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14"/>
    <s v="14"/>
    <s v="Operazione per conto di importo elevato per la causale ed il soggetto"/>
    <d v="2025-04-10T00:00:00"/>
    <n v="53850"/>
    <n v="102"/>
    <s v="053850_102"/>
    <s v="Discovery Day"/>
    <s v="Mai valutato"/>
    <m/>
    <n v="202504097882384"/>
    <n v="1021200491975"/>
    <n v="20250409"/>
    <x v="24"/>
    <m/>
    <m/>
    <s v="A     - Avere"/>
    <n v="6131735.9900000002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4"/>
    <s v="ARCHIVIATA DA RPR"/>
    <x v="0"/>
    <n v="1"/>
    <m/>
    <m/>
    <n v="0"/>
    <n v="462"/>
    <n v="430"/>
    <n v="430462"/>
    <s v="Classe di rischio 3"/>
    <m/>
    <x v="4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13"/>
    <s v="14"/>
    <s v="Operazione per conto di importo elevato per la causale ed il soggetto"/>
    <d v="2025-04-10T00:00:00"/>
    <n v="53850"/>
    <n v="271"/>
    <s v="053850_271"/>
    <s v="Discovery Day"/>
    <s v="Mai valutato"/>
    <m/>
    <n v="202504097881974"/>
    <n v="2713300001219"/>
    <n v="20250409"/>
    <x v="1"/>
    <m/>
    <s v="086 - ITALIA"/>
    <s v="A     - Avere"/>
    <n v="209039.88"/>
    <n v="0"/>
    <n v="1628082"/>
    <s v="BRSVVN76B63G141P"/>
    <s v="BARISCI VIVIANA"/>
    <s v="600 - Famiglie consumatrici"/>
    <m/>
    <s v="086 - ITALIA"/>
    <n v="994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409"/>
    <s v="14"/>
    <s v="Operazione per conto di importo elevato per la causale ed il soggetto"/>
    <d v="2025-04-10T00:00:00"/>
    <n v="53850"/>
    <n v="102"/>
    <s v="053850_102"/>
    <s v="Discovery Day"/>
    <s v="Mai valutato"/>
    <m/>
    <n v="202504097882385"/>
    <n v="1021200491975"/>
    <n v="20250409"/>
    <x v="25"/>
    <m/>
    <m/>
    <s v="D     - Dare"/>
    <n v="6131735.9900000002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4"/>
    <s v="ARCHIVIATA DA RPR"/>
    <x v="0"/>
    <n v="1"/>
    <m/>
    <m/>
    <n v="0"/>
    <n v="462"/>
    <n v="430"/>
    <n v="430462"/>
    <s v="Classe di rischio 3"/>
    <m/>
    <x v="4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08"/>
    <s v="14"/>
    <s v="Operazione per conto di importo elevato per la causale ed il soggetto"/>
    <d v="2025-04-10T00:00:00"/>
    <n v="53850"/>
    <n v="273"/>
    <s v="053850_273"/>
    <s v="Discovery Day"/>
    <s v="Mai valutato"/>
    <m/>
    <n v="202504097883041"/>
    <n v="2733300003808"/>
    <n v="20250409"/>
    <x v="0"/>
    <m/>
    <m/>
    <s v="D     - Dare"/>
    <n v="5557.46"/>
    <n v="0"/>
    <n v="1689973"/>
    <s v="PZZLGU93M28B519O"/>
    <s v="PEZZOTTA LUIGI"/>
    <s v="600 - Famiglie consumatrici"/>
    <m/>
    <s v="086 - ITALIA"/>
    <n v="1752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398"/>
    <s v="14"/>
    <s v="Operazione per conto di importo elevato per la causale ed il soggetto"/>
    <d v="2025-04-10T00:00:00"/>
    <n v="53850"/>
    <n v="103"/>
    <s v="053850_103"/>
    <s v="Discovery Day"/>
    <s v="Mai valutato"/>
    <m/>
    <n v="202504097883043"/>
    <n v="1033302887757"/>
    <n v="20250409"/>
    <x v="0"/>
    <m/>
    <m/>
    <s v="D     - Dare"/>
    <n v="94953.62"/>
    <n v="0"/>
    <n v="4019401"/>
    <s v="CTLSVT72T30E155E"/>
    <s v="CATALDI SALVATORE"/>
    <s v="600 - Famiglie consumatrici"/>
    <m/>
    <s v="086 - ITALIA"/>
    <n v="1224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386"/>
    <s v="14"/>
    <s v="Operazione per conto di importo elevato per la causale ed il soggetto"/>
    <d v="2025-04-09T00:00:00"/>
    <n v="53850"/>
    <n v="102"/>
    <s v="053850_102"/>
    <s v="Discovery Day"/>
    <s v="Mai valutato"/>
    <m/>
    <n v="202504087880064"/>
    <n v="1023308727570"/>
    <n v="20250408"/>
    <x v="3"/>
    <m/>
    <s v="086 - ITALIA"/>
    <s v="D     - Dare"/>
    <n v="245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s v="IN VALUTAZIONE RPR"/>
    <x v="1"/>
    <n v="1"/>
    <m/>
    <m/>
    <n v="0"/>
    <n v="999"/>
    <n v="285"/>
    <n v="285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385"/>
    <s v="14"/>
    <s v="Operazione per conto di importo elevato per la causale ed il soggetto"/>
    <d v="2025-04-09T00:00:00"/>
    <n v="53850"/>
    <n v="114"/>
    <s v="053850_114"/>
    <s v="Discovery Day"/>
    <s v="Mai valutato"/>
    <m/>
    <n v="202504087880142"/>
    <n v="1143306281461"/>
    <n v="20250408"/>
    <x v="0"/>
    <m/>
    <m/>
    <s v="D     - Dare"/>
    <n v="30378.9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4"/>
    <s v="ARCHIVIATA"/>
    <x v="0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384"/>
    <s v="14"/>
    <s v="Operazione per conto di importo elevato per la causale ed il soggetto"/>
    <d v="2025-04-09T00:00:00"/>
    <n v="53850"/>
    <n v="114"/>
    <s v="053850_114"/>
    <s v="Discovery Day"/>
    <s v="Mai valutato"/>
    <m/>
    <n v="202504087880144"/>
    <n v="1143306281460"/>
    <n v="20250408"/>
    <x v="0"/>
    <m/>
    <m/>
    <s v="D     - Dare"/>
    <n v="60840.4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4"/>
    <s v="ARCHIVIATA"/>
    <x v="0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29382"/>
    <s v="14"/>
    <s v="Operazione per conto di importo elevato per la causale ed il soggetto"/>
    <d v="2025-04-09T00:00:00"/>
    <n v="53850"/>
    <n v="102"/>
    <s v="053850_102"/>
    <s v="Discovery Day"/>
    <s v="Mai valutato"/>
    <m/>
    <n v="202504087878890"/>
    <n v="1603300002981"/>
    <n v="20250408"/>
    <x v="1"/>
    <m/>
    <s v="086 - ITALIA"/>
    <s v="A     - Avere"/>
    <n v="23639999.420000002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4"/>
    <s v="IN VALUTAZIONE RPR"/>
    <x v="1"/>
    <n v="1"/>
    <m/>
    <m/>
    <n v="0"/>
    <n v="999"/>
    <n v="475"/>
    <n v="475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81"/>
    <s v="14"/>
    <s v="Operazione per conto di importo elevato per la causale ed il soggetto"/>
    <d v="2025-04-09T00:00:00"/>
    <n v="53850"/>
    <n v="102"/>
    <s v="053850_102"/>
    <s v="Discovery Day"/>
    <s v="Mai valutato"/>
    <m/>
    <n v="202504087880062"/>
    <n v="1023300113820"/>
    <n v="20250408"/>
    <x v="3"/>
    <m/>
    <s v="086 - ITALIA"/>
    <s v="D     - Dare"/>
    <n v="127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80"/>
    <s v="14"/>
    <s v="Operazione per conto di importo elevato per la causale ed il soggetto"/>
    <d v="2025-04-09T00:00:00"/>
    <n v="53850"/>
    <n v="200"/>
    <s v="053850_200"/>
    <s v="Discovery Day"/>
    <s v="Mai valutato"/>
    <m/>
    <n v="202504087878812"/>
    <n v="2003300003730"/>
    <n v="20250408"/>
    <x v="1"/>
    <m/>
    <s v="086 - ITALIA"/>
    <s v="A     - Avere"/>
    <n v="750000"/>
    <n v="0"/>
    <n v="3731305"/>
    <s v="GGLLCN65C30C632E"/>
    <s v="GAGLIARDI LUCIANO"/>
    <s v="600 - Famiglie consumatrici"/>
    <m/>
    <s v="086 - ITALIA"/>
    <n v="1837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375"/>
    <s v="14"/>
    <s v="Operazione per conto di importo elevato per la causale ed il soggetto"/>
    <d v="2025-04-09T00:00:00"/>
    <n v="53850"/>
    <n v="102"/>
    <s v="053850_102"/>
    <s v="Discovery Day"/>
    <s v="Mai valutato"/>
    <m/>
    <n v="202504087880073"/>
    <n v="1603300002981"/>
    <n v="20250408"/>
    <x v="15"/>
    <m/>
    <m/>
    <s v="D     - Dare"/>
    <n v="23639999.420000002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4"/>
    <s v="IN VALUTAZIONE RPR"/>
    <x v="1"/>
    <n v="1"/>
    <m/>
    <m/>
    <n v="0"/>
    <n v="999"/>
    <n v="475"/>
    <n v="475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73"/>
    <s v="14"/>
    <s v="Operazione per conto di importo elevato per la causale ed il soggetto"/>
    <d v="2025-04-09T00:00:00"/>
    <n v="53850"/>
    <n v="102"/>
    <s v="053850_102"/>
    <s v="Discovery Day"/>
    <s v="Mai valutato"/>
    <m/>
    <n v="202504087878484"/>
    <n v="1023308727570"/>
    <n v="20250408"/>
    <x v="1"/>
    <m/>
    <s v="086 - ITALIA"/>
    <s v="A     - Avere"/>
    <n v="400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s v="IN VALUTAZIONE RPR"/>
    <x v="1"/>
    <n v="1"/>
    <m/>
    <m/>
    <n v="0"/>
    <n v="999"/>
    <n v="285"/>
    <n v="285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369"/>
    <s v="14"/>
    <s v="Operazione per conto di importo elevato per la causale ed il soggetto"/>
    <d v="2025-04-09T00:00:00"/>
    <n v="53850"/>
    <n v="175"/>
    <s v="053850_175"/>
    <s v="Discovery Day"/>
    <s v="Mai valutato"/>
    <m/>
    <n v="202504087880034"/>
    <n v="1753305678410"/>
    <n v="20250408"/>
    <x v="15"/>
    <m/>
    <m/>
    <s v="D     - Dare"/>
    <n v="160000"/>
    <n v="0"/>
    <n v="567841"/>
    <s v="NCLVCN55T22F052Q"/>
    <s v="NICOLETTI VINCENZO"/>
    <s v="600 - Famiglie consumatrici"/>
    <m/>
    <s v="086 - ITALIA"/>
    <n v="158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68"/>
    <s v="14"/>
    <s v="Operazione per conto di importo elevato per la causale ed il soggetto"/>
    <d v="2025-04-09T00:00:00"/>
    <n v="53850"/>
    <n v="147"/>
    <s v="053850_147"/>
    <s v="Discovery Day"/>
    <s v="Mai valutato"/>
    <m/>
    <n v="202504087880231"/>
    <n v="1473300003059"/>
    <n v="20250408"/>
    <x v="0"/>
    <m/>
    <m/>
    <s v="D     - Dare"/>
    <n v="42791.93"/>
    <n v="0"/>
    <n v="4963912"/>
    <n v="2946001217"/>
    <s v="FALLIMENTO EUROBREAD &amp; CO. S.A.S. DI MENDOZZA ROSARIA"/>
    <s v="480 - Quasi societa' non finanziarie artigiane - Unita' o societa' con 20 o piu' addetti"/>
    <s v="469 - COMMERCIO ALL'INGROSSO NON SPECIALIZZATO"/>
    <s v="086 - ITALIA"/>
    <n v="1356"/>
    <m/>
    <m/>
    <m/>
    <m/>
    <m/>
    <m/>
    <m/>
    <n v="0"/>
    <n v="202504"/>
    <s v="ARCHIVIATA DA RPR"/>
    <x v="0"/>
    <n v="1"/>
    <m/>
    <m/>
    <n v="1"/>
    <n v="999"/>
    <n v="480"/>
    <n v="480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65"/>
    <s v="14"/>
    <s v="Operazione per conto di importo elevato per la causale ed il soggetto"/>
    <d v="2025-04-09T00:00:00"/>
    <n v="53850"/>
    <n v="125"/>
    <s v="053850_125"/>
    <s v="Discovery Day"/>
    <s v="Mai valutato"/>
    <m/>
    <n v="202504087878592"/>
    <n v="1253300000194"/>
    <n v="20250408"/>
    <x v="1"/>
    <m/>
    <s v="086 - ITALIA"/>
    <s v="A     - Avere"/>
    <n v="1468326.89"/>
    <n v="0"/>
    <n v="4075615"/>
    <n v="1898620610"/>
    <s v="L'OASI - CENTRO RESIDENZA DI RIABILITAZIONE NEUROMOTORIA ANZIANI E DISABILI SRL"/>
    <s v="430 - Imprese produttive"/>
    <s v="861 - SERVIZI OSPEDALIERI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364"/>
    <s v="14"/>
    <s v="Operazione per conto di importo elevato per la causale ed il soggetto"/>
    <d v="2025-04-09T00:00:00"/>
    <n v="53850"/>
    <n v="147"/>
    <s v="053850_147"/>
    <s v="Discovery Day"/>
    <s v="Mai valutato"/>
    <m/>
    <n v="202504087880228"/>
    <n v="1473300003312"/>
    <n v="20250408"/>
    <x v="0"/>
    <m/>
    <m/>
    <s v="D     - Dare"/>
    <n v="8167.78"/>
    <n v="0"/>
    <n v="4991735"/>
    <m/>
    <s v="PROC. ESEC. IMM. RGE 70 2016 TRIB. DI TORRE ANNUNZIATA"/>
    <s v="501 - Istituzioni ed enti con finalita' di assistenza, beneficenza, istruzione, culturali, sindacali, politiche, sportive, ricreative e simili"/>
    <m/>
    <s v="086 - ITALIA"/>
    <n v="1356"/>
    <m/>
    <m/>
    <m/>
    <m/>
    <m/>
    <m/>
    <m/>
    <n v="0"/>
    <n v="202504"/>
    <s v="ARCHIVIATA DA RPR"/>
    <x v="0"/>
    <n v="1"/>
    <m/>
    <m/>
    <n v="1"/>
    <n v="999"/>
    <n v="501"/>
    <n v="501999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363"/>
    <s v="14"/>
    <s v="Operazione per conto di importo elevato per la causale ed il soggetto"/>
    <d v="2025-04-09T00:00:00"/>
    <n v="53850"/>
    <n v="182"/>
    <s v="053850_182"/>
    <s v="Discovery Day"/>
    <s v="Mai valutato"/>
    <m/>
    <n v="202504087880336"/>
    <n v="1823300174221"/>
    <n v="20250408"/>
    <x v="0"/>
    <m/>
    <m/>
    <s v="D     - Dare"/>
    <n v="131839.34"/>
    <n v="0"/>
    <n v="3020729"/>
    <s v="FNSTMS46A55L049I"/>
    <s v="FONSECA TOMMASINA"/>
    <s v="600 - Famiglie consumatrici"/>
    <m/>
    <s v="086 - ITALIA"/>
    <n v="165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361"/>
    <s v="14"/>
    <s v="Operazione per conto di importo elevato per la causale ed il soggetto"/>
    <d v="2025-04-08T00:00:00"/>
    <n v="53850"/>
    <n v="182"/>
    <s v="053850_182"/>
    <s v="Discovery Day"/>
    <s v="Mai valutato"/>
    <m/>
    <n v="202504087876006"/>
    <n v="1823300017474"/>
    <n v="20250408"/>
    <x v="7"/>
    <m/>
    <m/>
    <s v="D     - Dare"/>
    <n v="975210.17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60"/>
    <s v="14"/>
    <s v="Operazione per conto di importo elevato per la causale ed il soggetto"/>
    <d v="2025-04-08T00:00:00"/>
    <n v="53850"/>
    <n v="125"/>
    <s v="053850_125"/>
    <s v="Discovery Day"/>
    <s v="Mai valutato"/>
    <m/>
    <s v="202504075610360L"/>
    <n v="1253300002492"/>
    <n v="20250407"/>
    <x v="0"/>
    <m/>
    <m/>
    <s v="D     - Dare"/>
    <n v="1335.4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4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56"/>
    <s v="14"/>
    <s v="Operazione per conto di importo elevato per la causale ed il soggetto"/>
    <d v="2025-04-08T00:00:00"/>
    <n v="53850"/>
    <n v="102"/>
    <s v="053850_102"/>
    <s v="Discovery Day"/>
    <s v="Mai valutato"/>
    <m/>
    <n v="202504077875103"/>
    <n v="1023304132020"/>
    <n v="20250407"/>
    <x v="1"/>
    <m/>
    <s v="086 - ITALIA"/>
    <s v="A     - Avere"/>
    <n v="1546306.64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346"/>
    <s v="14"/>
    <s v="Operazione per conto di importo elevato per la causale ed il soggetto"/>
    <d v="2025-04-08T00:00:00"/>
    <n v="53850"/>
    <n v="204"/>
    <s v="053850_204"/>
    <s v="Discovery Day"/>
    <s v="Mai valutato"/>
    <m/>
    <s v="202504075610573L"/>
    <n v="2043300012553"/>
    <n v="20250407"/>
    <x v="0"/>
    <m/>
    <m/>
    <s v="D     - Dare"/>
    <n v="1004.79"/>
    <n v="0"/>
    <n v="4902092"/>
    <n v="14374361005"/>
    <s v="ISI GROUP S.R.L."/>
    <s v="430 - Imprese produttive"/>
    <s v="471 - COMMERCIO AL DETTAGLIO IN ESERCIZI NON SPECIALIZZATI"/>
    <s v="086 - ITALIA"/>
    <n v="1810"/>
    <m/>
    <m/>
    <m/>
    <m/>
    <m/>
    <m/>
    <m/>
    <n v="0"/>
    <n v="202504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42"/>
    <s v="14"/>
    <s v="Operazione per conto di importo elevato per la causale ed il soggetto"/>
    <d v="2025-04-08T00:00:00"/>
    <n v="53850"/>
    <n v="273"/>
    <s v="053850_273"/>
    <s v="Discovery Day"/>
    <s v="Mai valutato"/>
    <m/>
    <s v="202504075614001L"/>
    <n v="2733300004121"/>
    <n v="20250407"/>
    <x v="0"/>
    <m/>
    <m/>
    <s v="D     - Dare"/>
    <n v="1035.48"/>
    <n v="0"/>
    <n v="1694705"/>
    <n v="1947330690"/>
    <s v="GABRI' PARK HOTEL S.R.L."/>
    <s v="430 - Imprese produttive"/>
    <s v="561 - RISTORANTI E ATTIVITÀ DI RISTORAZIONE MOBILE"/>
    <s v="086 - ITALIA"/>
    <n v="1765"/>
    <m/>
    <m/>
    <m/>
    <m/>
    <m/>
    <m/>
    <m/>
    <n v="0"/>
    <n v="202504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40"/>
    <s v="14"/>
    <s v="Operazione per conto di importo elevato per la causale ed il soggetto"/>
    <d v="2025-04-08T00:00:00"/>
    <n v="53850"/>
    <n v="196"/>
    <s v="053850_196"/>
    <s v="Discovery Day"/>
    <s v="Mai valutato"/>
    <m/>
    <s v="202504075610582L"/>
    <n v="1963302354339"/>
    <n v="20250407"/>
    <x v="0"/>
    <m/>
    <m/>
    <s v="D     - Dare"/>
    <n v="1057.92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4"/>
    <s v="IN VALUTAZIONE RPR"/>
    <x v="1"/>
    <n v="1"/>
    <m/>
    <m/>
    <n v="1"/>
    <n v="999"/>
    <n v="480"/>
    <n v="480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39"/>
    <s v="14"/>
    <s v="Operazione per conto di importo elevato per la causale ed il soggetto"/>
    <d v="2025-04-08T00:00:00"/>
    <n v="53850"/>
    <n v="187"/>
    <s v="053850_187"/>
    <s v="Discovery Day"/>
    <s v="Mai valutato"/>
    <m/>
    <n v="202504077876611"/>
    <n v="1873300102696"/>
    <n v="20250407"/>
    <x v="15"/>
    <m/>
    <m/>
    <s v="D     - Dare"/>
    <n v="436461.36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s v="ARCHIVIATA"/>
    <x v="0"/>
    <n v="1"/>
    <m/>
    <m/>
    <n v="0"/>
    <n v="463"/>
    <n v="430"/>
    <n v="430463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35"/>
    <s v="14"/>
    <s v="Operazione per conto di importo elevato per la causale ed il soggetto"/>
    <d v="2025-04-08T00:00:00"/>
    <n v="53850"/>
    <n v="102"/>
    <s v="053850_102"/>
    <s v="Discovery Day"/>
    <s v="Mai valutato"/>
    <m/>
    <n v="202504077876856"/>
    <n v="1023301264620"/>
    <n v="20250407"/>
    <x v="9"/>
    <m/>
    <m/>
    <s v="D     - Dare"/>
    <n v="300000"/>
    <n v="0"/>
    <n v="126462"/>
    <s v="MRRDTS54A01A225M"/>
    <s v="MARROCCOLI DONATO SALVATORE"/>
    <s v="600 - Famiglie consumatrici"/>
    <m/>
    <s v="086 - ITALIA"/>
    <n v="1335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331"/>
    <s v="14"/>
    <s v="Operazione per conto di importo elevato per la causale ed il soggetto"/>
    <d v="2025-04-08T00:00:00"/>
    <n v="53850"/>
    <n v="109"/>
    <s v="053850_109"/>
    <s v="Discovery Day"/>
    <s v="Mai valutato"/>
    <m/>
    <s v="202504075609934L"/>
    <n v="1093306674452"/>
    <n v="20250407"/>
    <x v="0"/>
    <m/>
    <m/>
    <s v="D     - Dare"/>
    <n v="1889.77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4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322"/>
    <s v="14"/>
    <s v="Operazione per conto di importo elevato per la causale ed il soggetto"/>
    <d v="2025-04-08T00:00:00"/>
    <n v="53850"/>
    <n v="216"/>
    <s v="053850_216"/>
    <s v="Discovery Day"/>
    <s v="Mai valutato"/>
    <m/>
    <s v="202504075610532L"/>
    <n v="2163300012270"/>
    <n v="20250407"/>
    <x v="0"/>
    <m/>
    <m/>
    <s v="D     - Dare"/>
    <n v="2017.05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4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320"/>
    <s v="14"/>
    <s v="Operazione per conto di importo elevato per la causale ed il soggetto"/>
    <d v="2025-04-08T00:00:00"/>
    <n v="53850"/>
    <n v="109"/>
    <s v="053850_109"/>
    <s v="Discovery Day"/>
    <s v="Mai valutato"/>
    <m/>
    <s v="202504075609896L"/>
    <n v="1093306677028"/>
    <n v="20250407"/>
    <x v="0"/>
    <m/>
    <m/>
    <s v="D     - Dare"/>
    <n v="1334.44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4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18"/>
    <s v="14"/>
    <s v="Operazione per conto di importo elevato per la causale ed il soggetto"/>
    <d v="2025-04-08T00:00:00"/>
    <n v="53850"/>
    <n v="102"/>
    <s v="053850_102"/>
    <s v="Discovery Day"/>
    <s v="Mai valutato"/>
    <m/>
    <n v="202504077876859"/>
    <n v="1023308724252"/>
    <n v="20250407"/>
    <x v="22"/>
    <m/>
    <m/>
    <s v="A     - Avere"/>
    <n v="587520"/>
    <n v="0"/>
    <n v="4917772"/>
    <n v="8218730722"/>
    <s v="COSTRUZIONI SVILUPPO SOCIETA' A RESPONSABILITA' LIMITATA"/>
    <s v="430 - Imprese produttive"/>
    <s v="412 - COSTRUZIONE DI EDIFICI RESIDENZIALI E NON RESIDENZIALI"/>
    <s v="086 - ITALIA"/>
    <n v="1203"/>
    <m/>
    <m/>
    <m/>
    <m/>
    <m/>
    <m/>
    <m/>
    <n v="0"/>
    <n v="202504"/>
    <s v="IN VALUTAZIONE RPR"/>
    <x v="1"/>
    <n v="1"/>
    <m/>
    <m/>
    <n v="0"/>
    <n v="412"/>
    <n v="430"/>
    <n v="4304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12"/>
    <s v="14"/>
    <s v="Operazione per conto di importo elevato per la causale ed il soggetto"/>
    <d v="2025-04-08T00:00:00"/>
    <n v="53850"/>
    <n v="102"/>
    <s v="053850_102"/>
    <s v="Discovery Day"/>
    <s v="Mai valutato"/>
    <m/>
    <n v="202504077876860"/>
    <n v="1023308724252"/>
    <n v="20250407"/>
    <x v="22"/>
    <m/>
    <m/>
    <s v="A     - Avere"/>
    <n v="881280"/>
    <n v="0"/>
    <n v="4917772"/>
    <n v="8218730722"/>
    <s v="COSTRUZIONI SVILUPPO SOCIETA' A RESPONSABILITA' LIMITATA"/>
    <s v="430 - Imprese produttive"/>
    <s v="412 - COSTRUZIONE DI EDIFICI RESIDENZIALI E NON RESIDENZIALI"/>
    <s v="086 - ITALIA"/>
    <n v="1203"/>
    <m/>
    <m/>
    <m/>
    <m/>
    <m/>
    <m/>
    <m/>
    <n v="0"/>
    <n v="202504"/>
    <s v="IN VALUTAZIONE RPR"/>
    <x v="1"/>
    <n v="1"/>
    <m/>
    <m/>
    <n v="0"/>
    <n v="412"/>
    <n v="430"/>
    <n v="4304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09"/>
    <s v="14"/>
    <s v="Operazione per conto di importo elevato per la causale ed il soggetto"/>
    <d v="2025-04-05T00:00:00"/>
    <n v="53850"/>
    <n v="109"/>
    <s v="053850_109"/>
    <s v="Discovery Day"/>
    <s v="Mai valutato"/>
    <m/>
    <n v="202504047868337"/>
    <n v="1093307072930"/>
    <n v="20250404"/>
    <x v="6"/>
    <m/>
    <m/>
    <s v="D     - Dare"/>
    <n v="400000"/>
    <n v="0"/>
    <n v="4505060"/>
    <s v="SCRMRA65R65L220E"/>
    <s v="SCORCA MARIA"/>
    <s v="600 - Famiglie consumatrici"/>
    <m/>
    <s v="086 - ITALIA"/>
    <n v="77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08"/>
    <s v="14"/>
    <s v="Operazione per conto di importo elevato per la causale ed il soggetto"/>
    <d v="2025-04-05T00:00:00"/>
    <n v="53850"/>
    <n v="182"/>
    <s v="053850_182"/>
    <s v="Discovery Day"/>
    <s v="Mai valutato"/>
    <m/>
    <n v="202504047867785"/>
    <n v="1823300072312"/>
    <n v="20250404"/>
    <x v="1"/>
    <m/>
    <s v="086 - ITALIA"/>
    <s v="A     - Avere"/>
    <n v="1091696.83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07"/>
    <s v="14"/>
    <s v="Operazione per conto di importo elevato per la causale ed il soggetto"/>
    <d v="2025-04-05T00:00:00"/>
    <n v="53850"/>
    <n v="182"/>
    <s v="053850_182"/>
    <s v="Discovery Day"/>
    <s v="Mai valutato"/>
    <m/>
    <n v="202504047869147"/>
    <n v="1823300169483"/>
    <n v="20250404"/>
    <x v="0"/>
    <m/>
    <m/>
    <s v="D     - Dare"/>
    <n v="16393.25"/>
    <n v="0"/>
    <n v="4330466"/>
    <n v="2609640731"/>
    <s v="PIELLE COSTRUZIONI S.R.L."/>
    <s v="430 - Imprese produttive"/>
    <s v="412 - COSTRUZIONE DI EDIFICI RESIDENZIALI E NON RESIDENZIALI"/>
    <s v="086 - ITALIA"/>
    <n v="1101"/>
    <m/>
    <m/>
    <m/>
    <m/>
    <m/>
    <m/>
    <m/>
    <n v="0"/>
    <n v="202504"/>
    <s v="IN VALUTAZIONE RPR"/>
    <x v="1"/>
    <n v="1"/>
    <m/>
    <m/>
    <n v="1"/>
    <n v="412"/>
    <n v="430"/>
    <n v="430412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299"/>
    <s v="14"/>
    <s v="Operazione per conto di importo elevato per la causale ed il soggetto"/>
    <d v="2025-04-05T00:00:00"/>
    <n v="53850"/>
    <n v="131"/>
    <s v="053850_131"/>
    <s v="Discovery Day"/>
    <s v="Mai valutato"/>
    <m/>
    <s v="202504045555881L"/>
    <n v="1313300002966"/>
    <n v="20250404"/>
    <x v="0"/>
    <m/>
    <m/>
    <s v="D     - Dare"/>
    <n v="3519.16"/>
    <n v="0"/>
    <n v="4264523"/>
    <s v="PLCNTN78C19F104V"/>
    <s v="PLACIDO ANTONIO"/>
    <s v="600 - Famiglie consumatrici"/>
    <m/>
    <s v="086 - ITALIA"/>
    <n v="1345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95"/>
    <s v="14"/>
    <s v="Operazione per conto di importo elevato per la causale ed il soggetto"/>
    <d v="2025-04-05T00:00:00"/>
    <n v="53850"/>
    <n v="198"/>
    <s v="053850_198"/>
    <s v="Discovery Day"/>
    <s v="Mai valutato"/>
    <m/>
    <s v="202504045561727L"/>
    <n v="1983300001378"/>
    <n v="20250404"/>
    <x v="0"/>
    <m/>
    <m/>
    <s v="D     - Dare"/>
    <n v="4300.62"/>
    <n v="0"/>
    <n v="4251364"/>
    <s v="BCCGRZ39C46I158O"/>
    <s v="BICCARI GRAZIA"/>
    <s v="600 - Famiglie consumatrici"/>
    <m/>
    <s v="086 - ITALIA"/>
    <n v="1718"/>
    <m/>
    <m/>
    <m/>
    <m/>
    <m/>
    <m/>
    <m/>
    <n v="0"/>
    <n v="202504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293"/>
    <s v="14"/>
    <s v="Operazione per conto di importo elevato per la causale ed il soggetto"/>
    <d v="2025-04-05T00:00:00"/>
    <n v="53850"/>
    <n v="109"/>
    <s v="053850_109"/>
    <s v="Discovery Day"/>
    <s v="Mai valutato"/>
    <m/>
    <n v="202504047868337"/>
    <n v="1093307072930"/>
    <n v="20250404"/>
    <x v="6"/>
    <m/>
    <m/>
    <s v="D     - Dare"/>
    <n v="400000"/>
    <n v="0"/>
    <n v="4439527"/>
    <s v="MTTMCR62M11L220K"/>
    <s v="MATTIACE MERCURINO"/>
    <s v="600 - Famiglie consumatrici"/>
    <m/>
    <s v="086 - ITALIA"/>
    <n v="77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92"/>
    <s v="14"/>
    <s v="Operazione per conto di importo elevato per la causale ed il soggetto"/>
    <d v="2025-04-05T00:00:00"/>
    <n v="53850"/>
    <n v="117"/>
    <s v="053850_117"/>
    <s v="Discovery Day"/>
    <s v="Mai valutato"/>
    <m/>
    <n v="202504047867413"/>
    <n v="1173300536339"/>
    <n v="20250404"/>
    <x v="1"/>
    <m/>
    <s v="086 - ITALIA"/>
    <s v="A     - Avere"/>
    <n v="243955.63"/>
    <n v="0"/>
    <n v="3028778"/>
    <s v="DLMCRL58T29L049W"/>
    <s v="DEL MARE CARLO"/>
    <s v="600 - Famiglie consumatrici"/>
    <m/>
    <s v="086 - ITALIA"/>
    <n v="1772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90"/>
    <s v="14"/>
    <s v="Operazione per conto di importo elevato per la causale ed il soggetto"/>
    <d v="2025-04-05T00:00:00"/>
    <n v="53850"/>
    <n v="102"/>
    <s v="053850_102"/>
    <s v="Discovery Day"/>
    <s v="Mai valutato"/>
    <m/>
    <n v="202504047868775"/>
    <n v="1503300003301"/>
    <n v="20250404"/>
    <x v="15"/>
    <m/>
    <m/>
    <s v="D     - Dare"/>
    <n v="1250003.8"/>
    <n v="0"/>
    <n v="4992759"/>
    <n v="2853230429"/>
    <s v="ARISTON S.P.A."/>
    <s v="430 - Imprese produttive"/>
    <s v="279 - FABBRICAZIONE DI ALTRE APPARECCHIATURE ELETTRICHE"/>
    <s v="086 - ITALIA"/>
    <n v="739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88"/>
    <s v="14"/>
    <s v="Operazione per conto di importo elevato per la causale ed il soggetto"/>
    <d v="2025-04-05T00:00:00"/>
    <n v="53850"/>
    <n v="102"/>
    <s v="053850_102"/>
    <s v="Discovery Day"/>
    <s v="Mai valutato"/>
    <m/>
    <n v="202504047867071"/>
    <n v="1503300003301"/>
    <n v="20250404"/>
    <x v="1"/>
    <m/>
    <s v="086 - ITALIA"/>
    <s v="A     - Avere"/>
    <n v="1250004"/>
    <n v="0"/>
    <n v="4992759"/>
    <n v="2853230429"/>
    <s v="ARISTON S.P.A."/>
    <s v="430 - Imprese produttive"/>
    <s v="279 - FABBRICAZIONE DI ALTRE APPARECCHIATURE ELETTRICHE"/>
    <s v="086 - ITALIA"/>
    <n v="739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287"/>
    <s v="14"/>
    <s v="Operazione per conto di importo elevato per la causale ed il soggetto"/>
    <d v="2025-04-05T00:00:00"/>
    <n v="53850"/>
    <n v="102"/>
    <s v="053850_102"/>
    <s v="Discovery Day"/>
    <s v="Mai valutato"/>
    <m/>
    <n v="202504047868273"/>
    <n v="1023308726574"/>
    <n v="20250404"/>
    <x v="6"/>
    <m/>
    <m/>
    <s v="D     - Dare"/>
    <n v="600000"/>
    <n v="0"/>
    <n v="46622"/>
    <s v="SQCNTN46D15A225Z"/>
    <s v="SQUICCIARINI ANTONIO"/>
    <s v="615 - Altre famiglie produttrici"/>
    <s v="011 - COLTIVAZIONE DI COLTURE AGRICOLE NON PERMANENTI"/>
    <s v="086 - ITALIA"/>
    <n v="580"/>
    <m/>
    <m/>
    <m/>
    <m/>
    <m/>
    <m/>
    <m/>
    <n v="0"/>
    <n v="202504"/>
    <s v="ARCHIVIATA"/>
    <x v="0"/>
    <n v="1"/>
    <m/>
    <m/>
    <n v="0"/>
    <n v="999"/>
    <n v="615"/>
    <n v="615999"/>
    <m/>
    <n v="1"/>
    <x v="4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86"/>
    <s v="14"/>
    <s v="Operazione per conto di importo elevato per la causale ed il soggetto"/>
    <d v="2025-04-05T00:00:00"/>
    <n v="53850"/>
    <n v="268"/>
    <s v="053850_268"/>
    <s v="Discovery Day"/>
    <s v="Mai valutato"/>
    <m/>
    <n v="202504047869226"/>
    <n v="2683300005239"/>
    <n v="20250404"/>
    <x v="0"/>
    <m/>
    <m/>
    <s v="D     - Dare"/>
    <n v="99198.79"/>
    <n v="0"/>
    <n v="1600096"/>
    <s v="NSANNZ36R11F537B"/>
    <s v="NASO NUNZIO"/>
    <s v="600 - Famiglie consumatrici"/>
    <m/>
    <s v="086 - ITALIA"/>
    <n v="1757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281"/>
    <s v="14"/>
    <s v="Operazione per conto di importo elevato per la causale ed il soggetto"/>
    <d v="2025-04-05T00:00:00"/>
    <n v="53850"/>
    <n v="131"/>
    <s v="053850_131"/>
    <s v="Discovery Day"/>
    <s v="Mai valutato"/>
    <m/>
    <s v="202504045555881L"/>
    <n v="1313300002966"/>
    <n v="20250404"/>
    <x v="0"/>
    <m/>
    <m/>
    <s v="D     - Dare"/>
    <n v="3519.16"/>
    <n v="0"/>
    <n v="4053961"/>
    <s v="SRRRSO55B58H307X"/>
    <s v="SERRAVALLO ROSA"/>
    <s v="600 - Famiglie consumatrici"/>
    <m/>
    <s v="086 - ITALIA"/>
    <n v="82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80"/>
    <s v="14"/>
    <s v="Operazione per conto di importo elevato per la causale ed il soggetto"/>
    <d v="2025-04-05T00:00:00"/>
    <n v="53850"/>
    <n v="273"/>
    <s v="053850_273"/>
    <s v="Discovery Day"/>
    <s v="Mai valutato"/>
    <m/>
    <n v="202504047867933"/>
    <n v="2733300010292"/>
    <n v="20250404"/>
    <x v="1"/>
    <m/>
    <s v="086 - ITALIA"/>
    <s v="A     - Avere"/>
    <n v="320000"/>
    <n v="0"/>
    <n v="1687356"/>
    <s v="DPTDRD99B18E372T"/>
    <s v="DI PETTA EDOARDO"/>
    <s v="600 - Famiglie consumatrici"/>
    <m/>
    <s v="086 - ITALIA"/>
    <n v="1295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278"/>
    <s v="14"/>
    <s v="Operazione per conto di importo elevato per la causale ed il soggetto"/>
    <d v="2025-04-05T00:00:00"/>
    <n v="53850"/>
    <n v="286"/>
    <s v="053850_286"/>
    <s v="Discovery Day"/>
    <s v="Mai valutato"/>
    <m/>
    <n v="202504047866977"/>
    <n v="2863300003269"/>
    <n v="20250404"/>
    <x v="3"/>
    <m/>
    <s v="086 - ITALIA"/>
    <s v="D     - Dare"/>
    <n v="3760894.53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76"/>
    <s v="14"/>
    <s v="Operazione per conto di importo elevato per la causale ed il soggetto"/>
    <d v="2025-04-05T00:00:00"/>
    <n v="53850"/>
    <n v="153"/>
    <s v="053850_153"/>
    <s v="Discovery Day"/>
    <s v="Mai valutato"/>
    <m/>
    <n v="202504047866805"/>
    <n v="1533300662905"/>
    <n v="20250404"/>
    <x v="3"/>
    <m/>
    <s v="086 - ITALIA"/>
    <s v="D     - Dare"/>
    <n v="732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4"/>
    <s v="ARCHIVIATA"/>
    <x v="0"/>
    <n v="1"/>
    <m/>
    <m/>
    <n v="0"/>
    <n v="236"/>
    <n v="430"/>
    <n v="430236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73"/>
    <s v="14"/>
    <s v="Operazione per conto di importo elevato per la causale ed il soggetto"/>
    <d v="2025-04-05T00:00:00"/>
    <n v="53850"/>
    <n v="106"/>
    <s v="053850_106"/>
    <s v="Discovery Day"/>
    <s v="Mai valutato"/>
    <m/>
    <n v="202504047867099"/>
    <n v="1063304957810"/>
    <n v="20250404"/>
    <x v="1"/>
    <m/>
    <s v="086 - ITALIA"/>
    <s v="A     - Avere"/>
    <n v="386230"/>
    <n v="0"/>
    <n v="495781"/>
    <s v="SLRFNC64L20F220T"/>
    <s v="SALERNO FRANCESCO"/>
    <s v="600 - Famiglie consumatrici"/>
    <m/>
    <s v="086 - ITALIA"/>
    <n v="146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72"/>
    <s v="14"/>
    <s v="Operazione per conto di importo elevato per la causale ed il soggetto"/>
    <d v="2025-04-05T00:00:00"/>
    <n v="53850"/>
    <n v="134"/>
    <s v="053850_134"/>
    <s v="Discovery Day"/>
    <s v="Mai valutato"/>
    <m/>
    <s v="202504045562917L"/>
    <n v="1343300002838"/>
    <n v="20250404"/>
    <x v="0"/>
    <m/>
    <m/>
    <s v="D     - Dare"/>
    <n v="2746.26"/>
    <n v="0"/>
    <n v="4917006"/>
    <s v="KRYSTL66E53Z138T"/>
    <s v="KRYSHCHUCK SVITLANA"/>
    <s v="600 - Famiglie consumatrici"/>
    <m/>
    <s v="086 - ITALIA"/>
    <n v="1659"/>
    <m/>
    <m/>
    <m/>
    <m/>
    <m/>
    <m/>
    <m/>
    <n v="0"/>
    <n v="202504"/>
    <s v="IN CARICO AL RESPONSABIL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69"/>
    <s v="14"/>
    <s v="Operazione per conto di importo elevato per la causale ed il soggetto"/>
    <d v="2025-04-05T00:00:00"/>
    <n v="53850"/>
    <n v="147"/>
    <s v="053850_147"/>
    <s v="Discovery Day"/>
    <s v="Mai valutato"/>
    <m/>
    <n v="202504047869032"/>
    <n v="1473300003231"/>
    <n v="20250404"/>
    <x v="0"/>
    <m/>
    <m/>
    <s v="D     - Dare"/>
    <n v="57836.480000000003"/>
    <n v="0"/>
    <n v="4983955"/>
    <m/>
    <s v="PROCEDURA ESECUTIVA IMMOBILIARE N. 55 2019 TRIB. NAPOLI NORD"/>
    <s v="501 - Istituzioni ed enti con finalita' di assistenza, beneficenza, istruzione, culturali, sindacali, politiche, sportive, ricreative e simili"/>
    <m/>
    <s v="086 - ITALIA"/>
    <n v="1356"/>
    <m/>
    <m/>
    <m/>
    <m/>
    <m/>
    <m/>
    <m/>
    <n v="0"/>
    <n v="202504"/>
    <s v="ARCHIVIATA DA RPR"/>
    <x v="0"/>
    <n v="1"/>
    <m/>
    <m/>
    <n v="1"/>
    <n v="999"/>
    <n v="501"/>
    <n v="501999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68"/>
    <s v="14"/>
    <s v="Operazione per conto di importo elevato per la causale ed il soggetto"/>
    <d v="2025-04-05T00:00:00"/>
    <n v="53850"/>
    <n v="198"/>
    <s v="053850_198"/>
    <s v="Discovery Day"/>
    <s v="Mai valutato"/>
    <m/>
    <s v="202504045561727L"/>
    <n v="1983300001378"/>
    <n v="20250404"/>
    <x v="0"/>
    <m/>
    <m/>
    <s v="D     - Dare"/>
    <n v="4300.62"/>
    <n v="0"/>
    <n v="4409914"/>
    <s v="LNGBRN43D02I158G"/>
    <s v="LANGIALONGA BRUNO"/>
    <s v="600 - Famiglie consumatrici"/>
    <m/>
    <s v="086 - ITALIA"/>
    <n v="1718"/>
    <m/>
    <m/>
    <m/>
    <m/>
    <m/>
    <m/>
    <m/>
    <n v="0"/>
    <n v="202504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265"/>
    <s v="14"/>
    <s v="Operazione per conto di importo elevato per la causale ed il soggetto"/>
    <d v="2025-04-05T00:00:00"/>
    <n v="53850"/>
    <n v="102"/>
    <s v="053850_102"/>
    <s v="Discovery Day"/>
    <s v="Mai valutato"/>
    <m/>
    <n v="202504047868273"/>
    <n v="1023308726574"/>
    <n v="20250404"/>
    <x v="6"/>
    <m/>
    <m/>
    <s v="D     - Dare"/>
    <n v="600000"/>
    <n v="0"/>
    <n v="403529"/>
    <s v="SQCRRT80R46A225N"/>
    <s v="SQUICCIARINI ROBERTA"/>
    <s v="615 - Altre famiglie produttrici"/>
    <s v="011 - COLTIVAZIONE DI COLTURE AGRICOLE NON PERMANENTI"/>
    <s v="086 - ITALIA"/>
    <n v="1110"/>
    <m/>
    <m/>
    <m/>
    <m/>
    <m/>
    <m/>
    <m/>
    <n v="0"/>
    <n v="202504"/>
    <s v="ARCHIVIATA"/>
    <x v="0"/>
    <n v="1"/>
    <m/>
    <m/>
    <n v="0"/>
    <n v="999"/>
    <n v="615"/>
    <n v="615999"/>
    <m/>
    <n v="1"/>
    <x v="4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64"/>
    <s v="14"/>
    <s v="Operazione per conto di importo elevato per la causale ed il soggetto"/>
    <d v="2025-04-05T00:00:00"/>
    <n v="53850"/>
    <n v="268"/>
    <s v="053850_268"/>
    <s v="Discovery Day"/>
    <s v="Mai valutato"/>
    <m/>
    <n v="202504047869226"/>
    <n v="2683300005239"/>
    <n v="20250404"/>
    <x v="0"/>
    <m/>
    <m/>
    <s v="D     - Dare"/>
    <n v="99198.79"/>
    <n v="0"/>
    <n v="1646694"/>
    <s v="BRZCRN35C71L424O"/>
    <s v="BURZACHECHI CATERINA"/>
    <s v="600 - Famiglie consumatrici"/>
    <m/>
    <s v="086 - ITALIA"/>
    <n v="1757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263"/>
    <s v="14"/>
    <s v="Operazione per conto di importo elevato per la causale ed il soggetto"/>
    <d v="2025-04-05T00:00:00"/>
    <n v="53850"/>
    <n v="174"/>
    <s v="053850_174"/>
    <s v="Discovery Day"/>
    <s v="Mai valutato"/>
    <m/>
    <n v="202504047867766"/>
    <n v="1743302880040"/>
    <n v="20250404"/>
    <x v="1"/>
    <m/>
    <s v="086 - ITALIA"/>
    <s v="A     - Avere"/>
    <n v="213953.88"/>
    <n v="0"/>
    <n v="4945451"/>
    <s v="CVLNGL78R24F376R"/>
    <s v="CAVALIERE ANGELO"/>
    <s v="600 - Famiglie consumatrici"/>
    <m/>
    <s v="086 - ITALIA"/>
    <n v="110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29262"/>
    <s v="14"/>
    <s v="Operazione per conto di importo elevato per la causale ed il soggetto"/>
    <d v="2025-04-05T00:00:00"/>
    <n v="53850"/>
    <n v="108"/>
    <s v="053850_108"/>
    <s v="Discovery Day"/>
    <s v="Mai valutato"/>
    <m/>
    <s v="202504045566453L"/>
    <n v="1083306288271"/>
    <n v="20250404"/>
    <x v="0"/>
    <m/>
    <m/>
    <s v="D     - Dare"/>
    <n v="2066.14"/>
    <n v="0"/>
    <n v="4238924"/>
    <n v="6177420723"/>
    <s v="AGRUSTI &amp; C. S.R.L."/>
    <s v="430 - Imprese produttive"/>
    <s v="466 - COMMERCIO ALL'INGROSSO DI ALTRI MACCHINARI, ATTREZZATURE E FORNITURE"/>
    <s v="086 - ITALIA"/>
    <n v="1058"/>
    <m/>
    <m/>
    <m/>
    <m/>
    <m/>
    <m/>
    <m/>
    <n v="0"/>
    <n v="202504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60"/>
    <s v="14"/>
    <s v="Operazione per conto di importo elevato per la causale ed il soggetto"/>
    <d v="2025-04-05T00:00:00"/>
    <n v="53850"/>
    <n v="286"/>
    <s v="053850_286"/>
    <s v="Discovery Day"/>
    <s v="Mai valutato"/>
    <m/>
    <n v="202504047867523"/>
    <n v="2863300003269"/>
    <n v="20250404"/>
    <x v="1"/>
    <m/>
    <s v="086 - ITALIA"/>
    <s v="A     - Avere"/>
    <n v="400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59"/>
    <s v="14"/>
    <s v="Operazione per conto di importo elevato per la causale ed il soggetto"/>
    <d v="2025-04-05T00:00:00"/>
    <n v="53850"/>
    <n v="110"/>
    <s v="053850_110"/>
    <s v="Discovery Day"/>
    <s v="Mai valutato"/>
    <m/>
    <n v="202504047868342"/>
    <n v="1103304235290"/>
    <n v="20250404"/>
    <x v="15"/>
    <m/>
    <m/>
    <s v="D     - Dare"/>
    <n v="200000"/>
    <n v="0"/>
    <n v="423529"/>
    <s v="LTTMHL58D22F205F"/>
    <s v="LATTANZIO MICHELE"/>
    <s v="600 - Famiglie consumatrici"/>
    <m/>
    <s v="086 - ITALIA"/>
    <n v="458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58"/>
    <s v="14"/>
    <s v="Operazione per conto di importo elevato per la causale ed il soggetto"/>
    <d v="2025-04-04T00:00:00"/>
    <n v="53850"/>
    <n v="137"/>
    <s v="053850_137"/>
    <s v="Discovery Day"/>
    <s v="Mai valutato"/>
    <m/>
    <n v="202504047865531"/>
    <n v="1370050040202"/>
    <n v="20250404"/>
    <x v="26"/>
    <m/>
    <m/>
    <s v="D     - Dare"/>
    <n v="467000"/>
    <n v="0"/>
    <n v="1007107"/>
    <s v="TRTMHL37E52B519Y"/>
    <s v="TARTAGLIA MICHELINA"/>
    <s v="600 - Famiglie consumatrici"/>
    <m/>
    <s v="086 - ITALIA"/>
    <n v="1797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57"/>
    <s v="14"/>
    <s v="Operazione per conto di importo elevato per la causale ed il soggetto"/>
    <d v="2025-04-04T00:00:00"/>
    <n v="53850"/>
    <n v="148"/>
    <s v="053850_148"/>
    <s v="Discovery Day"/>
    <s v="Mai valutato"/>
    <m/>
    <n v="202504037863564"/>
    <n v="1483300003872"/>
    <n v="20250403"/>
    <x v="3"/>
    <m/>
    <s v="086 - ITALIA"/>
    <s v="D     - Dare"/>
    <n v="2000000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55"/>
    <s v="14"/>
    <s v="Operazione per conto di importo elevato per la causale ed il soggetto"/>
    <d v="2025-04-04T00:00:00"/>
    <n v="53850"/>
    <n v="182"/>
    <s v="053850_182"/>
    <s v="Discovery Day"/>
    <s v="Mai valutato"/>
    <m/>
    <n v="202504037865818"/>
    <n v="1823300102662"/>
    <n v="20250403"/>
    <x v="6"/>
    <m/>
    <m/>
    <s v="D     - Dare"/>
    <n v="300000"/>
    <n v="0"/>
    <n v="3041128"/>
    <s v="DYLMRA46T19H501W"/>
    <s v="D'AYALA VALVA MARIO"/>
    <s v="600 - Famiglie consumatrici"/>
    <m/>
    <s v="086 - ITALIA"/>
    <n v="616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254"/>
    <s v="14"/>
    <s v="Operazione per conto di importo elevato per la causale ed il soggetto"/>
    <d v="2025-04-04T00:00:00"/>
    <n v="53850"/>
    <n v="273"/>
    <s v="053850_273"/>
    <s v="Discovery Day"/>
    <s v="Mai valutato"/>
    <m/>
    <n v="202504037865929"/>
    <n v="2733300001088"/>
    <n v="20250403"/>
    <x v="11"/>
    <m/>
    <m/>
    <s v="D     - Dare"/>
    <n v="500000"/>
    <n v="0"/>
    <n v="1629654"/>
    <n v="2589190699"/>
    <s v="CONSORZIO PANICHI &amp; STREVER"/>
    <s v="450 - Associazioni fra imprese non finanziarie"/>
    <s v="412 - COSTRUZIONE DI EDIFICI RESIDENZIALI E NON RESIDENZIALI"/>
    <s v="086 - ITALIA"/>
    <n v="1856"/>
    <m/>
    <m/>
    <m/>
    <m/>
    <m/>
    <m/>
    <m/>
    <n v="0"/>
    <n v="202504"/>
    <s v="ARCHIVIATA"/>
    <x v="0"/>
    <n v="1"/>
    <m/>
    <m/>
    <n v="0"/>
    <n v="412"/>
    <n v="450"/>
    <n v="450412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37"/>
    <s v="14"/>
    <s v="Operazione per conto di importo elevato per la causale ed il soggetto"/>
    <d v="2025-04-04T00:00:00"/>
    <n v="53850"/>
    <n v="104"/>
    <s v="053850_104"/>
    <s v="Discovery Day"/>
    <s v="Mai valutato"/>
    <m/>
    <n v="202504037863628"/>
    <n v="1043301448722"/>
    <n v="20250403"/>
    <x v="3"/>
    <m/>
    <s v="086 - ITALIA"/>
    <s v="D     - Dare"/>
    <n v="800000"/>
    <n v="0"/>
    <n v="4155132"/>
    <n v="5287570724"/>
    <s v="CASILLO PARTECIPAZIONI S.P.A."/>
    <s v="432 - Holding operative private"/>
    <s v="701 - ATTIVITÀ DI DIREZIONE AZIENDALE"/>
    <s v="086 - ITALIA"/>
    <n v="1696"/>
    <m/>
    <m/>
    <m/>
    <m/>
    <m/>
    <m/>
    <m/>
    <n v="0"/>
    <n v="202504"/>
    <s v="ARCHIVIATA"/>
    <x v="0"/>
    <n v="1"/>
    <m/>
    <m/>
    <n v="0"/>
    <n v="999"/>
    <n v="432"/>
    <n v="432999"/>
    <m/>
    <n v="1"/>
    <x v="5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29"/>
    <s v="14"/>
    <s v="Operazione per conto di importo elevato per la causale ed il soggetto"/>
    <d v="2025-04-04T00:00:00"/>
    <n v="53850"/>
    <n v="195"/>
    <s v="053850_195"/>
    <s v="Discovery Day"/>
    <s v="Mai valutato"/>
    <m/>
    <n v="202504027865545"/>
    <n v="1950050084361"/>
    <n v="20250402"/>
    <x v="27"/>
    <m/>
    <m/>
    <s v="A     - Avere"/>
    <n v="398797.32"/>
    <n v="0"/>
    <n v="3122467"/>
    <s v="CPDVTI65R31C136R"/>
    <s v="CAPODIFERRO VITO"/>
    <s v="600 - Famiglie consumatrici"/>
    <m/>
    <s v="086 - ITALIA"/>
    <m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000"/>
    <n v="219879.73199999999"/>
    <n v="239759.46400000001"/>
    <n v="259639.196"/>
    <n v="279518.92800000001"/>
    <n v="299398.65999999997"/>
    <n v="319278.39199999999"/>
    <n v="339158.12400000001"/>
    <n v="359037.85600000003"/>
    <n v="378917.58799999999"/>
    <n v="398797.32"/>
    <n v="398797.32"/>
    <n v="398797.32"/>
    <n v="398797.32"/>
    <n v="398797.32"/>
    <n v="398797.32"/>
    <n v="398797.32"/>
    <n v="398797.32"/>
    <n v="398797.32"/>
    <n v="398797.32"/>
    <n v="398797.3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28"/>
    <s v="14"/>
    <s v="Operazione per conto di importo elevato per la causale ed il soggetto"/>
    <d v="2025-04-04T00:00:00"/>
    <n v="53850"/>
    <n v="195"/>
    <s v="053850_195"/>
    <s v="Discovery Day"/>
    <s v="Mai valutato"/>
    <m/>
    <n v="202504027865545"/>
    <n v="1950050084361"/>
    <n v="20250402"/>
    <x v="27"/>
    <m/>
    <m/>
    <s v="A     - Avere"/>
    <n v="398797.32"/>
    <n v="0"/>
    <n v="3044588"/>
    <s v="BTSLSU33E61C136P"/>
    <s v="BITOSA LUISA"/>
    <s v="600 - Famiglie consumatrici"/>
    <m/>
    <s v="086 - ITALIA"/>
    <m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000"/>
    <n v="219879.73199999999"/>
    <n v="239759.46400000001"/>
    <n v="259639.196"/>
    <n v="279518.92800000001"/>
    <n v="299398.65999999997"/>
    <n v="319278.39199999999"/>
    <n v="339158.12400000001"/>
    <n v="359037.85600000003"/>
    <n v="378917.58799999999"/>
    <n v="398797.32"/>
    <n v="398797.32"/>
    <n v="398797.32"/>
    <n v="398797.32"/>
    <n v="398797.32"/>
    <n v="398797.32"/>
    <n v="398797.32"/>
    <n v="398797.32"/>
    <n v="398797.32"/>
    <n v="398797.32"/>
    <n v="398797.3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20"/>
    <s v="14"/>
    <s v="Operazione per conto di importo elevato per la causale ed il soggetto"/>
    <d v="2025-04-03T00:00:00"/>
    <n v="53850"/>
    <n v="286"/>
    <s v="053850_286"/>
    <s v="Discovery Day"/>
    <s v="Mai valutato"/>
    <m/>
    <n v="202504027861487"/>
    <n v="2863300003269"/>
    <n v="20250402"/>
    <x v="1"/>
    <m/>
    <s v="086 - ITALIA"/>
    <s v="A     - Avere"/>
    <n v="1258615.31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216"/>
    <s v="14"/>
    <s v="Operazione per conto di importo elevato per la causale ed il soggetto"/>
    <d v="2025-04-03T00:00:00"/>
    <n v="53850"/>
    <n v="122"/>
    <s v="053850_122"/>
    <s v="Discovery Day"/>
    <s v="Mai valutato"/>
    <m/>
    <n v="202504027860835"/>
    <n v="1223300001682"/>
    <n v="20250402"/>
    <x v="3"/>
    <m/>
    <s v="086 - ITALIA"/>
    <s v="D     - Dare"/>
    <n v="113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215"/>
    <s v="14"/>
    <s v="Operazione per conto di importo elevato per la causale ed il soggetto"/>
    <d v="2025-04-03T00:00:00"/>
    <n v="53850"/>
    <n v="102"/>
    <s v="053850_102"/>
    <s v="Discovery Day"/>
    <s v="Mai valutato"/>
    <m/>
    <n v="202504027862288"/>
    <n v="1023301264620"/>
    <n v="20250402"/>
    <x v="13"/>
    <m/>
    <s v="086 - ITALIA"/>
    <s v="A     - Avere"/>
    <n v="350000"/>
    <n v="0"/>
    <n v="126462"/>
    <s v="MRRDTS54A01A225M"/>
    <s v="MARROCCOLI DONATO SALVATORE"/>
    <s v="600 - Famiglie consumatrici"/>
    <m/>
    <s v="086 - ITALIA"/>
    <n v="1335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13"/>
    <s v="14"/>
    <s v="Operazione per conto di importo elevato per la causale ed il soggetto"/>
    <d v="2025-04-03T00:00:00"/>
    <n v="53850"/>
    <n v="286"/>
    <s v="053850_286"/>
    <s v="Discovery Day"/>
    <s v="Mai valutato"/>
    <m/>
    <n v="202504027861856"/>
    <n v="2863300003129"/>
    <n v="20250402"/>
    <x v="1"/>
    <m/>
    <s v="086 - ITALIA"/>
    <s v="A     - Avere"/>
    <n v="250000"/>
    <n v="0"/>
    <n v="1604415"/>
    <s v="SBRMLL58A41I922G"/>
    <s v="SBORGIA MIRELLA"/>
    <s v="600 - Famiglie consumatrici"/>
    <m/>
    <s v="086 - ITALIA"/>
    <n v="1848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204"/>
    <s v="14"/>
    <s v="Operazione per conto di importo elevato per la causale ed il soggetto"/>
    <d v="2025-04-03T00:00:00"/>
    <n v="53850"/>
    <n v="286"/>
    <s v="053850_286"/>
    <s v="Discovery Day"/>
    <s v="Mai valutato"/>
    <m/>
    <n v="202504027861856"/>
    <n v="2863300003129"/>
    <n v="20250402"/>
    <x v="1"/>
    <m/>
    <s v="086 - ITALIA"/>
    <s v="A     - Avere"/>
    <n v="250000"/>
    <n v="0"/>
    <n v="1622185"/>
    <s v="DMZMRA55A08C632V"/>
    <s v="DI MUZIO MARIO"/>
    <s v="600 - Famiglie consumatrici"/>
    <m/>
    <s v="086 - ITALIA"/>
    <n v="1848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198"/>
    <s v="14"/>
    <s v="Operazione per conto di importo elevato per la causale ed il soggetto"/>
    <d v="2025-04-02T00:00:00"/>
    <n v="53850"/>
    <n v="195"/>
    <s v="053850_195"/>
    <s v="Discovery Day"/>
    <s v="Mai valutato"/>
    <m/>
    <n v="202504027858462"/>
    <n v="1953300028752"/>
    <n v="20250402"/>
    <x v="7"/>
    <m/>
    <m/>
    <s v="D     - Dare"/>
    <n v="496781.48"/>
    <n v="0"/>
    <n v="3103898"/>
    <s v="CPTBNT39S19G252P"/>
    <s v="CAPUTO BENITO"/>
    <s v="615 - Altre famiglie produttrici"/>
    <s v="012 - COLTIVAZIONE DI COLTURE PERMANENTI"/>
    <s v="086 - ITALIA"/>
    <n v="1961"/>
    <m/>
    <m/>
    <m/>
    <m/>
    <m/>
    <m/>
    <m/>
    <n v="0"/>
    <n v="202504"/>
    <s v="IN VALUTAZIONE RPR"/>
    <x v="1"/>
    <n v="1"/>
    <m/>
    <m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94"/>
    <s v="14"/>
    <s v="Operazione per conto di importo elevato per la causale ed il soggetto"/>
    <d v="2025-04-02T00:00:00"/>
    <n v="53850"/>
    <n v="103"/>
    <s v="053850_103"/>
    <s v="Discovery Day"/>
    <s v="Mai valutato"/>
    <m/>
    <n v="202504017860035"/>
    <n v="1033306972235"/>
    <n v="20250401"/>
    <x v="9"/>
    <m/>
    <m/>
    <s v="D     - Dare"/>
    <n v="449000"/>
    <n v="0"/>
    <n v="4397101"/>
    <n v="6401490724"/>
    <s v="EDIL POLI SOCIETA' A RESPONSABILITA' LIMITAT"/>
    <s v="430 - Imprese produttive"/>
    <s v="412 - COSTRUZIONE DI EDIFICI RESIDENZIALI E NON RESIDENZIALI"/>
    <s v="086 - ITALIA"/>
    <n v="1274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193"/>
    <s v="14"/>
    <s v="Operazione per conto di importo elevato per la causale ed il soggetto"/>
    <d v="2025-04-02T00:00:00"/>
    <n v="53850"/>
    <n v="105"/>
    <s v="053850_105"/>
    <s v="Discovery Day"/>
    <s v="Mai valutato"/>
    <m/>
    <n v="202504017860058"/>
    <n v="1053306288710"/>
    <n v="20250401"/>
    <x v="7"/>
    <m/>
    <m/>
    <s v="D     - Dare"/>
    <n v="4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91"/>
    <s v="14"/>
    <s v="Operazione per conto di importo elevato per la causale ed il soggetto"/>
    <d v="2025-04-02T00:00:00"/>
    <n v="53850"/>
    <n v="175"/>
    <s v="053850_175"/>
    <s v="Discovery Day"/>
    <s v="Mai valutato"/>
    <m/>
    <n v="202504017859492"/>
    <n v="1753305636160"/>
    <n v="20250401"/>
    <x v="28"/>
    <m/>
    <m/>
    <s v="A     - Avere"/>
    <n v="2927958.33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4"/>
    <s v="ARCHIVIATA"/>
    <x v="0"/>
    <n v="1"/>
    <m/>
    <m/>
    <n v="0"/>
    <n v="464"/>
    <n v="430"/>
    <n v="430464"/>
    <s v="Classe di rischio 4"/>
    <m/>
    <x v="2"/>
    <n v="2696970.87"/>
    <n v="2708520.2429999998"/>
    <n v="2720069.6159999999"/>
    <n v="2731618.9890000001"/>
    <n v="2743168.3620000002"/>
    <n v="2754717.7349999999"/>
    <n v="2766267.108"/>
    <n v="2777816.4810000001"/>
    <n v="2789365.8539999998"/>
    <n v="2800915.227"/>
    <n v="2812464.6"/>
    <n v="2824013.9730000002"/>
    <n v="2835563.3459999999"/>
    <n v="2847112.719"/>
    <n v="2858662.0920000002"/>
    <n v="2870211.4649999999"/>
    <n v="2881760.838"/>
    <n v="2893310.2110000001"/>
    <n v="2904859.5839999998"/>
    <n v="2916408.9569999999"/>
    <n v="2927958.3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190"/>
    <s v="14"/>
    <s v="Operazione per conto di importo elevato per la causale ed il soggetto"/>
    <d v="2025-04-02T00:00:00"/>
    <n v="53850"/>
    <n v="102"/>
    <s v="053850_102"/>
    <s v="Discovery Day"/>
    <s v="Mai valutato"/>
    <m/>
    <n v="202504017857363"/>
    <n v="1023308727499"/>
    <n v="20250401"/>
    <x v="1"/>
    <m/>
    <s v="086 - ITALIA"/>
    <s v="A     - Avere"/>
    <n v="300000"/>
    <n v="0"/>
    <n v="488324"/>
    <s v="LRSNTN88P06A225I"/>
    <s v="LORUSSO ANTONIO"/>
    <s v="600 - Famiglie consumatrici"/>
    <m/>
    <s v="086 - ITALIA"/>
    <n v="580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188"/>
    <s v="14"/>
    <s v="Operazione per conto di importo elevato per la causale ed il soggetto"/>
    <d v="2025-04-02T00:00:00"/>
    <n v="53850"/>
    <n v="102"/>
    <s v="053850_102"/>
    <s v="Discovery Day"/>
    <s v="Mai valutato"/>
    <m/>
    <n v="202504017860008"/>
    <n v="1023300113820"/>
    <n v="20250401"/>
    <x v="3"/>
    <m/>
    <s v="086 - ITALIA"/>
    <s v="D     - Dare"/>
    <n v="295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182"/>
    <s v="14"/>
    <s v="Operazione per conto di importo elevato per la causale ed il soggetto"/>
    <d v="2025-04-02T00:00:00"/>
    <n v="53850"/>
    <n v="129"/>
    <s v="053850_129"/>
    <s v="Discovery Day"/>
    <s v="Mai valutato"/>
    <m/>
    <n v="202504017856853"/>
    <n v="1293300002289"/>
    <n v="20250401"/>
    <x v="3"/>
    <m/>
    <s v="086 - ITALIA"/>
    <s v="D     - Dare"/>
    <n v="1010413.22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74"/>
    <s v="14"/>
    <s v="Operazione per conto di importo elevato per la causale ed il soggetto"/>
    <d v="2025-04-02T00:00:00"/>
    <n v="53850"/>
    <n v="105"/>
    <s v="053850_105"/>
    <s v="Discovery Day"/>
    <s v="Mai valutato"/>
    <m/>
    <n v="202504017858157"/>
    <n v="1053306288710"/>
    <n v="20250401"/>
    <x v="1"/>
    <m/>
    <s v="086 - ITALIA"/>
    <s v="A     - Avere"/>
    <n v="711984.13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171"/>
    <s v="14"/>
    <s v="Operazione per conto di importo elevato per la causale ed il soggetto"/>
    <d v="2025-04-02T00:00:00"/>
    <n v="53850"/>
    <n v="105"/>
    <s v="053850_105"/>
    <s v="Discovery Day"/>
    <s v="Mai valutato"/>
    <m/>
    <n v="202504017858097"/>
    <n v="1053306288710"/>
    <n v="20250401"/>
    <x v="1"/>
    <m/>
    <s v="086 - ITALIA"/>
    <s v="A     - Avere"/>
    <n v="1154498.2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169"/>
    <s v="14"/>
    <s v="Operazione per conto di importo elevato per la causale ed il soggetto"/>
    <d v="2025-04-02T00:00:00"/>
    <n v="53850"/>
    <n v="226"/>
    <s v="053850_226"/>
    <s v="Discovery Day"/>
    <s v="Mai valutato"/>
    <m/>
    <n v="202504017857996"/>
    <n v="2263300011408"/>
    <n v="20250401"/>
    <x v="1"/>
    <m/>
    <s v="086 - ITALIA"/>
    <s v="A     - Avere"/>
    <n v="242516.36"/>
    <n v="0"/>
    <n v="4542597"/>
    <s v="MMLNTN47A42L328J"/>
    <s v="MEMOLI ANTONIA"/>
    <s v="600 - Famiglie consumatrici"/>
    <m/>
    <s v="086 - ITALIA"/>
    <n v="139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168"/>
    <s v="14"/>
    <s v="Operazione per conto di importo elevato per la causale ed il soggetto"/>
    <d v="2025-04-02T00:00:00"/>
    <n v="53850"/>
    <n v="109"/>
    <s v="053850_109"/>
    <s v="Discovery Day"/>
    <s v="Mai valutato"/>
    <m/>
    <n v="202504017860077"/>
    <n v="1095500086659"/>
    <n v="20250401"/>
    <x v="18"/>
    <m/>
    <m/>
    <s v="D     - Dare"/>
    <n v="240594.1"/>
    <n v="0"/>
    <n v="565141"/>
    <s v="RSTFNC34T12I907O"/>
    <s v="ROSATO FRANCESCO"/>
    <s v="600 - Famiglie consumatrici"/>
    <m/>
    <s v="086 - ITALIA"/>
    <n v="77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166"/>
    <s v="14"/>
    <s v="Operazione per conto di importo elevato per la causale ed il soggetto"/>
    <d v="2025-04-02T00:00:00"/>
    <n v="53850"/>
    <n v="171"/>
    <s v="053850_171"/>
    <s v="Discovery Day"/>
    <s v="Mai valutato"/>
    <m/>
    <n v="202504017859421"/>
    <n v="1713302213842"/>
    <n v="20250401"/>
    <x v="6"/>
    <m/>
    <m/>
    <s v="D     - Dare"/>
    <n v="1415418.69"/>
    <n v="0"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4"/>
    <s v="IN CARICO AL RESPONSABILE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164"/>
    <s v="14"/>
    <s v="Operazione per conto di importo elevato per la causale ed il soggetto"/>
    <d v="2025-04-02T00:00:00"/>
    <n v="53850"/>
    <n v="102"/>
    <s v="053850_102"/>
    <s v="Discovery Day"/>
    <s v="Mai valutato"/>
    <m/>
    <n v="202504017857363"/>
    <n v="1023308727499"/>
    <n v="20250401"/>
    <x v="1"/>
    <m/>
    <s v="086 - ITALIA"/>
    <s v="A     - Avere"/>
    <n v="300000"/>
    <n v="0"/>
    <n v="187212"/>
    <s v="LDCMLR60M60A225B"/>
    <s v="LOIUDICE MARIA LAURA"/>
    <s v="600 - Famiglie consumatrici"/>
    <m/>
    <s v="086 - ITALIA"/>
    <n v="1335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158"/>
    <s v="14"/>
    <s v="Operazione per conto di importo elevato per la causale ed il soggetto"/>
    <d v="2025-04-02T00:00:00"/>
    <n v="53850"/>
    <n v="170"/>
    <s v="053850_170"/>
    <s v="Discovery Day"/>
    <s v="Mai valutato"/>
    <m/>
    <n v="202504017859384"/>
    <n v="1703306288195"/>
    <n v="20250401"/>
    <x v="28"/>
    <m/>
    <m/>
    <s v="A     - Avere"/>
    <n v="2131682.06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8"/>
    <s v="14"/>
    <s v="Operazione per conto di importo elevato per la causale ed il soggetto"/>
    <d v="2025-06-04T00:00:00"/>
    <n v="53850"/>
    <n v="190"/>
    <s v="053850_190"/>
    <s v="Discovery Day"/>
    <s v="Mai valutato"/>
    <m/>
    <n v="202505298034361"/>
    <n v="1900050025418"/>
    <n v="20250529"/>
    <x v="29"/>
    <m/>
    <m/>
    <s v="A     - Avere"/>
    <n v="499974.96"/>
    <n v="0"/>
    <n v="3018135"/>
    <s v="BNRVTI67A19E469T"/>
    <s v="BONORA VITO"/>
    <s v="615 - Altre famiglie produttrici"/>
    <s v="012 - COLTIVAZIONE DI COLTURE PERMANENTI"/>
    <s v="086 - ITALIA"/>
    <n v="828"/>
    <m/>
    <m/>
    <m/>
    <m/>
    <m/>
    <m/>
    <m/>
    <n v="0"/>
    <n v="202505"/>
    <s v="IN VALUTAZIONE RPR"/>
    <x v="1"/>
    <n v="1"/>
    <m/>
    <m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47"/>
    <s v="14"/>
    <s v="Operazione per conto di importo elevato per la causale ed il soggetto"/>
    <d v="2025-05-31T00:00:00"/>
    <n v="53850"/>
    <n v="189"/>
    <s v="053850_189"/>
    <s v="Discovery Day"/>
    <s v="Mai valutato"/>
    <m/>
    <n v="202505308027189"/>
    <n v="1893300017217"/>
    <n v="20250530"/>
    <x v="0"/>
    <m/>
    <m/>
    <s v="D     - Dare"/>
    <n v="12138.63"/>
    <n v="0"/>
    <n v="4351680"/>
    <s v="GRCPTR78P05E986Q"/>
    <s v="GRECO PIETRO"/>
    <s v="600 - Famiglie consumatrici"/>
    <m/>
    <s v="086 - ITALIA"/>
    <n v="1620"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541"/>
    <s v="14"/>
    <s v="Operazione per conto di importo elevato per la causale ed il soggetto"/>
    <d v="2025-05-31T00:00:00"/>
    <n v="53850"/>
    <n v="185"/>
    <s v="053850_185"/>
    <s v="Discovery Day"/>
    <s v="Mai valutato"/>
    <m/>
    <n v="202505308027693"/>
    <n v="1853300025786"/>
    <n v="20250530"/>
    <x v="0"/>
    <m/>
    <m/>
    <s v="D     - Dare"/>
    <n v="108303.22"/>
    <n v="0"/>
    <n v="3048294"/>
    <s v="DRGNGL28E60L049O"/>
    <s v="DRAGONE ANGELA"/>
    <s v="600 - Famiglie consumatrici"/>
    <m/>
    <s v="086 - ITALIA"/>
    <n v="610"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39"/>
    <s v="14"/>
    <s v="Operazione per conto di importo elevato per la causale ed il soggetto"/>
    <d v="2025-05-31T00:00:00"/>
    <n v="53850"/>
    <n v="174"/>
    <s v="053850_174"/>
    <s v="Discovery Day"/>
    <s v="Mai valutato"/>
    <m/>
    <n v="202505308024053"/>
    <n v="1743302879671"/>
    <n v="20250530"/>
    <x v="3"/>
    <m/>
    <s v="086 - ITALIA"/>
    <s v="D     - Dare"/>
    <n v="1071179.8700000001"/>
    <n v="0"/>
    <n v="4866710"/>
    <n v="265680728"/>
    <s v="AS LABRUNA S.R.L."/>
    <s v="430 - Imprese produttive"/>
    <s v="281 - FABBRICAZIONE DI MACCHINE DI IMPIEGO GENERALE"/>
    <s v="086 - ITALIA"/>
    <n v="1058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536"/>
    <s v="14"/>
    <s v="Operazione per conto di importo elevato per la causale ed il soggetto"/>
    <d v="2025-05-31T00:00:00"/>
    <n v="53850"/>
    <n v="128"/>
    <s v="053850_128"/>
    <s v="Discovery Day"/>
    <s v="Mai valutato"/>
    <m/>
    <n v="202505308027410"/>
    <n v="1283300001665"/>
    <n v="20250530"/>
    <x v="9"/>
    <m/>
    <m/>
    <s v="D     - Dare"/>
    <n v="1425000"/>
    <n v="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35"/>
    <s v="14"/>
    <s v="Operazione per conto di importo elevato per la causale ed il soggetto"/>
    <d v="2025-05-31T00:00:00"/>
    <n v="53850"/>
    <n v="136"/>
    <s v="053850_136"/>
    <s v="Discovery Day"/>
    <s v="Mai valutato"/>
    <m/>
    <n v="202505308027183"/>
    <n v="1363300001888"/>
    <n v="20250530"/>
    <x v="1"/>
    <m/>
    <s v="086 - ITALIA"/>
    <s v="A     - Avere"/>
    <n v="1105649"/>
    <n v="0"/>
    <n v="4234848"/>
    <n v="61820742"/>
    <s v="ARCA NORD SALENTO"/>
    <s v="178 - Altre amministrazioni locali"/>
    <s v="841 - AMMINISTRAZIONE PUBBLICA: AMMINISTRAZIONE GENERALE, ECONOMICA E SOCIALE"/>
    <s v="086 - ITALIA"/>
    <n v="1909"/>
    <m/>
    <m/>
    <m/>
    <m/>
    <m/>
    <m/>
    <m/>
    <n v="0"/>
    <n v="202505"/>
    <m/>
    <x v="1"/>
    <n v="1"/>
    <m/>
    <m/>
    <n v="0"/>
    <n v="999"/>
    <n v="178"/>
    <n v="17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32"/>
    <s v="14"/>
    <s v="Operazione per conto di importo elevato per la causale ed il soggetto"/>
    <d v="2025-05-31T00:00:00"/>
    <n v="53850"/>
    <n v="175"/>
    <s v="053850_175"/>
    <s v="Discovery Day"/>
    <s v="Mai valutato"/>
    <m/>
    <n v="202505308027637"/>
    <n v="1753302205383"/>
    <n v="20250530"/>
    <x v="9"/>
    <m/>
    <m/>
    <s v="D     - Da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529"/>
    <s v="14"/>
    <s v="Operazione per conto di importo elevato per la causale ed il soggetto"/>
    <d v="2025-05-31T00:00:00"/>
    <n v="53850"/>
    <n v="105"/>
    <s v="053850_105"/>
    <s v="Discovery Day"/>
    <s v="Mai valutato"/>
    <m/>
    <n v="202505308027285"/>
    <n v="1053306286600"/>
    <n v="20250530"/>
    <x v="0"/>
    <m/>
    <m/>
    <s v="D     - Dare"/>
    <n v="17259.12"/>
    <n v="0"/>
    <n v="4235456"/>
    <s v="SVRNGL37L67B520I"/>
    <s v="SAVARINO ANGELA"/>
    <s v="600 - Famiglie consumatrici"/>
    <m/>
    <s v="086 - ITALIA"/>
    <m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21"/>
    <s v="14"/>
    <s v="Operazione per conto di importo elevato per la causale ed il soggetto"/>
    <d v="2025-05-31T00:00:00"/>
    <n v="53850"/>
    <n v="105"/>
    <s v="053850_105"/>
    <s v="Discovery Day"/>
    <s v="Mai valutato"/>
    <m/>
    <n v="202505308027285"/>
    <n v="1053306286600"/>
    <n v="20250530"/>
    <x v="0"/>
    <m/>
    <m/>
    <s v="D     - Dare"/>
    <n v="17259.12"/>
    <n v="0"/>
    <n v="4186319"/>
    <s v="BLLGPP37S03E038V"/>
    <s v="BELLACICCO GIUSEPPE"/>
    <s v="600 - Famiglie consumatrici"/>
    <m/>
    <s v="086 - ITALIA"/>
    <n v="1452"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20"/>
    <s v="14"/>
    <s v="Operazione per conto di importo elevato per la causale ed il soggetto"/>
    <d v="2025-05-31T00:00:00"/>
    <n v="53850"/>
    <n v="99"/>
    <s v="053850_99"/>
    <s v="Discovery Day"/>
    <s v="Mai valutato"/>
    <m/>
    <n v="202505308025295"/>
    <n v="999361870311"/>
    <n v="20250530"/>
    <x v="1"/>
    <m/>
    <s v="086 - ITALIA"/>
    <s v="A     - Avere"/>
    <n v="3375000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519"/>
    <s v="14"/>
    <s v="Operazione per conto di importo elevato per la causale ed il soggetto"/>
    <d v="2025-05-31T00:00:00"/>
    <n v="53850"/>
    <n v="185"/>
    <s v="053850_185"/>
    <s v="Discovery Day"/>
    <s v="Mai valutato"/>
    <m/>
    <n v="202505308027693"/>
    <n v="1853300025786"/>
    <n v="20250530"/>
    <x v="0"/>
    <m/>
    <m/>
    <s v="D     - Dare"/>
    <n v="108303.22"/>
    <n v="0"/>
    <n v="3017106"/>
    <s v="LBNMHL57B04A662Q"/>
    <s v="LABIANCA MICHELE"/>
    <s v="600 - Famiglie consumatrici"/>
    <m/>
    <s v="086 - ITALIA"/>
    <n v="610"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10"/>
    <s v="14"/>
    <s v="Operazione per conto di importo elevato per la causale ed il soggetto"/>
    <d v="2025-05-31T00:00:00"/>
    <n v="53850"/>
    <n v="181"/>
    <s v="053850_181"/>
    <s v="Discovery Day"/>
    <s v="Mai valutato"/>
    <m/>
    <n v="202505298027657"/>
    <n v="1813301035232"/>
    <n v="20250529"/>
    <x v="3"/>
    <m/>
    <s v="086 - ITALIA"/>
    <s v="D     - Dare"/>
    <n v="656000"/>
    <n v="0"/>
    <n v="3738884"/>
    <n v="8714420729"/>
    <s v="AGERAPUGLIA SOCIETA' SEMPLICE SOCIETA' AGRIC"/>
    <s v="615 - Altre famiglie produttrici"/>
    <s v="012 - COLTIVAZIONE DI COLTURE PERMANENTI"/>
    <s v="086 - ITALIA"/>
    <n v="1943"/>
    <m/>
    <m/>
    <m/>
    <m/>
    <m/>
    <m/>
    <m/>
    <n v="0"/>
    <n v="202505"/>
    <m/>
    <x v="1"/>
    <n v="1"/>
    <m/>
    <m/>
    <n v="0"/>
    <n v="999"/>
    <n v="615"/>
    <n v="615999"/>
    <m/>
    <n v="1"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09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7"/>
    <n v="2733300001901"/>
    <n v="20250530"/>
    <x v="7"/>
    <m/>
    <m/>
    <s v="D     - Dare"/>
    <n v="992320"/>
    <n v="0"/>
    <n v="1671965"/>
    <s v="BLDGRN57A20I148W"/>
    <s v="BALDASSARRE GUERINO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508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6"/>
    <n v="2733300001901"/>
    <n v="20250530"/>
    <x v="21"/>
    <m/>
    <m/>
    <s v="A     - Avere"/>
    <n v="1000000"/>
    <n v="0"/>
    <n v="1671771"/>
    <s v="RTSMCR57P69I148Y"/>
    <s v="ARTESE MARIA CRISTINA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07"/>
    <s v="14"/>
    <s v="Operazione per conto di importo elevato per la causale ed il soggetto"/>
    <d v="2025-05-30T00:00:00"/>
    <n v="53850"/>
    <n v="103"/>
    <s v="053850_103"/>
    <s v="Discovery Day"/>
    <s v="Mai valutato"/>
    <m/>
    <n v="202505308022317"/>
    <n v="1033301682021"/>
    <n v="20250530"/>
    <x v="21"/>
    <m/>
    <m/>
    <s v="A     - Avere"/>
    <n v="350000"/>
    <n v="0"/>
    <n v="107653"/>
    <s v="STMNRC53C03E155S"/>
    <s v="STIMOLA ENRIC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06"/>
    <s v="14"/>
    <s v="Operazione per conto di importo elevato per la causale ed il soggetto"/>
    <d v="2025-05-30T00:00:00"/>
    <n v="53850"/>
    <n v="188"/>
    <s v="053850_188"/>
    <s v="Discovery Day"/>
    <s v="Mai valutato"/>
    <m/>
    <n v="202505308022232"/>
    <n v="1883300130370"/>
    <n v="20250530"/>
    <x v="20"/>
    <m/>
    <m/>
    <s v="D     - Dare"/>
    <n v="250000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s v="ARCHIVIATA"/>
    <x v="0"/>
    <n v="1"/>
    <m/>
    <m/>
    <n v="0"/>
    <n v="477"/>
    <n v="615"/>
    <n v="615477"/>
    <s v="Classe di rischio 6"/>
    <m/>
    <x v="6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05"/>
    <s v="14"/>
    <s v="Operazione per conto di importo elevato per la causale ed il soggetto"/>
    <d v="2025-05-30T00:00:00"/>
    <n v="53850"/>
    <n v="270"/>
    <s v="053850_270"/>
    <s v="Discovery Day"/>
    <s v="Mai valutato"/>
    <m/>
    <n v="202505308022749"/>
    <n v="2703300002369"/>
    <n v="20250530"/>
    <x v="7"/>
    <m/>
    <m/>
    <s v="D     - Dare"/>
    <n v="1111398.3999999999"/>
    <n v="0"/>
    <n v="1679871"/>
    <s v="DGRRTI62A65D763A"/>
    <s v="DI GIROLAMO RITA"/>
    <s v="600 - Famiglie consumatrici"/>
    <m/>
    <s v="086 - ITALIA"/>
    <n v="1803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04"/>
    <s v="14"/>
    <s v="Operazione per conto di importo elevato per la causale ed il soggetto"/>
    <d v="2025-05-30T00:00:00"/>
    <n v="53850"/>
    <n v="270"/>
    <s v="053850_270"/>
    <s v="Discovery Day"/>
    <s v="Mai valutato"/>
    <m/>
    <n v="202505308022748"/>
    <n v="2703300002369"/>
    <n v="20250530"/>
    <x v="21"/>
    <m/>
    <m/>
    <s v="A     - Avere"/>
    <n v="1075000"/>
    <n v="0"/>
    <n v="1679871"/>
    <s v="DGRRTI62A65D763A"/>
    <s v="DI GIROLAMO RITA"/>
    <s v="600 - Famiglie consumatrici"/>
    <m/>
    <s v="086 - ITALIA"/>
    <n v="1803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503"/>
    <s v="14"/>
    <s v="Operazione per conto di importo elevato per la causale ed il soggetto"/>
    <d v="2025-05-30T00:00:00"/>
    <n v="53850"/>
    <n v="103"/>
    <s v="053850_103"/>
    <s v="Discovery Day"/>
    <s v="Mai valutato"/>
    <m/>
    <n v="202505308022317"/>
    <n v="1033301682021"/>
    <n v="20250530"/>
    <x v="21"/>
    <m/>
    <m/>
    <s v="A     - Avere"/>
    <n v="350000"/>
    <n v="0"/>
    <n v="150652"/>
    <s v="SVNLRD54R52F052W"/>
    <s v="SAVINO LEONARDA"/>
    <s v="600 - Famiglie consumatrici"/>
    <m/>
    <s v="086 - ITALIA"/>
    <m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02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7"/>
    <n v="2733300001901"/>
    <n v="20250530"/>
    <x v="7"/>
    <m/>
    <m/>
    <s v="D     - Dare"/>
    <n v="992320"/>
    <n v="0"/>
    <n v="1671771"/>
    <s v="RTSMCR57P69I148Y"/>
    <s v="ARTESE MARIA CRISTINA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501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6"/>
    <n v="2733300001901"/>
    <n v="20250530"/>
    <x v="21"/>
    <m/>
    <m/>
    <s v="A     - Avere"/>
    <n v="1000000"/>
    <n v="0"/>
    <n v="1671965"/>
    <s v="BLDGRN57A20I148W"/>
    <s v="BALDASSARRE GUERINO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499"/>
    <s v="14"/>
    <s v="Operazione per conto di importo elevato per la causale ed il soggetto"/>
    <d v="2025-05-30T00:00:00"/>
    <n v="53850"/>
    <n v="176"/>
    <s v="053850_176"/>
    <s v="Discovery Day"/>
    <s v="Mai valutato"/>
    <m/>
    <n v="202505298023302"/>
    <n v="1763300020131"/>
    <n v="20250529"/>
    <x v="0"/>
    <m/>
    <m/>
    <s v="D     - Dare"/>
    <n v="104917.75"/>
    <n v="0"/>
    <n v="4995696"/>
    <s v="GMPMLB49M63L477K"/>
    <s v="GIAMPIETRO MARIA LIBERATA"/>
    <s v="600 - Famiglie consumatrici"/>
    <m/>
    <s v="086 - ITALIA"/>
    <n v="67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497"/>
    <s v="14"/>
    <s v="Operazione per conto di importo elevato per la causale ed il soggetto"/>
    <d v="2025-05-30T00:00:00"/>
    <n v="53850"/>
    <n v="122"/>
    <s v="053850_122"/>
    <s v="Discovery Day"/>
    <s v="Mai valutato"/>
    <m/>
    <n v="202505298020860"/>
    <n v="1223300002128"/>
    <n v="20250529"/>
    <x v="13"/>
    <m/>
    <s v="086 - ITALIA"/>
    <s v="D     - Dare"/>
    <n v="1422206.78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4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95"/>
    <s v="14"/>
    <s v="Operazione per conto di importo elevato per la causale ed il soggetto"/>
    <d v="2025-05-30T00:00:00"/>
    <n v="53850"/>
    <n v="103"/>
    <s v="053850_103"/>
    <s v="Discovery Day"/>
    <s v="Mai valutato"/>
    <m/>
    <n v="202505298023304"/>
    <n v="1033306979739"/>
    <n v="20250529"/>
    <x v="0"/>
    <m/>
    <m/>
    <s v="D     - Dare"/>
    <n v="19671.54"/>
    <n v="0"/>
    <n v="545653"/>
    <s v="MRTTMS65H22E155O"/>
    <s v="MARTINELLI TOMMASO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89"/>
    <s v="14"/>
    <s v="Operazione per conto di importo elevato per la causale ed il soggetto"/>
    <d v="2025-05-30T00:00:00"/>
    <n v="53850"/>
    <n v="109"/>
    <s v="053850_109"/>
    <s v="Discovery Day"/>
    <s v="Mai valutato"/>
    <m/>
    <n v="202505298022047"/>
    <n v="1093304728910"/>
    <n v="20250529"/>
    <x v="1"/>
    <m/>
    <s v="086 - ITALIA"/>
    <s v="A     - Avere"/>
    <n v="230000"/>
    <n v="0"/>
    <n v="472891"/>
    <s v="LRCGCH48P15A662A"/>
    <s v="LARICCHIUTA GIOACCHINO"/>
    <s v="600 - Famiglie consumatrici"/>
    <m/>
    <s v="086 - ITALIA"/>
    <n v="778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488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18"/>
    <n v="1053306288710"/>
    <n v="20250529"/>
    <x v="1"/>
    <m/>
    <s v="086 - ITALIA"/>
    <s v="A     - Avere"/>
    <n v="296427.5399999999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84"/>
    <s v="14"/>
    <s v="Operazione per conto di importo elevato per la causale ed il soggetto"/>
    <d v="2025-05-30T00:00:00"/>
    <n v="53850"/>
    <n v="103"/>
    <s v="053850_103"/>
    <s v="Discovery Day"/>
    <s v="Mai valutato"/>
    <m/>
    <n v="202505298023304"/>
    <n v="1033306979739"/>
    <n v="20250529"/>
    <x v="0"/>
    <m/>
    <m/>
    <s v="D     - Dare"/>
    <n v="19671.54"/>
    <n v="0"/>
    <n v="461851"/>
    <s v="MRTGNN61D54E155R"/>
    <s v="MARTINELLI GIOVANN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83"/>
    <s v="14"/>
    <s v="Operazione per conto di importo elevato per la causale ed il soggetto"/>
    <d v="2025-05-30T00:00:00"/>
    <n v="53850"/>
    <n v="171"/>
    <s v="053850_171"/>
    <s v="Discovery Day"/>
    <s v="Mai valutato"/>
    <m/>
    <n v="202505298021936"/>
    <n v="1713302213769"/>
    <n v="20250529"/>
    <x v="1"/>
    <m/>
    <s v="086 - ITALIA"/>
    <s v="A     - Avere"/>
    <n v="1733161.25"/>
    <n v="0"/>
    <n v="545638"/>
    <n v="434710729"/>
    <s v="GIUSEPPE VACCA OLII - S.R.L."/>
    <s v="430 - Imprese produttive"/>
    <s v="463 - COMMERCIO ALL'INGROSSO DI PRODOTTI ALIMENTARI, BEVANDE E PRODOTTI DEL TABACCO"/>
    <s v="086 - ITALIA"/>
    <n v="1903"/>
    <m/>
    <m/>
    <m/>
    <m/>
    <m/>
    <m/>
    <m/>
    <n v="0"/>
    <n v="202505"/>
    <s v="IN CARICO AL RESPONSABILE"/>
    <x v="1"/>
    <n v="1"/>
    <m/>
    <m/>
    <n v="0"/>
    <n v="463"/>
    <n v="430"/>
    <n v="430463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82"/>
    <s v="14"/>
    <s v="Operazione per conto di importo elevato per la causale ed il soggetto"/>
    <d v="2025-05-30T00:00:00"/>
    <n v="53850"/>
    <n v="102"/>
    <s v="053850_102"/>
    <s v="Discovery Day"/>
    <s v="Mai valutato"/>
    <m/>
    <n v="202505298020646"/>
    <n v="1503300003188"/>
    <n v="20250529"/>
    <x v="3"/>
    <m/>
    <s v="086 - ITALIA"/>
    <s v="D     - Dare"/>
    <n v="14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481"/>
    <s v="14"/>
    <s v="Operazione per conto di importo elevato per la causale ed il soggetto"/>
    <d v="2025-05-30T00:00:00"/>
    <n v="53850"/>
    <n v="103"/>
    <s v="053850_103"/>
    <s v="Discovery Day"/>
    <s v="Mai valutato"/>
    <m/>
    <n v="202505298021209"/>
    <n v="1033306975431"/>
    <n v="20250529"/>
    <x v="1"/>
    <m/>
    <s v="086 - ITALIA"/>
    <s v="A     - Avere"/>
    <n v="613389.04"/>
    <n v="0"/>
    <n v="4785176"/>
    <n v="7587320727"/>
    <s v="GLARCH S.R.L."/>
    <s v="430 - Imprese produttive"/>
    <s v="412 - COSTRUZIONE DI EDIFICI RESIDENZIALI E NON RESIDENZIALI"/>
    <s v="086 - ITALIA"/>
    <n v="1274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78"/>
    <s v="14"/>
    <s v="Operazione per conto di importo elevato per la causale ed il soggetto"/>
    <d v="2025-05-30T00:00:00"/>
    <n v="53850"/>
    <n v="109"/>
    <s v="053850_109"/>
    <s v="Discovery Day"/>
    <s v="Mai valutato"/>
    <m/>
    <n v="202505298021182"/>
    <n v="1093306673843"/>
    <n v="20250529"/>
    <x v="3"/>
    <m/>
    <s v="086 - ITALIA"/>
    <s v="D     - Dare"/>
    <n v="771195.52"/>
    <n v="0"/>
    <n v="3183543"/>
    <n v="252920723"/>
    <s v="FIGLI MICHELE ANGIULI S.R.L."/>
    <s v="430 - Imprese produttive"/>
    <s v="463 - COMMERCIO ALL'INGROSSO DI PRODOTTI ALIMENTARI, BEVANDE E PRODOTTI DEL TABACCO"/>
    <s v="086 - ITALIA"/>
    <n v="1919"/>
    <m/>
    <m/>
    <m/>
    <m/>
    <m/>
    <m/>
    <m/>
    <n v="0"/>
    <n v="202505"/>
    <s v="IN VALUTAZIONE RPR"/>
    <x v="1"/>
    <n v="1"/>
    <m/>
    <m/>
    <n v="0"/>
    <n v="463"/>
    <n v="430"/>
    <n v="430463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73"/>
    <s v="14"/>
    <s v="Operazione per conto di importo elevato per la causale ed il soggetto"/>
    <d v="2025-05-30T00:00:00"/>
    <n v="53850"/>
    <n v="273"/>
    <s v="053850_273"/>
    <s v="Discovery Day"/>
    <s v="Mai valutato"/>
    <m/>
    <n v="202505298020813"/>
    <n v="2733300004156"/>
    <n v="20250529"/>
    <x v="8"/>
    <m/>
    <m/>
    <s v="D     - Dare"/>
    <n v="1161775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1161775"/>
    <n v="1165920.4065"/>
    <n v="1170065.8130000001"/>
    <n v="1174211.2194999999"/>
    <n v="1178356.6259999999"/>
    <n v="1182502.0325"/>
    <n v="1186647.439"/>
    <n v="1190792.8455000001"/>
    <n v="1194938.2520000001"/>
    <n v="1199083.6584999999"/>
    <n v="1203229.0649999999"/>
    <n v="1207374.4715"/>
    <n v="1211519.878"/>
    <n v="1215665.2845000001"/>
    <n v="1219810.6910000001"/>
    <n v="1223956.0974999999"/>
    <n v="1228101.504"/>
    <n v="1232246.9105"/>
    <n v="1236392.317"/>
    <n v="1240537.7235000001"/>
    <n v="1244683.12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69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32"/>
    <n v="1053306288710"/>
    <n v="20250529"/>
    <x v="1"/>
    <m/>
    <s v="086 - ITALIA"/>
    <s v="A     - Avere"/>
    <n v="208073.67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65"/>
    <s v="14"/>
    <s v="Operazione per conto di importo elevato per la causale ed il soggetto"/>
    <d v="2025-05-30T00:00:00"/>
    <n v="53850"/>
    <n v="122"/>
    <s v="053850_122"/>
    <s v="Discovery Day"/>
    <s v="Mai valutato"/>
    <m/>
    <n v="202505298022050"/>
    <n v="1223300001682"/>
    <n v="20250529"/>
    <x v="1"/>
    <m/>
    <s v="086 - ITALIA"/>
    <s v="A     - Avere"/>
    <n v="1252933.6200000001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464"/>
    <s v="14"/>
    <s v="Operazione per conto di importo elevato per la causale ed il soggetto"/>
    <d v="2025-05-30T00:00:00"/>
    <n v="53850"/>
    <n v="103"/>
    <s v="053850_103"/>
    <s v="Discovery Day"/>
    <s v="Mai valutato"/>
    <m/>
    <n v="202505298023304"/>
    <n v="1033306979739"/>
    <n v="20250529"/>
    <x v="0"/>
    <m/>
    <m/>
    <s v="D     - Dare"/>
    <n v="19671.54"/>
    <n v="0"/>
    <n v="597069"/>
    <s v="MRTNLN67E09E155X"/>
    <s v="MARTINELLI NICOLANTONI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63"/>
    <s v="14"/>
    <s v="Operazione per conto di importo elevato per la causale ed il soggetto"/>
    <d v="2025-05-30T00:00:00"/>
    <n v="53850"/>
    <n v="273"/>
    <s v="053850_273"/>
    <s v="Discovery Day"/>
    <s v="Mai valutato"/>
    <m/>
    <n v="202505298023307"/>
    <n v="2733300001505"/>
    <n v="20250529"/>
    <x v="0"/>
    <m/>
    <m/>
    <s v="D     - Dare"/>
    <n v="11266.94"/>
    <n v="0"/>
    <n v="1650841"/>
    <s v="DPLMHL81D26B519Q"/>
    <s v="DE PAOLA MICHELE"/>
    <s v="600 - Famiglie consumatrici"/>
    <m/>
    <s v="086 - ITALIA"/>
    <n v="1295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461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31"/>
    <n v="1053306288710"/>
    <n v="20250529"/>
    <x v="1"/>
    <m/>
    <s v="086 - ITALIA"/>
    <s v="A     - Avere"/>
    <n v="250672.7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459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20"/>
    <n v="1053306288710"/>
    <n v="20250529"/>
    <x v="1"/>
    <m/>
    <s v="086 - ITALIA"/>
    <s v="A     - Avere"/>
    <n v="296427.5399999999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57"/>
    <s v="14"/>
    <s v="Operazione per conto di importo elevato per la causale ed il soggetto"/>
    <d v="2025-05-30T00:00:00"/>
    <n v="53850"/>
    <n v="175"/>
    <s v="053850_175"/>
    <s v="Discovery Day"/>
    <s v="Mai valutato"/>
    <m/>
    <n v="202505298020735"/>
    <n v="1753305636160"/>
    <n v="20250529"/>
    <x v="3"/>
    <m/>
    <s v="086 - ITALIA"/>
    <s v="D     - Dare"/>
    <n v="90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456"/>
    <s v="14"/>
    <s v="Operazione per conto di importo elevato per la causale ed il soggetto"/>
    <d v="2025-05-30T00:00:00"/>
    <n v="53850"/>
    <n v="273"/>
    <s v="053850_273"/>
    <s v="Discovery Day"/>
    <s v="Mai valutato"/>
    <m/>
    <n v="202505298021394"/>
    <n v="2733300004156"/>
    <n v="20250529"/>
    <x v="1"/>
    <m/>
    <s v="086 - ITALIA"/>
    <s v="A     - Avere"/>
    <n v="15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453"/>
    <s v="14"/>
    <s v="Operazione per conto di importo elevato per la causale ed il soggetto"/>
    <d v="2025-05-29T00:00:00"/>
    <n v="53850"/>
    <n v="188"/>
    <s v="053850_188"/>
    <s v="Discovery Day"/>
    <s v="Mai valutato"/>
    <m/>
    <n v="202505298019364"/>
    <n v="1883300130370"/>
    <n v="20250529"/>
    <x v="20"/>
    <m/>
    <m/>
    <s v="D     - Dare"/>
    <n v="250000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s v="ARCHIVIATA"/>
    <x v="0"/>
    <n v="1"/>
    <m/>
    <m/>
    <n v="0"/>
    <n v="477"/>
    <n v="615"/>
    <n v="615477"/>
    <s v="Classe di rischio 6"/>
    <m/>
    <x v="6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52"/>
    <s v="14"/>
    <s v="Operazione per conto di importo elevato per la causale ed il soggetto"/>
    <d v="2025-05-29T00:00:00"/>
    <n v="53850"/>
    <n v="110"/>
    <s v="053850_110"/>
    <s v="Discovery Day"/>
    <s v="Mai valutato"/>
    <m/>
    <s v="202505287567276L"/>
    <n v="1103306288198"/>
    <n v="20250528"/>
    <x v="0"/>
    <m/>
    <m/>
    <s v="D     - Dare"/>
    <n v="1694.49"/>
    <n v="0"/>
    <n v="474103"/>
    <s v="LNTMHL42M17A669E"/>
    <s v="LANOTTE MICHELE"/>
    <s v="600 - Famiglie consumatrici"/>
    <m/>
    <s v="086 - ITALIA"/>
    <n v="135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51"/>
    <s v="14"/>
    <s v="Operazione per conto di importo elevato per la causale ed il soggetto"/>
    <d v="2025-05-29T00:00:00"/>
    <n v="53850"/>
    <n v="153"/>
    <s v="053850_153"/>
    <s v="Discovery Day"/>
    <s v="Mai valutato"/>
    <m/>
    <s v="202505287572724L"/>
    <n v="1533300663592"/>
    <n v="20250528"/>
    <x v="0"/>
    <m/>
    <m/>
    <s v="D     - Dare"/>
    <n v="1402.45"/>
    <n v="0"/>
    <n v="4982454"/>
    <s v="VLNMRA39D49A509N"/>
    <s v="VALENTINO MARIA"/>
    <s v="600 - Famiglie consumatrici"/>
    <m/>
    <s v="086 - ITALIA"/>
    <n v="1187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48"/>
    <s v="14"/>
    <s v="Operazione per conto di importo elevato per la causale ed il soggetto"/>
    <d v="2025-05-29T00:00:00"/>
    <n v="53850"/>
    <n v="134"/>
    <s v="053850_134"/>
    <s v="Discovery Day"/>
    <s v="Mai valutato"/>
    <m/>
    <n v="202505288020006"/>
    <n v="1346004011555"/>
    <n v="20250528"/>
    <x v="13"/>
    <m/>
    <s v="086 - ITALIA"/>
    <s v="D     - Da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447"/>
    <s v="14"/>
    <s v="Operazione per conto di importo elevato per la causale ed il soggetto"/>
    <d v="2025-05-29T00:00:00"/>
    <n v="53850"/>
    <n v="169"/>
    <s v="053850_169"/>
    <s v="Discovery Day"/>
    <s v="Mai valutato"/>
    <m/>
    <n v="202505288018396"/>
    <n v="1693302224337"/>
    <n v="20250528"/>
    <x v="1"/>
    <m/>
    <s v="086 - ITALIA"/>
    <s v="A     - Avere"/>
    <n v="209054.58"/>
    <n v="0"/>
    <n v="4566922"/>
    <s v="CNTFNC90R31A883V"/>
    <s v="CONTO' FRANCESCO PAOLO"/>
    <s v="600 - Famiglie consumatrici"/>
    <m/>
    <s v="086 - ITALIA"/>
    <n v="1261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46"/>
    <s v="14"/>
    <s v="Operazione per conto di importo elevato per la causale ed il soggetto"/>
    <d v="2025-05-29T00:00:00"/>
    <n v="53850"/>
    <n v="169"/>
    <s v="053850_169"/>
    <s v="Discovery Day"/>
    <s v="Mai valutato"/>
    <m/>
    <n v="202505288020312"/>
    <n v="1693305416200"/>
    <n v="20250528"/>
    <x v="7"/>
    <m/>
    <m/>
    <s v="D     - Dare"/>
    <n v="310000"/>
    <n v="0"/>
    <n v="541619"/>
    <s v="PSQCCT46D64L328Z"/>
    <s v="PASQUADIBISCEGLIE CONCETTA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41"/>
    <s v="14"/>
    <s v="Operazione per conto di importo elevato per la causale ed il soggetto"/>
    <d v="2025-05-29T00:00:00"/>
    <n v="53850"/>
    <n v="105"/>
    <s v="053850_105"/>
    <s v="Discovery Day"/>
    <s v="Mai valutato"/>
    <m/>
    <n v="202505288020149"/>
    <n v="1053306288710"/>
    <n v="20250528"/>
    <x v="22"/>
    <m/>
    <m/>
    <s v="A     - Avere"/>
    <n v="2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439"/>
    <s v="14"/>
    <s v="Operazione per conto di importo elevato per la causale ed il soggetto"/>
    <d v="2025-05-29T00:00:00"/>
    <n v="53850"/>
    <n v="114"/>
    <s v="053850_114"/>
    <s v="Discovery Day"/>
    <s v="Mai valutato"/>
    <m/>
    <s v="202505287567239L"/>
    <n v="1143306279849"/>
    <n v="20250528"/>
    <x v="0"/>
    <m/>
    <m/>
    <s v="D     - Dare"/>
    <n v="2087.63"/>
    <n v="0"/>
    <n v="4070800"/>
    <s v="PSCVTI61R20D643V"/>
    <s v="PISCOPIELLO VITO"/>
    <s v="600 - Famiglie consumatrici"/>
    <m/>
    <s v="086 - ITALIA"/>
    <n v="907"/>
    <m/>
    <m/>
    <m/>
    <m/>
    <m/>
    <m/>
    <m/>
    <n v="0"/>
    <n v="202505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438"/>
    <s v="14"/>
    <s v="Operazione per conto di importo elevato per la causale ed il soggetto"/>
    <d v="2025-05-29T00:00:00"/>
    <n v="53850"/>
    <n v="103"/>
    <s v="053850_103"/>
    <s v="Discovery Day"/>
    <s v="Mai valutato"/>
    <m/>
    <n v="202505288019253"/>
    <n v="1033306974262"/>
    <n v="20250528"/>
    <x v="1"/>
    <m/>
    <s v="086 - ITALIA"/>
    <s v="A     - Avere"/>
    <n v="800000"/>
    <n v="0"/>
    <n v="4679373"/>
    <n v="3294040724"/>
    <s v="CEREAL - FER SEMENTI DI PANTONE DOMENICO&amp; 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5"/>
    <s v="IN VALUTAZIONE RPR"/>
    <x v="1"/>
    <n v="1"/>
    <m/>
    <m/>
    <n v="0"/>
    <n v="999"/>
    <n v="492"/>
    <n v="492999"/>
    <m/>
    <n v="1"/>
    <x v="5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36"/>
    <s v="14"/>
    <s v="Operazione per conto di importo elevato per la causale ed il soggetto"/>
    <d v="2025-05-29T00:00:00"/>
    <n v="53850"/>
    <n v="134"/>
    <s v="053850_134"/>
    <s v="Discovery Day"/>
    <s v="Mai valutato"/>
    <m/>
    <n v="202505288020228"/>
    <n v="1343300003027"/>
    <n v="20250528"/>
    <x v="3"/>
    <m/>
    <s v="086 - ITALIA"/>
    <s v="D     - Da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35"/>
    <s v="14"/>
    <s v="Operazione per conto di importo elevato per la causale ed il soggetto"/>
    <d v="2025-05-29T00:00:00"/>
    <n v="53850"/>
    <n v="116"/>
    <s v="053850_116"/>
    <s v="Discovery Day"/>
    <s v="Mai valutato"/>
    <m/>
    <n v="202505288018885"/>
    <n v="1163305431040"/>
    <n v="20250528"/>
    <x v="1"/>
    <m/>
    <s v="086 - ITALIA"/>
    <s v="A     - Avere"/>
    <n v="1349930"/>
    <n v="0"/>
    <n v="543104"/>
    <n v="4393640729"/>
    <s v="TURBO SERVICE S.R.L."/>
    <s v="430 - Imprese produttive"/>
    <s v="466 - COMMERCIO ALL'INGROSSO DI ALTRI MACCHINARI, ATTREZZATURE E FORNITURE"/>
    <s v="086 - ITALIA"/>
    <n v="1696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33"/>
    <s v="14"/>
    <s v="Operazione per conto di importo elevato per la causale ed il soggetto"/>
    <d v="2025-05-29T00:00:00"/>
    <n v="53850"/>
    <n v="102"/>
    <s v="053850_102"/>
    <s v="Discovery Day"/>
    <s v="Mai valutato"/>
    <m/>
    <n v="202505288020077"/>
    <n v="1503300003188"/>
    <n v="20250528"/>
    <x v="3"/>
    <m/>
    <s v="086 - ITALIA"/>
    <s v="D     - Dare"/>
    <n v="11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31"/>
    <s v="14"/>
    <s v="Operazione per conto di importo elevato per la causale ed il soggetto"/>
    <d v="2025-05-29T00:00:00"/>
    <n v="53850"/>
    <n v="170"/>
    <s v="053850_170"/>
    <s v="Discovery Day"/>
    <s v="Mai valutato"/>
    <m/>
    <n v="202505288019287"/>
    <n v="1703306288195"/>
    <n v="20250528"/>
    <x v="30"/>
    <m/>
    <s v="076 - TURCHIA"/>
    <s v="D     - Dare"/>
    <n v="1236943.99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29"/>
    <s v="14"/>
    <s v="Operazione per conto di importo elevato per la causale ed il soggetto"/>
    <d v="2025-05-29T00:00:00"/>
    <n v="53850"/>
    <n v="169"/>
    <s v="053850_169"/>
    <s v="Discovery Day"/>
    <s v="Mai valutato"/>
    <m/>
    <n v="202505288020312"/>
    <n v="1693305416200"/>
    <n v="20250528"/>
    <x v="7"/>
    <m/>
    <m/>
    <s v="D     - Dare"/>
    <n v="310000"/>
    <n v="0"/>
    <n v="541618"/>
    <s v="CRCFNC38E24L328Y"/>
    <s v="CURCI FRANCESCO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25"/>
    <s v="14"/>
    <s v="Operazione per conto di importo elevato per la causale ed il soggetto"/>
    <d v="2025-05-29T00:00:00"/>
    <n v="53850"/>
    <n v="134"/>
    <s v="053850_134"/>
    <s v="Discovery Day"/>
    <s v="Mai valutato"/>
    <m/>
    <n v="202505288019999"/>
    <n v="1343300003027"/>
    <n v="20250528"/>
    <x v="13"/>
    <m/>
    <s v="086 - ITALIA"/>
    <s v="A     - Ave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423"/>
    <s v="14"/>
    <s v="Operazione per conto di importo elevato per la causale ed il soggetto"/>
    <d v="2025-05-29T00:00:00"/>
    <n v="53850"/>
    <n v="261"/>
    <s v="053850_261"/>
    <s v="Discovery Day"/>
    <s v="Mai valutato"/>
    <m/>
    <n v="202505288018864"/>
    <n v="2613300000312"/>
    <n v="20250528"/>
    <x v="1"/>
    <m/>
    <s v="086 - ITALIA"/>
    <s v="A     - Avere"/>
    <n v="201301.01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22"/>
    <s v="14"/>
    <s v="Operazione per conto di importo elevato per la causale ed il soggetto"/>
    <d v="2025-05-29T00:00:00"/>
    <n v="53850"/>
    <n v="122"/>
    <s v="053850_122"/>
    <s v="Discovery Day"/>
    <s v="Mai valutato"/>
    <m/>
    <n v="202505288018264"/>
    <n v="1223300002128"/>
    <n v="20250528"/>
    <x v="1"/>
    <m/>
    <s v="086 - ITALIA"/>
    <s v="A     - Avere"/>
    <n v="1856796.5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20"/>
    <s v="14"/>
    <s v="Operazione per conto di importo elevato per la causale ed il soggetto"/>
    <d v="2025-05-29T00:00:00"/>
    <n v="53850"/>
    <n v="116"/>
    <s v="053850_116"/>
    <s v="Discovery Day"/>
    <s v="Mai valutato"/>
    <m/>
    <n v="202505288019280"/>
    <n v="2173300010307"/>
    <n v="20250528"/>
    <x v="2"/>
    <m/>
    <m/>
    <s v="D     - Dare"/>
    <n v="4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13"/>
    <s v="14"/>
    <s v="Operazione per conto di importo elevato per la causale ed il soggetto"/>
    <d v="2025-05-29T00:00:00"/>
    <n v="53850"/>
    <n v="175"/>
    <s v="053850_175"/>
    <s v="Discovery Day"/>
    <s v="Mai valutato"/>
    <m/>
    <n v="202505288018359"/>
    <n v="1753302205383"/>
    <n v="20250528"/>
    <x v="1"/>
    <m/>
    <s v="086 - ITALIA"/>
    <s v="A     - Ave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409"/>
    <s v="14"/>
    <s v="Operazione per conto di importo elevato per la causale ed il soggetto"/>
    <d v="2025-05-28T00:00:00"/>
    <n v="53850"/>
    <n v="171"/>
    <s v="053850_171"/>
    <s v="Discovery Day"/>
    <s v="Mai valutato"/>
    <m/>
    <n v="202505288016300"/>
    <n v="1713302214622"/>
    <n v="20250528"/>
    <x v="20"/>
    <m/>
    <m/>
    <s v="D     - Dare"/>
    <n v="350000"/>
    <n v="0"/>
    <n v="4253879"/>
    <s v="DSNVCN58A24D969M"/>
    <s v="DE SANTIS VINCENZO"/>
    <s v="600 - Famiglie consumatrici"/>
    <m/>
    <s v="086 - ITALIA"/>
    <n v="815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20000"/>
    <n v="321500"/>
    <n v="323000"/>
    <n v="324500"/>
    <n v="326000"/>
    <n v="327500"/>
    <n v="329000"/>
    <n v="330500"/>
    <n v="332000"/>
    <n v="333500"/>
    <n v="335000"/>
    <n v="336500"/>
    <n v="338000"/>
    <n v="339500"/>
    <n v="341000"/>
    <n v="342500"/>
    <n v="344000"/>
    <n v="345500"/>
    <n v="347000"/>
    <n v="348500"/>
    <n v="3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08"/>
    <s v="14"/>
    <s v="Operazione per conto di importo elevato per la causale ed il soggetto"/>
    <d v="2025-05-28T00:00:00"/>
    <n v="53850"/>
    <n v="103"/>
    <s v="053850_103"/>
    <s v="Discovery Day"/>
    <s v="Mai valutato"/>
    <m/>
    <n v="202505288016347"/>
    <n v="1033306970929"/>
    <n v="20250528"/>
    <x v="7"/>
    <m/>
    <m/>
    <s v="D     - Dare"/>
    <n v="1706698.81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07"/>
    <s v="14"/>
    <s v="Operazione per conto di importo elevato per la causale ed il soggetto"/>
    <d v="2025-05-28T00:00:00"/>
    <n v="53850"/>
    <n v="190"/>
    <s v="053850_190"/>
    <s v="Discovery Day"/>
    <s v="Mai valutato"/>
    <m/>
    <n v="202505288016311"/>
    <n v="1903300015028"/>
    <n v="20250528"/>
    <x v="20"/>
    <m/>
    <m/>
    <s v="D     - Dare"/>
    <n v="500000"/>
    <n v="0"/>
    <n v="3018135"/>
    <s v="BNRVTI67A19E469T"/>
    <s v="BONORA VITO"/>
    <s v="615 - Altre famiglie produttrici"/>
    <s v="012 - COLTIVAZIONE DI COLTURE PERMANENTI"/>
    <s v="086 - ITALIA"/>
    <n v="828"/>
    <m/>
    <m/>
    <m/>
    <m/>
    <m/>
    <m/>
    <m/>
    <n v="0"/>
    <n v="202505"/>
    <s v="IN VALUTAZIONE RPR"/>
    <x v="1"/>
    <n v="1"/>
    <m/>
    <m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06"/>
    <s v="14"/>
    <s v="Operazione per conto di importo elevato per la causale ed il soggetto"/>
    <d v="2025-05-28T00:00:00"/>
    <n v="53850"/>
    <n v="103"/>
    <s v="053850_103"/>
    <s v="Discovery Day"/>
    <s v="Mai valutato"/>
    <m/>
    <n v="202505288016347"/>
    <n v="1033306970929"/>
    <n v="20250528"/>
    <x v="7"/>
    <m/>
    <m/>
    <s v="D     - Dare"/>
    <n v="1706698.81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05"/>
    <s v="14"/>
    <s v="Operazione per conto di importo elevato per la causale ed il soggetto"/>
    <d v="2025-05-28T00:00:00"/>
    <n v="53850"/>
    <n v="190"/>
    <s v="053850_190"/>
    <s v="Discovery Day"/>
    <s v="Mai valutato"/>
    <m/>
    <n v="202505288016311"/>
    <n v="1903300015028"/>
    <n v="20250528"/>
    <x v="20"/>
    <m/>
    <m/>
    <s v="D     - Dare"/>
    <n v="500000"/>
    <n v="0"/>
    <n v="3018136"/>
    <s v="BNRSFN73D16E469S"/>
    <s v="BONORA STEFANO"/>
    <s v="600 - Famiglie consumatrici"/>
    <m/>
    <s v="086 - ITALIA"/>
    <n v="828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20000"/>
    <n v="321500"/>
    <n v="323000"/>
    <n v="324500"/>
    <n v="326000"/>
    <n v="327500"/>
    <n v="329000"/>
    <n v="330500"/>
    <n v="332000"/>
    <n v="333500"/>
    <n v="335000"/>
    <n v="336500"/>
    <n v="338000"/>
    <n v="339500"/>
    <n v="341000"/>
    <n v="342500"/>
    <n v="344000"/>
    <n v="345500"/>
    <n v="347000"/>
    <n v="348500"/>
    <n v="3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04"/>
    <s v="14"/>
    <s v="Operazione per conto di importo elevato per la causale ed il soggetto"/>
    <d v="2025-05-28T00:00:00"/>
    <n v="53850"/>
    <n v="103"/>
    <s v="053850_103"/>
    <s v="Discovery Day"/>
    <s v="Mai valutato"/>
    <m/>
    <n v="202505288016347"/>
    <n v="1033306970929"/>
    <n v="20250528"/>
    <x v="7"/>
    <m/>
    <m/>
    <s v="D     - Dare"/>
    <n v="1706698.81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03"/>
    <s v="14"/>
    <s v="Operazione per conto di importo elevato per la causale ed il soggetto"/>
    <d v="2025-05-28T00:00:00"/>
    <n v="53850"/>
    <n v="105"/>
    <s v="053850_105"/>
    <s v="Discovery Day"/>
    <s v="Mai valutato"/>
    <m/>
    <n v="202505278017088"/>
    <n v="1053300516650"/>
    <n v="20250527"/>
    <x v="22"/>
    <m/>
    <m/>
    <s v="A     - Avere"/>
    <n v="225000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02"/>
    <s v="14"/>
    <s v="Operazione per conto di importo elevato per la causale ed il soggetto"/>
    <d v="2025-05-28T00:00:00"/>
    <n v="53850"/>
    <n v="110"/>
    <s v="053850_110"/>
    <s v="Discovery Day"/>
    <s v="Mai valutato"/>
    <m/>
    <n v="202505278015854"/>
    <n v="1103306286918"/>
    <n v="20250527"/>
    <x v="1"/>
    <m/>
    <s v="086 - ITALIA"/>
    <s v="A     - Avere"/>
    <n v="377927.89"/>
    <n v="0"/>
    <n v="469616"/>
    <s v="CPNMRA55B67A669N"/>
    <s v="CAPUANO MARIA"/>
    <s v="600 - Famiglie consumatrici"/>
    <m/>
    <s v="086 - ITALIA"/>
    <n v="458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98"/>
    <s v="14"/>
    <s v="Operazione per conto di importo elevato per la causale ed il soggetto"/>
    <d v="2025-05-28T00:00:00"/>
    <n v="53850"/>
    <n v="118"/>
    <s v="053850_118"/>
    <s v="Discovery Day"/>
    <s v="Mai valutato"/>
    <m/>
    <n v="202505278017157"/>
    <n v="1183306280319"/>
    <n v="20250527"/>
    <x v="0"/>
    <m/>
    <m/>
    <s v="D     - Dare"/>
    <n v="21441.7"/>
    <n v="0"/>
    <n v="518647"/>
    <s v="TMBMRA40L51A225G"/>
    <s v="TAMBORRA MARIA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97"/>
    <s v="14"/>
    <s v="Operazione per conto di importo elevato per la causale ed il soggetto"/>
    <d v="2025-05-28T00:00:00"/>
    <n v="53850"/>
    <n v="273"/>
    <s v="053850_273"/>
    <s v="Discovery Day"/>
    <s v="Mai valutato"/>
    <m/>
    <n v="202505278017459"/>
    <n v="2733300010399"/>
    <n v="20250527"/>
    <x v="3"/>
    <m/>
    <s v="086 - ITALIA"/>
    <s v="D     - Dare"/>
    <n v="675717.72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5"/>
    <s v="IN CARICO AL GESTORE"/>
    <x v="1"/>
    <n v="1"/>
    <m/>
    <m/>
    <n v="0"/>
    <n v="412"/>
    <n v="430"/>
    <n v="43041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94"/>
    <s v="14"/>
    <s v="Operazione per conto di importo elevato per la causale ed il soggetto"/>
    <d v="2025-05-28T00:00:00"/>
    <n v="53850"/>
    <n v="187"/>
    <s v="053850_187"/>
    <s v="Discovery Day"/>
    <s v="Mai valutato"/>
    <m/>
    <s v="202505277500727L"/>
    <n v="1873300111323"/>
    <n v="20250527"/>
    <x v="0"/>
    <m/>
    <m/>
    <s v="D     - Dare"/>
    <n v="4885.4399999999996"/>
    <n v="0"/>
    <n v="3743565"/>
    <s v="CVLFNC90R16E205U"/>
    <s v="CAVALLO FRANCESC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91"/>
    <s v="14"/>
    <s v="Operazione per conto di importo elevato per la causale ed il soggetto"/>
    <d v="2025-05-28T00:00:00"/>
    <n v="53850"/>
    <n v="168"/>
    <s v="053850_168"/>
    <s v="Discovery Day"/>
    <s v="Mai valutato"/>
    <m/>
    <n v="202505278015403"/>
    <n v="1683306274827"/>
    <n v="20250527"/>
    <x v="10"/>
    <m/>
    <m/>
    <s v="A     - Avere"/>
    <n v="189076.79"/>
    <n v="0"/>
    <n v="4143678"/>
    <s v="DMTTZN67D69L682B"/>
    <s v="DE MATTIA TIZIANA"/>
    <s v="600 - Famiglie consumatrici"/>
    <m/>
    <s v="086 - ITALIA"/>
    <n v="13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86"/>
    <s v="14"/>
    <s v="Operazione per conto di importo elevato per la causale ed il soggetto"/>
    <d v="2025-05-28T00:00:00"/>
    <n v="53850"/>
    <n v="200"/>
    <s v="053850_200"/>
    <s v="Discovery Day"/>
    <s v="Mai valutato"/>
    <m/>
    <n v="202505278015142"/>
    <n v="2003300002517"/>
    <n v="20250527"/>
    <x v="1"/>
    <m/>
    <s v="086 - ITALIA"/>
    <s v="A     - Avere"/>
    <n v="914775.13"/>
    <n v="0"/>
    <n v="4808884"/>
    <n v="2094150683"/>
    <s v="DI GIAMPAOLO S.R.L."/>
    <s v="430 - Imprese produttive"/>
    <s v="433 - COMPLETAMENTO E FINITURA DI EDIFICI"/>
    <s v="086 - ITALIA"/>
    <n v="1767"/>
    <m/>
    <m/>
    <m/>
    <m/>
    <m/>
    <m/>
    <m/>
    <n v="0"/>
    <n v="202505"/>
    <s v="ARCHIVIATA"/>
    <x v="0"/>
    <n v="1"/>
    <m/>
    <m/>
    <n v="0"/>
    <n v="433"/>
    <n v="430"/>
    <n v="430433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83"/>
    <s v="14"/>
    <s v="Operazione per conto di importo elevato per la causale ed il soggetto"/>
    <d v="2025-05-28T00:00:00"/>
    <n v="53850"/>
    <n v="270"/>
    <s v="053850_270"/>
    <s v="Discovery Day"/>
    <s v="Mai valutato"/>
    <m/>
    <n v="202505278017439"/>
    <n v="2703300002366"/>
    <n v="20250527"/>
    <x v="22"/>
    <m/>
    <m/>
    <s v="A     - Avere"/>
    <n v="200000"/>
    <n v="0"/>
    <n v="1679865"/>
    <s v="DGRGNN46L06L263T"/>
    <s v="DI GIROLAMO GIOVANNI"/>
    <s v="600 - Famiglie consumatrici"/>
    <m/>
    <s v="086 - ITALIA"/>
    <n v="1803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82"/>
    <s v="14"/>
    <s v="Operazione per conto di importo elevato per la causale ed il soggetto"/>
    <d v="2025-05-28T00:00:00"/>
    <n v="53850"/>
    <n v="187"/>
    <s v="053850_187"/>
    <s v="Discovery Day"/>
    <s v="Mai valutato"/>
    <m/>
    <s v="202505277500727L"/>
    <n v="1873300111323"/>
    <n v="20250527"/>
    <x v="0"/>
    <m/>
    <m/>
    <s v="D     - Dare"/>
    <n v="4885.4399999999996"/>
    <n v="0"/>
    <n v="3185415"/>
    <s v="PTRNNA69R50L219J"/>
    <s v="PETRUZZI ANN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81"/>
    <s v="14"/>
    <s v="Operazione per conto di importo elevato per la causale ed il soggetto"/>
    <d v="2025-05-28T00:00:00"/>
    <n v="53850"/>
    <n v="268"/>
    <s v="053850_268"/>
    <s v="Discovery Day"/>
    <s v="Mai valutato"/>
    <m/>
    <n v="202505278017416"/>
    <n v="2683300003796"/>
    <n v="20250527"/>
    <x v="22"/>
    <m/>
    <m/>
    <s v="A     - Avere"/>
    <n v="160000"/>
    <n v="0"/>
    <n v="1644839"/>
    <s v="LCNLSN01B11F537Z"/>
    <s v="LUCIANO ALESSANDRO FRANCESCO"/>
    <s v="600 - Famiglie consumatrici"/>
    <m/>
    <s v="086 - ITALIA"/>
    <n v="183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79"/>
    <s v="14"/>
    <s v="Operazione per conto di importo elevato per la causale ed il soggetto"/>
    <d v="2025-05-28T00:00:00"/>
    <n v="53850"/>
    <n v="116"/>
    <s v="053850_116"/>
    <s v="Discovery Day"/>
    <s v="Mai valutato"/>
    <m/>
    <n v="202505278015455"/>
    <n v="2173300010307"/>
    <n v="20250527"/>
    <x v="1"/>
    <m/>
    <s v="086 - ITALIA"/>
    <s v="A     - Avere"/>
    <n v="11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76"/>
    <s v="14"/>
    <s v="Operazione per conto di importo elevato per la causale ed il soggetto"/>
    <d v="2025-05-28T00:00:00"/>
    <n v="53850"/>
    <n v="187"/>
    <s v="053850_187"/>
    <s v="Discovery Day"/>
    <s v="Mai valutato"/>
    <m/>
    <s v="202505277500727L"/>
    <n v="1873300111323"/>
    <n v="20250527"/>
    <x v="0"/>
    <m/>
    <m/>
    <s v="D     - Dare"/>
    <n v="4885.4399999999996"/>
    <n v="0"/>
    <n v="3743562"/>
    <s v="RGNLCN60T21L049B"/>
    <s v="RAGNATELA LUCIAN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74"/>
    <s v="14"/>
    <s v="Operazione per conto di importo elevato per la causale ed il soggetto"/>
    <d v="2025-05-28T00:00:00"/>
    <n v="53850"/>
    <n v="116"/>
    <s v="053850_116"/>
    <s v="Discovery Day"/>
    <s v="Mai valutato"/>
    <m/>
    <n v="202505278014986"/>
    <n v="2173300010307"/>
    <n v="20250527"/>
    <x v="1"/>
    <m/>
    <s v="086 - ITALIA"/>
    <s v="A     - Avere"/>
    <n v="29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368"/>
    <s v="14"/>
    <s v="Operazione per conto di importo elevato per la causale ed il soggetto"/>
    <d v="2025-05-27T00:00:00"/>
    <n v="53850"/>
    <n v="102"/>
    <s v="053850_102"/>
    <s v="Discovery Day"/>
    <s v="Mai valutato"/>
    <m/>
    <s v="202505267434058L"/>
    <n v="1023308724410"/>
    <n v="20250526"/>
    <x v="0"/>
    <m/>
    <m/>
    <s v="D     - Dare"/>
    <n v="2739.9"/>
    <n v="0"/>
    <n v="528970"/>
    <s v="LDCMRA31R70A225Y"/>
    <s v="LOIUDICE MARIA"/>
    <s v="600 - Famiglie consumatrici"/>
    <m/>
    <s v="086 - ITALIA"/>
    <n v="638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366"/>
    <s v="14"/>
    <s v="Operazione per conto di importo elevato per la causale ed il soggetto"/>
    <d v="2025-05-27T00:00:00"/>
    <n v="53850"/>
    <n v="111"/>
    <s v="053850_111"/>
    <s v="Discovery Day"/>
    <s v="Mai valutato"/>
    <m/>
    <n v="202505268013858"/>
    <n v="1113302814198"/>
    <n v="20250526"/>
    <x v="0"/>
    <m/>
    <m/>
    <s v="D     - Dare"/>
    <n v="11112.61"/>
    <n v="0"/>
    <n v="520760"/>
    <s v="PCANCL49A06E326T"/>
    <s v="PACE NICOLA"/>
    <s v="600 - Famiglie consumatrici"/>
    <m/>
    <s v="086 - ITALIA"/>
    <n v="44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65"/>
    <s v="14"/>
    <s v="Operazione per conto di importo elevato per la causale ed il soggetto"/>
    <d v="2025-05-27T00:00:00"/>
    <n v="53850"/>
    <n v="277"/>
    <s v="053850_277"/>
    <s v="Discovery Day"/>
    <s v="Mai valutato"/>
    <m/>
    <n v="202505268014273"/>
    <n v="2773300000981"/>
    <n v="20250526"/>
    <x v="0"/>
    <m/>
    <m/>
    <s v="D     - Dare"/>
    <n v="8094.28"/>
    <n v="0"/>
    <n v="1676767"/>
    <s v="FBRLLN67M58A485O"/>
    <s v="FABRIZIO ELISA ELENA"/>
    <s v="600 - Famiglie consumatrici"/>
    <m/>
    <s v="086 - ITALIA"/>
    <n v="179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363"/>
    <s v="14"/>
    <s v="Operazione per conto di importo elevato per la causale ed il soggetto"/>
    <d v="2025-05-27T00:00:00"/>
    <n v="53850"/>
    <n v="103"/>
    <s v="053850_103"/>
    <s v="Discovery Day"/>
    <s v="Mai valutato"/>
    <m/>
    <n v="202505268013774"/>
    <n v="1035500408029"/>
    <n v="20250526"/>
    <x v="18"/>
    <m/>
    <m/>
    <s v="D     - Dare"/>
    <n v="251379.54"/>
    <n v="0"/>
    <n v="4100632"/>
    <s v="MNFNNA72H68Z614G"/>
    <s v="MANFREDI ANNA"/>
    <s v="615 - Altre famiglie produttrici"/>
    <s v="477 - COMMERCIO AL DETTAGLIO DI ALTRI PRODOTTI IN ESERCIZI SPECIALIZZATI"/>
    <s v="086 - ITALIA"/>
    <n v="995"/>
    <m/>
    <m/>
    <m/>
    <m/>
    <m/>
    <m/>
    <m/>
    <n v="0"/>
    <n v="202505"/>
    <s v="IN CARICO AL GESTORE"/>
    <x v="1"/>
    <n v="1"/>
    <m/>
    <m/>
    <n v="0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62"/>
    <s v="14"/>
    <s v="Operazione per conto di importo elevato per la causale ed il soggetto"/>
    <d v="2025-05-27T00:00:00"/>
    <n v="53850"/>
    <n v="187"/>
    <s v="053850_187"/>
    <s v="Discovery Day"/>
    <s v="Mai valutato"/>
    <m/>
    <n v="202505268011589"/>
    <n v="999361870311"/>
    <n v="20250526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61"/>
    <s v="14"/>
    <s v="Operazione per conto di importo elevato per la causale ed il soggetto"/>
    <d v="2025-05-27T00:00:00"/>
    <n v="53850"/>
    <n v="111"/>
    <s v="053850_111"/>
    <s v="Discovery Day"/>
    <s v="Mai valutato"/>
    <m/>
    <n v="202505268013858"/>
    <n v="1113302814198"/>
    <n v="20250526"/>
    <x v="0"/>
    <m/>
    <m/>
    <s v="D     - Dare"/>
    <n v="11112.61"/>
    <n v="0"/>
    <n v="520852"/>
    <s v="LLCMRC56P64E326D"/>
    <s v="LOLAICO MARIA ARCANGELA"/>
    <s v="600 - Famiglie consumatrici"/>
    <m/>
    <s v="086 - ITALIA"/>
    <n v="44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59"/>
    <s v="14"/>
    <s v="Operazione per conto di importo elevato per la causale ed il soggetto"/>
    <d v="2025-05-27T00:00:00"/>
    <n v="53850"/>
    <n v="104"/>
    <s v="053850_104"/>
    <s v="Discovery Day"/>
    <s v="Mai valutato"/>
    <m/>
    <n v="202505268012099"/>
    <n v="1043301450145"/>
    <n v="20250526"/>
    <x v="1"/>
    <m/>
    <s v="086 - ITALIA"/>
    <s v="A     - Avere"/>
    <n v="827713.75"/>
    <n v="0"/>
    <n v="4903762"/>
    <n v="8138460723"/>
    <s v="CORBUILD SOCIETA' A RESPONSABILITA' LIMITATA"/>
    <s v="430 - Imprese produttive"/>
    <s v="412 - COSTRUZIONE DI EDIFICI RESIDENZIALI E NON RESIDENZIALI"/>
    <s v="086 - ITALIA"/>
    <n v="1696"/>
    <m/>
    <m/>
    <m/>
    <m/>
    <m/>
    <m/>
    <m/>
    <n v="0"/>
    <n v="202505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54"/>
    <s v="14"/>
    <s v="Operazione per conto di importo elevato per la causale ed il soggetto"/>
    <d v="2025-05-27T00:00:00"/>
    <n v="53850"/>
    <n v="200"/>
    <s v="053850_200"/>
    <s v="Discovery Day"/>
    <s v="Mai valutato"/>
    <m/>
    <n v="202505268012515"/>
    <n v="2003300003846"/>
    <n v="20250526"/>
    <x v="1"/>
    <m/>
    <s v="086 - ITALIA"/>
    <s v="A     - Avere"/>
    <n v="295000"/>
    <n v="0"/>
    <n v="3742834"/>
    <s v="MRNFBN76S13E058P"/>
    <s v="MARINI FABIANO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353"/>
    <s v="14"/>
    <s v="Operazione per conto di importo elevato per la causale ed il soggetto"/>
    <d v="2025-05-27T00:00:00"/>
    <n v="53850"/>
    <n v="200"/>
    <s v="053850_200"/>
    <s v="Discovery Day"/>
    <s v="Mai valutato"/>
    <m/>
    <n v="202505268012515"/>
    <n v="2003300003846"/>
    <n v="20250526"/>
    <x v="1"/>
    <m/>
    <s v="086 - ITALIA"/>
    <s v="A     - Avere"/>
    <n v="295000"/>
    <n v="0"/>
    <n v="3742853"/>
    <s v="FNCTNA71L63Z614Z"/>
    <s v="FINOCCHIO TANIA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352"/>
    <s v="14"/>
    <s v="Operazione per conto di importo elevato per la causale ed il soggetto"/>
    <d v="2025-05-27T00:00:00"/>
    <n v="53850"/>
    <n v="200"/>
    <s v="053850_200"/>
    <s v="Discovery Day"/>
    <s v="Mai valutato"/>
    <m/>
    <n v="202505268014187"/>
    <n v="2003300003805"/>
    <n v="20250526"/>
    <x v="3"/>
    <m/>
    <s v="086 - ITALIA"/>
    <s v="D     - Dare"/>
    <n v="250000"/>
    <n v="0"/>
    <n v="3738733"/>
    <s v="CFLNNT82B41A783T"/>
    <s v="CIFELLI ANTONIETTA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41"/>
    <s v="14"/>
    <s v="Operazione per conto di importo elevato per la causale ed il soggetto"/>
    <d v="2025-05-27T00:00:00"/>
    <n v="53850"/>
    <n v="200"/>
    <s v="053850_200"/>
    <s v="Discovery Day"/>
    <s v="Mai valutato"/>
    <m/>
    <n v="202505268014187"/>
    <n v="2003300003805"/>
    <n v="20250526"/>
    <x v="3"/>
    <m/>
    <s v="086 - ITALIA"/>
    <s v="D     - Dare"/>
    <n v="250000"/>
    <n v="0"/>
    <n v="3738734"/>
    <s v="SPNMSM70B28G482T"/>
    <s v="SPINOZZI MASSIMILIANO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37"/>
    <s v="14"/>
    <s v="Operazione per conto di importo elevato per la causale ed il soggetto"/>
    <d v="2025-05-27T00:00:00"/>
    <n v="53850"/>
    <n v="286"/>
    <s v="053850_286"/>
    <s v="Discovery Day"/>
    <s v="Mai valutato"/>
    <m/>
    <n v="202505268012474"/>
    <n v="2863300000284"/>
    <n v="20250526"/>
    <x v="1"/>
    <m/>
    <s v="086 - ITALIA"/>
    <s v="A     - Avere"/>
    <n v="1967111.99"/>
    <n v="0"/>
    <n v="1604848"/>
    <n v="80000480691"/>
    <s v="TRIBUNALE DI CHIETI"/>
    <s v="102 - Amministrazione Statale e Organi Costituzionali"/>
    <s v="842 - SERVIZI COLLETTIVI DELLE AMMINISTRAZIONI PUBBLICHE"/>
    <s v="086 - ITALIA"/>
    <n v="1935"/>
    <m/>
    <m/>
    <m/>
    <m/>
    <m/>
    <m/>
    <m/>
    <n v="0"/>
    <n v="202505"/>
    <s v="ARCHIVIATA"/>
    <x v="0"/>
    <n v="1"/>
    <m/>
    <m/>
    <n v="0"/>
    <n v="999"/>
    <n v="102"/>
    <n v="102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332"/>
    <s v="14"/>
    <s v="Operazione per conto di importo elevato per la causale ed il soggetto"/>
    <d v="2025-05-27T00:00:00"/>
    <n v="53850"/>
    <n v="187"/>
    <s v="053850_187"/>
    <s v="Discovery Day"/>
    <s v="Mai valutato"/>
    <m/>
    <n v="202505268011218"/>
    <n v="999361870311"/>
    <n v="20250526"/>
    <x v="8"/>
    <m/>
    <m/>
    <s v="D     - Dare"/>
    <n v="1240852.879999999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240852.8799999999"/>
    <n v="1244221.3400000001"/>
    <n v="1247589.8"/>
    <n v="1250958.26"/>
    <n v="1254326.72"/>
    <n v="1257695.18"/>
    <n v="1261063.6399999999"/>
    <n v="1264432.1000000001"/>
    <n v="1267800.56"/>
    <n v="1271169.02"/>
    <n v="1274537.48"/>
    <n v="1274854.3959999999"/>
    <n v="1275171.3119999999"/>
    <n v="1275488.2279999999"/>
    <n v="1275805.1440000001"/>
    <n v="1276122.06"/>
    <n v="1276438.976"/>
    <n v="1276755.892"/>
    <n v="1277072.808"/>
    <n v="1277389.7239999999"/>
    <n v="1277706.63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7"/>
    <s v="14"/>
    <s v="Operazione per conto di importo elevato per la causale ed il soggetto"/>
    <d v="2025-05-27T00:00:00"/>
    <n v="53850"/>
    <n v="277"/>
    <s v="053850_277"/>
    <s v="Discovery Day"/>
    <s v="Mai valutato"/>
    <m/>
    <n v="202505268014273"/>
    <n v="2773300000981"/>
    <n v="20250526"/>
    <x v="0"/>
    <m/>
    <m/>
    <s v="D     - Dare"/>
    <n v="8094.28"/>
    <n v="0"/>
    <n v="1676766"/>
    <s v="BCCCMN59A17L218N"/>
    <s v="BOCCHINI CARMINE ANTONIO"/>
    <s v="600 - Famiglie consumatrici"/>
    <m/>
    <s v="086 - ITALIA"/>
    <n v="179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325"/>
    <s v="14"/>
    <s v="Operazione per conto di importo elevato per la causale ed il soggetto"/>
    <d v="2025-05-24T00:00:00"/>
    <n v="53850"/>
    <n v="226"/>
    <s v="053850_226"/>
    <s v="Discovery Day"/>
    <s v="Mai valutato"/>
    <m/>
    <n v="202505268005859"/>
    <n v="2265500010051"/>
    <n v="20250526"/>
    <x v="19"/>
    <m/>
    <m/>
    <s v="A     - Avere"/>
    <n v="151048"/>
    <n v="0"/>
    <n v="616022"/>
    <s v="LCNNCL57L02L328T"/>
    <s v="LOCONTE NICOLA"/>
    <s v="600 - Famiglie consumatrici"/>
    <m/>
    <s v="086 - ITALIA"/>
    <n v="1395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4"/>
    <s v="14"/>
    <s v="Operazione per conto di importo elevato per la causale ed il soggetto"/>
    <d v="2025-05-24T00:00:00"/>
    <n v="53850"/>
    <n v="114"/>
    <s v="053850_114"/>
    <s v="Discovery Day"/>
    <s v="Mai valutato"/>
    <m/>
    <n v="202505268005702"/>
    <n v="1143306278589"/>
    <n v="20250526"/>
    <x v="21"/>
    <m/>
    <m/>
    <s v="A     - Avere"/>
    <n v="4027998"/>
    <n v="0"/>
    <n v="4175755"/>
    <s v="PTTLMP50S41I158L"/>
    <s v="PETITTI OLIMPIA"/>
    <s v="600 - Famiglie consumatrici"/>
    <m/>
    <s v="086 - ITALIA"/>
    <n v="80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23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30"/>
    <n v="1035500408053"/>
    <n v="20250526"/>
    <x v="21"/>
    <m/>
    <m/>
    <s v="A     - Avere"/>
    <n v="3020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2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29"/>
    <n v="1035500408053"/>
    <n v="20250526"/>
    <x v="19"/>
    <m/>
    <m/>
    <s v="A     - Avere"/>
    <n v="3020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21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01"/>
    <n v="1823300167713"/>
    <n v="20250526"/>
    <x v="21"/>
    <m/>
    <m/>
    <s v="A     - Avere"/>
    <n v="302098"/>
    <n v="0"/>
    <n v="599131"/>
    <s v="BRNCST82R54L049U"/>
    <s v="BERNARDINI CRISTIN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0"/>
    <s v="14"/>
    <s v="Operazione per conto di importo elevato per la causale ed il soggetto"/>
    <d v="2025-05-24T00:00:00"/>
    <n v="53850"/>
    <n v="273"/>
    <s v="053850_273"/>
    <s v="Discovery Day"/>
    <s v="Mai valutato"/>
    <m/>
    <n v="202505268005902"/>
    <n v="2733300002410"/>
    <n v="20250526"/>
    <x v="21"/>
    <m/>
    <m/>
    <s v="A     - Avere"/>
    <n v="528675"/>
    <n v="0"/>
    <n v="1664632"/>
    <s v="TTVMRZ71E02E372N"/>
    <s v="OTTAVIANO MAURIZIO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19"/>
    <s v="14"/>
    <s v="Operazione per conto di importo elevato per la causale ed il soggetto"/>
    <d v="2025-05-24T00:00:00"/>
    <n v="53850"/>
    <n v="273"/>
    <s v="053850_273"/>
    <s v="Discovery Day"/>
    <s v="Mai valutato"/>
    <m/>
    <n v="202505268005902"/>
    <n v="2733300002410"/>
    <n v="20250526"/>
    <x v="21"/>
    <m/>
    <m/>
    <s v="A     - Avere"/>
    <n v="528675"/>
    <n v="0"/>
    <n v="1673302"/>
    <s v="MNCDBR75E54F839T"/>
    <s v="MONACO DEBORA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18"/>
    <s v="14"/>
    <s v="Operazione per conto di importo elevato per la causale ed il soggetto"/>
    <d v="2025-05-24T00:00:00"/>
    <n v="53850"/>
    <n v="114"/>
    <s v="053850_114"/>
    <s v="Discovery Day"/>
    <s v="Mai valutato"/>
    <m/>
    <n v="202505268005702"/>
    <n v="1143306278589"/>
    <n v="20250526"/>
    <x v="21"/>
    <m/>
    <m/>
    <s v="A     - Avere"/>
    <n v="4027998"/>
    <n v="0"/>
    <n v="4096156"/>
    <s v="TRLMTT49B09I054M"/>
    <s v="TORELLI MATTEO"/>
    <s v="600 - Famiglie consumatrici"/>
    <m/>
    <s v="086 - ITALIA"/>
    <n v="80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17"/>
    <s v="14"/>
    <s v="Operazione per conto di importo elevato per la causale ed il soggetto"/>
    <d v="2025-05-24T00:00:00"/>
    <n v="53850"/>
    <n v="188"/>
    <s v="053850_188"/>
    <s v="Discovery Day"/>
    <s v="Mai valutato"/>
    <m/>
    <n v="202505268005825"/>
    <n v="1883300130370"/>
    <n v="20250526"/>
    <x v="21"/>
    <m/>
    <m/>
    <s v="A     - Avere"/>
    <n v="503498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s v="ARCHIVIATA"/>
    <x v="0"/>
    <n v="1"/>
    <m/>
    <m/>
    <n v="0"/>
    <n v="477"/>
    <n v="615"/>
    <n v="615477"/>
    <s v="Classe di rischio 6"/>
    <m/>
    <x v="6"/>
    <n v="199998"/>
    <n v="215173"/>
    <n v="230348"/>
    <n v="245523"/>
    <n v="260698"/>
    <n v="275873"/>
    <n v="291048"/>
    <n v="306223"/>
    <n v="321398"/>
    <n v="336573"/>
    <n v="351748"/>
    <n v="366923"/>
    <n v="382098"/>
    <n v="397273"/>
    <n v="412448"/>
    <n v="427623"/>
    <n v="442798"/>
    <n v="457973"/>
    <n v="473148"/>
    <n v="488323"/>
    <n v="5034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16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13"/>
    <n v="1825502404908"/>
    <n v="20250526"/>
    <x v="19"/>
    <m/>
    <m/>
    <s v="A     - Avere"/>
    <n v="201398"/>
    <n v="0"/>
    <n v="3000573"/>
    <s v="PGNCNZ70A48L049Y"/>
    <s v="PIGNATELLI CINZIA"/>
    <s v="600 - Famiglie consumatrici"/>
    <m/>
    <s v="086 - ITALIA"/>
    <n v="67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5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03"/>
    <n v="1033301057030"/>
    <n v="20250526"/>
    <x v="21"/>
    <m/>
    <m/>
    <s v="A     - Avere"/>
    <n v="402798"/>
    <n v="0"/>
    <n v="105703"/>
    <s v="CLSMHL58T07E155M"/>
    <s v="COLASANTI MICHELE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4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09"/>
    <n v="1825502403124"/>
    <n v="20250526"/>
    <x v="19"/>
    <m/>
    <m/>
    <s v="A     - Avere"/>
    <n v="151048"/>
    <n v="0"/>
    <n v="3000579"/>
    <s v="PGNGDE68A07L049U"/>
    <s v="PIGNATELLI EGIDIO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3"/>
    <s v="14"/>
    <s v="Operazione per conto di importo elevato per la causale ed il soggetto"/>
    <d v="2025-05-24T00:00:00"/>
    <n v="53850"/>
    <n v="226"/>
    <s v="053850_226"/>
    <s v="Discovery Day"/>
    <s v="Mai valutato"/>
    <m/>
    <n v="202505268005859"/>
    <n v="2265500010051"/>
    <n v="20250526"/>
    <x v="19"/>
    <m/>
    <m/>
    <s v="A     - Avere"/>
    <n v="151048"/>
    <n v="0"/>
    <n v="4503929"/>
    <s v="DRGSVN59H63L328P"/>
    <s v="DRAGONETTI SAVINA"/>
    <s v="600 - Famiglie consumatrici"/>
    <m/>
    <s v="086 - ITALIA"/>
    <n v="1395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2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27"/>
    <n v="1035500408053"/>
    <n v="20250526"/>
    <x v="19"/>
    <m/>
    <m/>
    <s v="A     - Avere"/>
    <n v="2499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311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13"/>
    <n v="1825502404908"/>
    <n v="20250526"/>
    <x v="19"/>
    <m/>
    <m/>
    <s v="A     - Avere"/>
    <n v="201398"/>
    <n v="0"/>
    <n v="3000579"/>
    <s v="PGNGDE68A07L049U"/>
    <s v="PIGNATELLI EGIDIO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0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794"/>
    <n v="1823300017474"/>
    <n v="20250526"/>
    <x v="21"/>
    <m/>
    <m/>
    <s v="A     - Avere"/>
    <n v="906298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309"/>
    <s v="14"/>
    <s v="Operazione per conto di importo elevato per la causale ed il soggetto"/>
    <d v="2025-05-24T00:00:00"/>
    <n v="53850"/>
    <n v="182"/>
    <s v="053850_182"/>
    <s v="Discovery Day"/>
    <s v="Mai valutato"/>
    <m/>
    <n v="202505238005231"/>
    <n v="1823300172332"/>
    <n v="20250523"/>
    <x v="1"/>
    <m/>
    <s v="086 - ITALIA"/>
    <s v="A     - Avere"/>
    <n v="223136.7"/>
    <n v="0"/>
    <n v="4778753"/>
    <s v="ZZLLSN93R60L049I"/>
    <s v="AZZOLLINI ALESSANDR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08"/>
    <s v="14"/>
    <s v="Operazione per conto di importo elevato per la causale ed il soggetto"/>
    <d v="2025-05-24T00:00:00"/>
    <n v="53850"/>
    <n v="102"/>
    <s v="053850_102"/>
    <s v="Discovery Day"/>
    <s v="Mai valutato"/>
    <m/>
    <n v="202505238004809"/>
    <n v="1023308726073"/>
    <n v="20250523"/>
    <x v="1"/>
    <m/>
    <s v="086 - ITALIA"/>
    <s v="A     - Avere"/>
    <n v="830379.9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05"/>
    <s v="14"/>
    <s v="Operazione per conto di importo elevato per la causale ed il soggetto"/>
    <d v="2025-05-24T00:00:00"/>
    <n v="53850"/>
    <n v="182"/>
    <s v="053850_182"/>
    <s v="Discovery Day"/>
    <s v="Mai valutato"/>
    <m/>
    <n v="202505238005231"/>
    <n v="1823300172332"/>
    <n v="20250523"/>
    <x v="1"/>
    <m/>
    <s v="086 - ITALIA"/>
    <s v="A     - Avere"/>
    <n v="223136.7"/>
    <n v="0"/>
    <n v="3032172"/>
    <s v="LVRNNA54C57L049R"/>
    <s v="OLIVIERI ANN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99"/>
    <s v="14"/>
    <s v="Operazione per conto di importo elevato per la causale ed il soggetto"/>
    <d v="2025-05-24T00:00:00"/>
    <n v="53850"/>
    <n v="277"/>
    <s v="053850_277"/>
    <s v="Discovery Day"/>
    <s v="Mai valutato"/>
    <m/>
    <s v="202505237390665L"/>
    <n v="2773300001134"/>
    <n v="20250523"/>
    <x v="0"/>
    <m/>
    <m/>
    <s v="D     - Dare"/>
    <n v="1646.54"/>
    <n v="0"/>
    <n v="1676787"/>
    <s v="PRSMNG69T52E435R"/>
    <s v="PERSICHITTI MARINA GABRIELLA"/>
    <s v="600 - Famiglie consumatrici"/>
    <m/>
    <s v="086 - ITALIA"/>
    <n v="179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298"/>
    <s v="14"/>
    <s v="Operazione per conto di importo elevato per la causale ed il soggetto"/>
    <d v="2025-05-24T00:00:00"/>
    <n v="53850"/>
    <n v="105"/>
    <s v="053850_105"/>
    <s v="Discovery Day"/>
    <s v="Mai valutato"/>
    <m/>
    <n v="202505238004934"/>
    <n v="1053306287087"/>
    <n v="20250523"/>
    <x v="1"/>
    <m/>
    <s v="086 - ITALIA"/>
    <s v="A     - Avere"/>
    <n v="231556.77"/>
    <n v="0"/>
    <n v="454750"/>
    <s v="MNCGNN73D20E038C"/>
    <s v="MANCINO GIOVANNI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97"/>
    <s v="14"/>
    <s v="Operazione per conto di importo elevato per la causale ed il soggetto"/>
    <d v="2025-05-24T00:00:00"/>
    <n v="53850"/>
    <n v="149"/>
    <s v="053850_149"/>
    <s v="Discovery Day"/>
    <s v="Mai valutato"/>
    <m/>
    <n v="202505238006665"/>
    <n v="1493303650760"/>
    <n v="20250523"/>
    <x v="0"/>
    <m/>
    <m/>
    <s v="D     - Dare"/>
    <n v="134330.78"/>
    <n v="0"/>
    <n v="2003192"/>
    <s v="PTRGLD26S43Z326W"/>
    <s v="PETRUZZI GILDA"/>
    <s v="600 - Famiglie consumatrici"/>
    <m/>
    <s v="086 - ITALIA"/>
    <n v="123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96"/>
    <s v="14"/>
    <s v="Operazione per conto di importo elevato per la causale ed il soggetto"/>
    <d v="2025-05-24T00:00:00"/>
    <n v="53850"/>
    <n v="196"/>
    <s v="053850_196"/>
    <s v="Discovery Day"/>
    <s v="Mai valutato"/>
    <m/>
    <n v="202505238006368"/>
    <n v="1963302354092"/>
    <n v="20250523"/>
    <x v="6"/>
    <m/>
    <m/>
    <s v="D     - Dare"/>
    <n v="250000"/>
    <n v="0"/>
    <n v="4922081"/>
    <s v="RNLLGU45M03C514F"/>
    <s v="RINALDI LUIGI"/>
    <s v="600 - Famiglie consumatrici"/>
    <m/>
    <s v="086 - ITALIA"/>
    <n v="878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295"/>
    <s v="14"/>
    <s v="Operazione per conto di importo elevato per la causale ed il soggetto"/>
    <d v="2025-05-24T00:00:00"/>
    <n v="53850"/>
    <n v="187"/>
    <s v="053850_187"/>
    <s v="Discovery Day"/>
    <s v="Mai valutato"/>
    <m/>
    <n v="202505238004297"/>
    <n v="999361870311"/>
    <n v="20250523"/>
    <x v="3"/>
    <m/>
    <s v="086 - ITALIA"/>
    <s v="D     - Dare"/>
    <n v="1140733.72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93"/>
    <s v="14"/>
    <s v="Operazione per conto di importo elevato per la causale ed il soggetto"/>
    <d v="2025-05-24T00:00:00"/>
    <n v="53850"/>
    <n v="105"/>
    <s v="053850_105"/>
    <s v="Discovery Day"/>
    <s v="Mai valutato"/>
    <m/>
    <n v="202505238006528"/>
    <n v="1053306288710"/>
    <n v="20250523"/>
    <x v="22"/>
    <m/>
    <m/>
    <s v="A     - Avere"/>
    <n v="3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92"/>
    <s v="14"/>
    <s v="Operazione per conto di importo elevato per la causale ed il soggetto"/>
    <d v="2025-05-24T00:00:00"/>
    <n v="53850"/>
    <n v="171"/>
    <s v="053850_171"/>
    <s v="Discovery Day"/>
    <s v="Mai valutato"/>
    <m/>
    <n v="202505238005359"/>
    <n v="1713302214622"/>
    <n v="20250523"/>
    <x v="1"/>
    <m/>
    <s v="086 - ITALIA"/>
    <s v="A     - Avere"/>
    <n v="356502.93"/>
    <n v="0"/>
    <n v="4253879"/>
    <s v="DSNVCN58A24D969M"/>
    <s v="DE SANTIS VINCENZO"/>
    <s v="600 - Famiglie consumatrici"/>
    <m/>
    <s v="086 - ITALIA"/>
    <n v="815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290"/>
    <s v="14"/>
    <s v="Operazione per conto di importo elevato per la causale ed il soggetto"/>
    <d v="2025-05-24T00:00:00"/>
    <n v="53850"/>
    <n v="196"/>
    <s v="053850_196"/>
    <s v="Discovery Day"/>
    <s v="Mai valutato"/>
    <m/>
    <n v="202505238006368"/>
    <n v="1963302354092"/>
    <n v="20250523"/>
    <x v="6"/>
    <m/>
    <m/>
    <s v="D     - Dare"/>
    <n v="250000"/>
    <n v="0"/>
    <n v="4922085"/>
    <s v="DMBVCN42M49L219U"/>
    <s v="D'AMBROSIO VINCENZINA"/>
    <s v="600 - Famiglie consumatrici"/>
    <m/>
    <s v="086 - ITALIA"/>
    <n v="878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282"/>
    <s v="14"/>
    <s v="Operazione per conto di importo elevato per la causale ed il soggetto"/>
    <d v="2025-05-24T00:00:00"/>
    <n v="53850"/>
    <n v="105"/>
    <s v="053850_105"/>
    <s v="Discovery Day"/>
    <s v="Mai valutato"/>
    <m/>
    <n v="202505238004934"/>
    <n v="1053306287087"/>
    <n v="20250523"/>
    <x v="1"/>
    <m/>
    <s v="086 - ITALIA"/>
    <s v="A     - Avere"/>
    <n v="231556.77"/>
    <n v="0"/>
    <n v="4328851"/>
    <s v="CLZVNC74H44C136X"/>
    <s v="COLIZZI VERONIC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79"/>
    <s v="14"/>
    <s v="Operazione per conto di importo elevato per la causale ed il soggetto"/>
    <d v="2025-05-24T00:00:00"/>
    <n v="53850"/>
    <n v="175"/>
    <s v="053850_175"/>
    <s v="Discovery Day"/>
    <s v="Mai valutato"/>
    <m/>
    <n v="202505238006747"/>
    <n v="1753302205383"/>
    <n v="20250523"/>
    <x v="3"/>
    <m/>
    <s v="086 - ITALIA"/>
    <s v="D     - Da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75"/>
    <s v="14"/>
    <s v="Operazione per conto di importo elevato per la causale ed il soggetto"/>
    <d v="2025-05-24T00:00:00"/>
    <n v="53850"/>
    <n v="277"/>
    <s v="053850_277"/>
    <s v="Discovery Day"/>
    <s v="Mai valutato"/>
    <m/>
    <s v="202505237390665L"/>
    <n v="2773300001134"/>
    <n v="20250523"/>
    <x v="0"/>
    <m/>
    <m/>
    <s v="D     - Dare"/>
    <n v="1646.54"/>
    <n v="0"/>
    <n v="1677157"/>
    <s v="PRSDDR35E69L218N"/>
    <s v="PRESENZA DESIDERIA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273"/>
    <s v="14"/>
    <s v="Operazione per conto di importo elevato per la causale ed il soggetto"/>
    <d v="2025-05-23T00:00:00"/>
    <n v="53850"/>
    <n v="108"/>
    <s v="053850_108"/>
    <s v="Discovery Day"/>
    <s v="Mai valutato"/>
    <m/>
    <n v="202505238002919"/>
    <n v="1085500039514"/>
    <n v="20250523"/>
    <x v="18"/>
    <m/>
    <m/>
    <s v="D     - Dare"/>
    <n v="196048.72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272"/>
    <s v="14"/>
    <s v="Operazione per conto di importo elevato per la causale ed il soggetto"/>
    <d v="2025-05-23T00:00:00"/>
    <n v="53850"/>
    <n v="108"/>
    <s v="053850_108"/>
    <s v="Discovery Day"/>
    <s v="Mai valutato"/>
    <m/>
    <n v="202505238002919"/>
    <n v="1085500039514"/>
    <n v="20250523"/>
    <x v="18"/>
    <m/>
    <m/>
    <s v="D     - Dare"/>
    <n v="196048.72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269"/>
    <s v="14"/>
    <s v="Operazione per conto di importo elevato per la causale ed il soggetto"/>
    <d v="2025-05-23T00:00:00"/>
    <n v="53850"/>
    <n v="169"/>
    <s v="053850_169"/>
    <s v="Discovery Day"/>
    <s v="Mai valutato"/>
    <m/>
    <n v="202505228003684"/>
    <n v="1693305416200"/>
    <n v="20250522"/>
    <x v="31"/>
    <m/>
    <m/>
    <s v="A     - Avere"/>
    <n v="310000"/>
    <n v="0"/>
    <n v="541618"/>
    <s v="CRCFNC38E24L328Y"/>
    <s v="CURCI FRANCESCO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63"/>
    <s v="14"/>
    <s v="Operazione per conto di importo elevato per la causale ed il soggetto"/>
    <d v="2025-05-23T00:00:00"/>
    <n v="53850"/>
    <n v="114"/>
    <s v="053850_114"/>
    <s v="Discovery Day"/>
    <s v="Mai valutato"/>
    <m/>
    <n v="202505228003525"/>
    <n v="1143306280045"/>
    <n v="20250522"/>
    <x v="0"/>
    <m/>
    <m/>
    <s v="D     - Dare"/>
    <n v="88763.05"/>
    <n v="0"/>
    <n v="4440994"/>
    <s v="CRCNTN51H05D643K"/>
    <s v="CORCETTI ANTONIO"/>
    <s v="600 - Famiglie consumatrici"/>
    <m/>
    <s v="086 - ITALIA"/>
    <n v="907"/>
    <m/>
    <m/>
    <m/>
    <m/>
    <m/>
    <m/>
    <m/>
    <n v="0"/>
    <n v="202505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54"/>
    <s v="14"/>
    <s v="Operazione per conto di importo elevato per la causale ed il soggetto"/>
    <d v="2025-05-23T00:00:00"/>
    <n v="53850"/>
    <n v="114"/>
    <s v="053850_114"/>
    <s v="Discovery Day"/>
    <s v="Mai valutato"/>
    <m/>
    <n v="202505228003525"/>
    <n v="1143306280045"/>
    <n v="20250522"/>
    <x v="0"/>
    <m/>
    <m/>
    <s v="D     - Dare"/>
    <n v="88763.05"/>
    <n v="0"/>
    <n v="4440996"/>
    <s v="TTDMLS55R48D643W"/>
    <s v="ATTADEMO MARIA LUISA"/>
    <s v="600 - Famiglie consumatrici"/>
    <m/>
    <s v="086 - ITALIA"/>
    <n v="642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50"/>
    <s v="14"/>
    <s v="Operazione per conto di importo elevato per la causale ed il soggetto"/>
    <d v="2025-05-23T00:00:00"/>
    <n v="53850"/>
    <n v="169"/>
    <s v="053850_169"/>
    <s v="Discovery Day"/>
    <s v="Mai valutato"/>
    <m/>
    <n v="202505228003684"/>
    <n v="1693305416200"/>
    <n v="20250522"/>
    <x v="31"/>
    <m/>
    <m/>
    <s v="A     - Avere"/>
    <n v="310000"/>
    <n v="0"/>
    <n v="541619"/>
    <s v="PSQCCT46D64L328Z"/>
    <s v="PASQUADIBISCEGLIE CONCETTA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46"/>
    <s v="14"/>
    <s v="Operazione per conto di importo elevato per la causale ed il soggetto"/>
    <d v="2025-05-23T00:00:00"/>
    <n v="53850"/>
    <n v="114"/>
    <s v="053850_114"/>
    <s v="Discovery Day"/>
    <s v="Mai valutato"/>
    <m/>
    <n v="202505228003518"/>
    <n v="1143306282512"/>
    <n v="20250522"/>
    <x v="0"/>
    <m/>
    <m/>
    <s v="D     - Dare"/>
    <n v="664672.81999999995"/>
    <n v="0"/>
    <n v="4969914"/>
    <n v="3855320713"/>
    <s v="FALLIMENTO AGRICOLA ZAPPONETA S.R.L."/>
    <s v="430 - Imprese produttive"/>
    <s v="011 - COLTIVAZIONE DI COLTURE AGRICOLE NON PERMANENTI"/>
    <s v="086 - ITALIA"/>
    <n v="519"/>
    <m/>
    <m/>
    <m/>
    <m/>
    <m/>
    <m/>
    <m/>
    <n v="0"/>
    <n v="202505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45"/>
    <s v="14"/>
    <s v="Operazione per conto di importo elevato per la causale ed il soggetto"/>
    <d v="2025-05-23T00:00:00"/>
    <n v="53850"/>
    <n v="104"/>
    <s v="053850_104"/>
    <s v="Discovery Day"/>
    <s v="Mai valutato"/>
    <m/>
    <n v="202505228001924"/>
    <n v="1043301449156"/>
    <n v="20250522"/>
    <x v="1"/>
    <m/>
    <s v="086 - ITALIA"/>
    <s v="A     - Avere"/>
    <n v="35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44"/>
    <s v="14"/>
    <s v="Operazione per conto di importo elevato per la causale ed il soggetto"/>
    <d v="2025-05-23T00:00:00"/>
    <n v="53850"/>
    <n v="104"/>
    <s v="053850_104"/>
    <s v="Discovery Day"/>
    <s v="Mai valutato"/>
    <m/>
    <n v="202505228002767"/>
    <n v="1043301449156"/>
    <n v="20250522"/>
    <x v="2"/>
    <m/>
    <m/>
    <s v="D     - Dare"/>
    <n v="35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41"/>
    <s v="14"/>
    <s v="Operazione per conto di importo elevato per la causale ed il soggetto"/>
    <d v="2025-05-23T00:00:00"/>
    <n v="53850"/>
    <n v="200"/>
    <s v="053850_200"/>
    <s v="Discovery Day"/>
    <s v="Mai valutato"/>
    <m/>
    <n v="202505228003776"/>
    <n v="2003300003833"/>
    <n v="20250522"/>
    <x v="3"/>
    <m/>
    <s v="086 - ITALIA"/>
    <s v="D     - Dare"/>
    <n v="203277.8"/>
    <n v="0"/>
    <n v="3742670"/>
    <s v="CCCMNL89C07H5L1G"/>
    <s v="COCCO EMANUELE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237"/>
    <s v="14"/>
    <s v="Operazione per conto di importo elevato per la causale ed il soggetto"/>
    <d v="2025-05-23T00:00:00"/>
    <n v="53850"/>
    <n v="261"/>
    <s v="053850_261"/>
    <s v="Discovery Day"/>
    <s v="Mai valutato"/>
    <m/>
    <n v="202505228003788"/>
    <n v="2613300000312"/>
    <n v="20250522"/>
    <x v="22"/>
    <m/>
    <m/>
    <s v="A     - Avere"/>
    <n v="200000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234"/>
    <s v="14"/>
    <s v="Operazione per conto di importo elevato per la causale ed il soggetto"/>
    <d v="2025-05-23T00:00:00"/>
    <n v="53850"/>
    <n v="268"/>
    <s v="053850_268"/>
    <s v="Discovery Day"/>
    <s v="Mai valutato"/>
    <m/>
    <n v="202505228003810"/>
    <n v="2683300010355"/>
    <n v="20250522"/>
    <x v="22"/>
    <m/>
    <m/>
    <s v="A     - Avere"/>
    <n v="220000"/>
    <n v="0"/>
    <n v="1633404"/>
    <s v="CRPVCN75D30F537F"/>
    <s v="CRUPI VINCENZO VALTER"/>
    <s v="600 - Famiglie consumatrici"/>
    <m/>
    <s v="086 - ITALIA"/>
    <n v="183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227"/>
    <s v="14"/>
    <s v="Operazione per conto di importo elevato per la causale ed il soggetto"/>
    <d v="2025-05-22T00:00:00"/>
    <n v="53850"/>
    <n v="105"/>
    <s v="053850_105"/>
    <s v="Discovery Day"/>
    <s v="Mai valutato"/>
    <m/>
    <n v="202505217999576"/>
    <n v="1053306288710"/>
    <n v="20250521"/>
    <x v="1"/>
    <m/>
    <s v="086 - ITALIA"/>
    <s v="A     - Avere"/>
    <n v="200531.43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25"/>
    <s v="14"/>
    <s v="Operazione per conto di importo elevato per la causale ed il soggetto"/>
    <d v="2025-05-22T00:00:00"/>
    <n v="53850"/>
    <n v="175"/>
    <s v="053850_175"/>
    <s v="Discovery Day"/>
    <s v="Mai valutato"/>
    <m/>
    <n v="202505217998785"/>
    <n v="1753305636160"/>
    <n v="20250521"/>
    <x v="3"/>
    <m/>
    <s v="086 - ITALIA"/>
    <s v="D     - Dare"/>
    <n v="366991.76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24"/>
    <s v="14"/>
    <s v="Operazione per conto di importo elevato per la causale ed il soggetto"/>
    <d v="2025-05-22T00:00:00"/>
    <n v="53850"/>
    <n v="122"/>
    <s v="053850_122"/>
    <s v="Discovery Day"/>
    <s v="Mai valutato"/>
    <m/>
    <s v="202505217304233L"/>
    <n v="1223300001984"/>
    <n v="20250521"/>
    <x v="0"/>
    <m/>
    <m/>
    <s v="D     - Dare"/>
    <n v="1177.48"/>
    <n v="0"/>
    <n v="4682230"/>
    <s v="GDLSST82R07A883V"/>
    <s v="GADALETA SEBASTIANO"/>
    <s v="600 - Famiglie consumatrici"/>
    <m/>
    <s v="086 - ITALIA"/>
    <n v="156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23"/>
    <s v="14"/>
    <s v="Operazione per conto di importo elevato per la causale ed il soggetto"/>
    <d v="2025-05-22T00:00:00"/>
    <n v="53850"/>
    <n v="191"/>
    <s v="053850_191"/>
    <s v="Discovery Day"/>
    <s v="Mai valutato"/>
    <m/>
    <n v="202505218001044"/>
    <n v="1913300068760"/>
    <n v="20250521"/>
    <x v="0"/>
    <m/>
    <m/>
    <s v="D     - Dare"/>
    <n v="120110.85"/>
    <n v="0"/>
    <n v="3099802"/>
    <s v="DMNFMN36D46E882U"/>
    <s v="DIMONOPOLI FILOMENA"/>
    <s v="600 - Famiglie consumatrici"/>
    <m/>
    <s v="086 - ITALIA"/>
    <n v="95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19"/>
    <s v="14"/>
    <s v="Operazione per conto di importo elevato per la causale ed il soggetto"/>
    <d v="2025-05-22T00:00:00"/>
    <n v="53850"/>
    <n v="110"/>
    <s v="053850_110"/>
    <s v="Discovery Day"/>
    <s v="Mai valutato"/>
    <m/>
    <n v="202505218000710"/>
    <n v="1103306285611"/>
    <n v="20250521"/>
    <x v="0"/>
    <m/>
    <m/>
    <s v="D     - Dare"/>
    <n v="40771.61"/>
    <n v="0"/>
    <n v="537815"/>
    <s v="DRNBBR82A64L219H"/>
    <s v="DORONZO BARBARA"/>
    <s v="600 - Famiglie consumatrici"/>
    <m/>
    <s v="086 - ITALIA"/>
    <n v="458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217"/>
    <s v="14"/>
    <s v="Operazione per conto di importo elevato per la causale ed il soggetto"/>
    <d v="2025-05-22T00:00:00"/>
    <n v="53850"/>
    <n v="105"/>
    <s v="053850_105"/>
    <s v="Discovery Day"/>
    <s v="Mai valutato"/>
    <m/>
    <n v="202505217999489"/>
    <n v="1053306288710"/>
    <n v="20250521"/>
    <x v="1"/>
    <m/>
    <s v="086 - ITALIA"/>
    <s v="A     - Avere"/>
    <n v="306973.39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213"/>
    <s v="14"/>
    <s v="Operazione per conto di importo elevato per la causale ed il soggetto"/>
    <d v="2025-05-22T00:00:00"/>
    <n v="53850"/>
    <n v="110"/>
    <s v="053850_110"/>
    <s v="Discovery Day"/>
    <s v="Mai valutato"/>
    <m/>
    <n v="202505218000807"/>
    <n v="1103306286918"/>
    <n v="20250521"/>
    <x v="22"/>
    <m/>
    <m/>
    <s v="A     - Avere"/>
    <n v="162000"/>
    <n v="0"/>
    <n v="469616"/>
    <s v="CPNMRA55B67A669N"/>
    <s v="CAPUANO MARIA"/>
    <s v="600 - Famiglie consumatrici"/>
    <m/>
    <s v="086 - ITALIA"/>
    <n v="458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08"/>
    <s v="14"/>
    <s v="Operazione per conto di importo elevato per la causale ed il soggetto"/>
    <d v="2025-05-22T00:00:00"/>
    <n v="53850"/>
    <n v="175"/>
    <s v="053850_175"/>
    <s v="Discovery Day"/>
    <s v="Mai valutato"/>
    <m/>
    <n v="202505217999321"/>
    <n v="1753302205349"/>
    <n v="20250521"/>
    <x v="1"/>
    <m/>
    <s v="086 - ITALIA"/>
    <s v="A     - Avere"/>
    <n v="842689.95"/>
    <n v="0"/>
    <n v="3741362"/>
    <s v="LGNGNR42S07E147I"/>
    <s v="LAGONIGRO GENNARO"/>
    <s v="600 - Famiglie consumatrici"/>
    <m/>
    <s v="086 - ITALIA"/>
    <n v="12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07"/>
    <s v="14"/>
    <s v="Operazione per conto di importo elevato per la causale ed il soggetto"/>
    <d v="2025-05-21T00:00:00"/>
    <n v="53850"/>
    <n v="108"/>
    <s v="053850_108"/>
    <s v="Discovery Day"/>
    <s v="Mai valutato"/>
    <m/>
    <n v="202505217997107"/>
    <n v="1085500039514"/>
    <n v="20250521"/>
    <x v="19"/>
    <m/>
    <m/>
    <s v="A     - Avere"/>
    <n v="171477.3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06"/>
    <s v="14"/>
    <s v="Operazione per conto di importo elevato per la causale ed il soggetto"/>
    <d v="2025-05-21T00:00:00"/>
    <n v="53850"/>
    <n v="108"/>
    <s v="053850_108"/>
    <s v="Discovery Day"/>
    <s v="Mai valutato"/>
    <m/>
    <n v="202505217997107"/>
    <n v="1085500039514"/>
    <n v="20250521"/>
    <x v="19"/>
    <m/>
    <m/>
    <s v="A     - Avere"/>
    <n v="171477.3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05"/>
    <s v="14"/>
    <s v="Operazione per conto di importo elevato per la causale ed il soggetto"/>
    <d v="2025-05-21T00:00:00"/>
    <n v="53850"/>
    <n v="102"/>
    <s v="053850_102"/>
    <s v="Discovery Day"/>
    <s v="Mai valutato"/>
    <m/>
    <s v="202505207235321L"/>
    <n v="1023308727899"/>
    <n v="20250520"/>
    <x v="0"/>
    <m/>
    <m/>
    <s v="D     - Dare"/>
    <n v="1649.45"/>
    <n v="0"/>
    <n v="3734883"/>
    <s v="PLNFNC07C24A225B"/>
    <s v="PLANTAMURA FRANCESCO"/>
    <s v="600 - Famiglie consumatrici"/>
    <m/>
    <s v="086 - ITALIA"/>
    <n v="51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198"/>
    <s v="14"/>
    <s v="Operazione per conto di importo elevato per la causale ed il soggetto"/>
    <d v="2025-05-21T00:00:00"/>
    <n v="53850"/>
    <n v="121"/>
    <s v="053850_121"/>
    <s v="Discovery Day"/>
    <s v="Mai valutato"/>
    <m/>
    <n v="202505207995690"/>
    <n v="1213300002600"/>
    <n v="20250520"/>
    <x v="3"/>
    <m/>
    <s v="086 - ITALIA"/>
    <s v="D     - Dare"/>
    <n v="673080.41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5"/>
    <s v="IN CARICO AL RESPONSABILE"/>
    <x v="1"/>
    <n v="1"/>
    <m/>
    <m/>
    <n v="0"/>
    <n v="463"/>
    <n v="430"/>
    <n v="430463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87"/>
    <s v="14"/>
    <s v="Operazione per conto di importo elevato per la causale ed il soggetto"/>
    <d v="2025-05-21T00:00:00"/>
    <n v="53850"/>
    <n v="187"/>
    <s v="053850_187"/>
    <s v="Discovery Day"/>
    <s v="Mai valutato"/>
    <m/>
    <n v="202505207995725"/>
    <n v="999361870311"/>
    <n v="20250520"/>
    <x v="3"/>
    <m/>
    <s v="086 - ITALIA"/>
    <s v="D     - Dare"/>
    <n v="1405323.68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184"/>
    <s v="14"/>
    <s v="Operazione per conto di importo elevato per la causale ed il soggetto"/>
    <d v="2025-05-21T00:00:00"/>
    <n v="53850"/>
    <n v="273"/>
    <s v="053850_273"/>
    <s v="Discovery Day"/>
    <s v="Mai valutato"/>
    <m/>
    <n v="202505207996485"/>
    <n v="2733300010399"/>
    <n v="20250520"/>
    <x v="1"/>
    <m/>
    <s v="086 - ITALIA"/>
    <s v="A     - Avere"/>
    <n v="2252392.36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5"/>
    <s v="IN CARICO AL GESTORE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178"/>
    <s v="14"/>
    <s v="Operazione per conto di importo elevato per la causale ed il soggetto"/>
    <d v="2025-05-21T00:00:00"/>
    <n v="53850"/>
    <n v="198"/>
    <s v="053850_198"/>
    <s v="Discovery Day"/>
    <s v="Mai valutato"/>
    <m/>
    <n v="202505207997806"/>
    <n v="1983300002101"/>
    <n v="20250520"/>
    <x v="0"/>
    <m/>
    <m/>
    <s v="D     - Dare"/>
    <n v="12234.6"/>
    <n v="0"/>
    <n v="622877"/>
    <s v="PNTMRS43L49I158L"/>
    <s v="PINTO MARIA ROSARIA"/>
    <s v="600 - Famiglie consumatrici"/>
    <m/>
    <s v="086 - ITALIA"/>
    <n v="1718"/>
    <m/>
    <m/>
    <m/>
    <m/>
    <m/>
    <m/>
    <m/>
    <n v="0"/>
    <n v="202505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176"/>
    <s v="14"/>
    <s v="Operazione per conto di importo elevato per la causale ed il soggetto"/>
    <d v="2025-05-21T00:00:00"/>
    <n v="53850"/>
    <n v="175"/>
    <s v="053850_175"/>
    <s v="Discovery Day"/>
    <s v="Mai valutato"/>
    <m/>
    <n v="202505207996819"/>
    <n v="1753302205383"/>
    <n v="20250520"/>
    <x v="1"/>
    <m/>
    <s v="086 - ITALIA"/>
    <s v="A     - Avere"/>
    <n v="310022.93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171"/>
    <s v="14"/>
    <s v="Operazione per conto di importo elevato per la causale ed il soggetto"/>
    <d v="2025-05-21T00:00:00"/>
    <n v="53850"/>
    <n v="103"/>
    <s v="053850_103"/>
    <s v="Discovery Day"/>
    <s v="Mai valutato"/>
    <m/>
    <n v="202505197997156"/>
    <n v="1030050004920"/>
    <n v="20250519"/>
    <x v="32"/>
    <m/>
    <m/>
    <s v="D     - Dare"/>
    <n v="210004.99"/>
    <n v="0"/>
    <n v="7973"/>
    <s v="BRNGNN47H26E155S"/>
    <s v="BRUNO GIOVANNI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66"/>
    <s v="14"/>
    <s v="Operazione per conto di importo elevato per la causale ed il soggetto"/>
    <d v="2025-05-20T00:00:00"/>
    <n v="53850"/>
    <n v="173"/>
    <s v="053850_173"/>
    <s v="Discovery Day"/>
    <s v="Mai valutato"/>
    <m/>
    <n v="202505197994686"/>
    <n v="1733302704527"/>
    <n v="20250519"/>
    <x v="0"/>
    <m/>
    <m/>
    <s v="D     - Dare"/>
    <n v="5894.36"/>
    <n v="0"/>
    <n v="591632"/>
    <s v="DDNGNN66R41L425H"/>
    <s v="ADDANTE GIOVANNA"/>
    <s v="600 - Famiglie consumatrici"/>
    <m/>
    <s v="086 - ITALIA"/>
    <n v="147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62"/>
    <s v="14"/>
    <s v="Operazione per conto di importo elevato per la causale ed il soggetto"/>
    <d v="2025-05-20T00:00:00"/>
    <n v="53850"/>
    <n v="277"/>
    <s v="053850_277"/>
    <s v="Discovery Day"/>
    <s v="Mai valutato"/>
    <m/>
    <s v="202505197180093L"/>
    <n v="2773300002057"/>
    <n v="20250519"/>
    <x v="0"/>
    <m/>
    <m/>
    <s v="D     - Dare"/>
    <n v="1048.27"/>
    <n v="0"/>
    <n v="1676448"/>
    <s v="RSSPRZ61M62E435E"/>
    <s v="RUSSO PATRIZIA"/>
    <s v="600 - Famiglie consumatrici"/>
    <m/>
    <s v="086 - ITALIA"/>
    <n v="179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59"/>
    <s v="14"/>
    <s v="Operazione per conto di importo elevato per la causale ed il soggetto"/>
    <d v="2025-05-20T00:00:00"/>
    <n v="53850"/>
    <n v="182"/>
    <s v="053850_182"/>
    <s v="Discovery Day"/>
    <s v="Mai valutato"/>
    <m/>
    <n v="202505197995123"/>
    <n v="1823300172332"/>
    <n v="20250519"/>
    <x v="22"/>
    <m/>
    <m/>
    <s v="A     - Avere"/>
    <n v="260000"/>
    <n v="0"/>
    <n v="3032172"/>
    <s v="LVRNNA54C57L049R"/>
    <s v="OLIVIERI ANN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53"/>
    <s v="14"/>
    <s v="Operazione per conto di importo elevato per la causale ed il soggetto"/>
    <d v="2025-05-20T00:00:00"/>
    <n v="53850"/>
    <n v="169"/>
    <s v="053850_169"/>
    <s v="Discovery Day"/>
    <s v="Mai valutato"/>
    <m/>
    <n v="202505197992531"/>
    <n v="1693302225447"/>
    <n v="20250519"/>
    <x v="1"/>
    <m/>
    <s v="086 - ITALIA"/>
    <s v="A     - Avere"/>
    <n v="298753.13"/>
    <n v="0"/>
    <n v="553393"/>
    <s v="CCEMDL41A41F284K"/>
    <s v="CECI MADDALENA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144"/>
    <s v="14"/>
    <s v="Operazione per conto di importo elevato per la causale ed il soggetto"/>
    <d v="2025-05-20T00:00:00"/>
    <n v="53850"/>
    <n v="173"/>
    <s v="053850_173"/>
    <s v="Discovery Day"/>
    <s v="Mai valutato"/>
    <m/>
    <n v="202505197994686"/>
    <n v="1733302704527"/>
    <n v="20250519"/>
    <x v="0"/>
    <m/>
    <m/>
    <s v="D     - Dare"/>
    <n v="5894.36"/>
    <n v="0"/>
    <n v="464730"/>
    <s v="LPRSMN62B17L425Q"/>
    <s v="LOPRIORE SIMONE"/>
    <s v="600 - Famiglie consumatrici"/>
    <m/>
    <s v="086 - ITALIA"/>
    <n v="147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42"/>
    <s v="14"/>
    <s v="Operazione per conto di importo elevato per la causale ed il soggetto"/>
    <d v="2025-05-20T00:00:00"/>
    <n v="53850"/>
    <n v="182"/>
    <s v="053850_182"/>
    <s v="Discovery Day"/>
    <s v="Mai valutato"/>
    <m/>
    <n v="202505197995123"/>
    <n v="1823300172332"/>
    <n v="20250519"/>
    <x v="22"/>
    <m/>
    <m/>
    <s v="A     - Avere"/>
    <n v="260000"/>
    <n v="0"/>
    <n v="4778753"/>
    <s v="ZZLLSN93R60L049I"/>
    <s v="AZZOLLINI ALESSANDR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34"/>
    <s v="14"/>
    <s v="Operazione per conto di importo elevato per la causale ed il soggetto"/>
    <d v="2025-05-20T00:00:00"/>
    <n v="53850"/>
    <n v="103"/>
    <s v="053850_103"/>
    <s v="Discovery Day"/>
    <s v="Mai valutato"/>
    <m/>
    <n v="202505197994728"/>
    <n v="1033302886547"/>
    <n v="20250519"/>
    <x v="0"/>
    <m/>
    <m/>
    <s v="D     - Dare"/>
    <n v="53494.55"/>
    <n v="0"/>
    <n v="5453"/>
    <n v="82000970721"/>
    <s v="COMUNE DI GRAVINA"/>
    <s v="173 - Amministrazioni comunali e unioni di comuni"/>
    <m/>
    <s v="086 - ITALIA"/>
    <n v="1926"/>
    <m/>
    <m/>
    <m/>
    <m/>
    <m/>
    <m/>
    <m/>
    <n v="0"/>
    <n v="202505"/>
    <s v="ARCHIVIATA"/>
    <x v="0"/>
    <n v="1"/>
    <m/>
    <m/>
    <n v="1"/>
    <n v="999"/>
    <n v="173"/>
    <n v="173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132"/>
    <s v="14"/>
    <s v="Operazione per conto di importo elevato per la causale ed il soggetto"/>
    <d v="2025-05-20T00:00:00"/>
    <n v="53850"/>
    <n v="116"/>
    <s v="053850_116"/>
    <s v="Discovery Day"/>
    <s v="Mai valutato"/>
    <m/>
    <n v="202505197994867"/>
    <n v="1163307617735"/>
    <n v="20250519"/>
    <x v="3"/>
    <m/>
    <s v="086 - ITALIA"/>
    <s v="D     - Dare"/>
    <n v="340000"/>
    <n v="0"/>
    <n v="570966"/>
    <s v="STMGPP65B24A662A"/>
    <s v="STIMOLA GIUSEPPE"/>
    <s v="600 - Famiglie consumatrici"/>
    <m/>
    <s v="086 - ITALIA"/>
    <n v="924"/>
    <m/>
    <m/>
    <m/>
    <m/>
    <m/>
    <m/>
    <m/>
    <n v="0"/>
    <n v="202505"/>
    <s v="IN CARICO AL RESPONSABILE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25"/>
    <s v="14"/>
    <s v="Operazione per conto di importo elevato per la causale ed il soggetto"/>
    <d v="2025-05-17T00:00:00"/>
    <n v="53850"/>
    <n v="102"/>
    <s v="053850_102"/>
    <s v="Discovery Day"/>
    <s v="Mai valutato"/>
    <m/>
    <n v="202505167985582"/>
    <n v="1023308728031"/>
    <n v="20250516"/>
    <x v="15"/>
    <m/>
    <m/>
    <s v="D     - Dare"/>
    <n v="1401654.56"/>
    <n v="0"/>
    <n v="3033613"/>
    <n v="5066690156"/>
    <s v="PELLEGRINI S.P.A."/>
    <s v="430 - Imprese produttive"/>
    <s v="562 - FORNITURA DI PASTI PREPARATI (CATERING) E ALTRI SERVIZI DI RISTORAZIONE"/>
    <s v="086 - ITALIA"/>
    <n v="12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24"/>
    <s v="14"/>
    <s v="Operazione per conto di importo elevato per la causale ed il soggetto"/>
    <d v="2025-05-17T00:00:00"/>
    <n v="53850"/>
    <n v="109"/>
    <s v="053850_109"/>
    <s v="Discovery Day"/>
    <s v="Mai valutato"/>
    <m/>
    <n v="202505167985905"/>
    <n v="1093306673999"/>
    <n v="20250516"/>
    <x v="15"/>
    <m/>
    <m/>
    <s v="D     - Dare"/>
    <n v="1138611.3600000001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23"/>
    <s v="14"/>
    <s v="Operazione per conto di importo elevato per la causale ed il soggetto"/>
    <d v="2025-05-17T00:00:00"/>
    <n v="53850"/>
    <n v="187"/>
    <s v="053850_187"/>
    <s v="Discovery Day"/>
    <s v="Mai valutato"/>
    <m/>
    <n v="202505167984032"/>
    <n v="999361870311"/>
    <n v="20250516"/>
    <x v="30"/>
    <m/>
    <s v="050 - PAESI BASSI"/>
    <s v="D     - Dare"/>
    <n v="1828906.67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828906.67"/>
    <n v="1979373.003"/>
    <n v="2129839.3360000001"/>
    <n v="2280305.6690000002"/>
    <n v="2430772.0019999999"/>
    <n v="2581238.335"/>
    <n v="2731704.6680000001"/>
    <n v="2882171.0010000002"/>
    <n v="3032637.3339999998"/>
    <n v="3183103.6669999999"/>
    <n v="3333570"/>
    <n v="3484036.3330000001"/>
    <n v="3634502.6660000002"/>
    <n v="3784968.9989999998"/>
    <n v="3935435.3319999999"/>
    <n v="4085901.665"/>
    <n v="4236367.9979999997"/>
    <n v="4386834.3310000002"/>
    <n v="4537300.6640000008"/>
    <n v="4687766.9970000004"/>
    <n v="4838233.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22"/>
    <s v="14"/>
    <s v="Operazione per conto di importo elevato per la causale ed il soggetto"/>
    <d v="2025-05-17T00:00:00"/>
    <n v="53850"/>
    <n v="114"/>
    <s v="053850_114"/>
    <s v="Discovery Day"/>
    <s v="Mai valutato"/>
    <m/>
    <n v="202505167986712"/>
    <n v="1143306280450"/>
    <n v="20250516"/>
    <x v="0"/>
    <m/>
    <m/>
    <s v="D     - Dare"/>
    <n v="39861.81"/>
    <n v="0"/>
    <n v="4585160"/>
    <n v="2073300713"/>
    <s v="FALLIMENTO FRATELLI BRACCIA DI BRACCIA ANTON"/>
    <s v="430 - Imprese produttive"/>
    <s v="473 - COMMERCIO AL DETTAGLIO DI CARBURANTE PER AUTOTRAZIONE IN ESERCIZI SPECIALIZZATI"/>
    <s v="086 - ITALIA"/>
    <n v="519"/>
    <m/>
    <m/>
    <m/>
    <m/>
    <m/>
    <m/>
    <m/>
    <n v="0"/>
    <n v="202505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20"/>
    <s v="14"/>
    <s v="Operazione per conto di importo elevato per la causale ed il soggetto"/>
    <d v="2025-05-17T00:00:00"/>
    <n v="53850"/>
    <n v="173"/>
    <s v="053850_173"/>
    <s v="Discovery Day"/>
    <s v="Mai valutato"/>
    <m/>
    <n v="202505167986883"/>
    <n v="1733302705276"/>
    <n v="20250516"/>
    <x v="3"/>
    <m/>
    <s v="086 - ITALIA"/>
    <s v="D     - Dare"/>
    <n v="400000"/>
    <n v="0"/>
    <n v="4792738"/>
    <s v="VNTGNN60H13L425V"/>
    <s v="VENTRELLA GAETANO ANTONIO"/>
    <s v="600 - Famiglie consumatrici"/>
    <m/>
    <s v="086 - ITALIA"/>
    <n v="1179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16"/>
    <s v="14"/>
    <s v="Operazione per conto di importo elevato per la causale ed il soggetto"/>
    <d v="2025-05-17T00:00:00"/>
    <n v="53850"/>
    <n v="109"/>
    <s v="053850_109"/>
    <s v="Discovery Day"/>
    <s v="Mai valutato"/>
    <m/>
    <s v="202505167124637L"/>
    <n v="1093306674144"/>
    <n v="20250516"/>
    <x v="0"/>
    <m/>
    <m/>
    <s v="D     - Dare"/>
    <n v="1992.86"/>
    <n v="0"/>
    <n v="4895193"/>
    <s v="LGRDRD69A55A662X"/>
    <s v="LEGROTTAGLIE IDA LOREDANA"/>
    <s v="600 - Famiglie consumatrici"/>
    <m/>
    <s v="086 - ITALIA"/>
    <n v="92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115"/>
    <s v="14"/>
    <s v="Operazione per conto di importo elevato per la causale ed il soggetto"/>
    <d v="2025-05-17T00:00:00"/>
    <n v="53850"/>
    <n v="170"/>
    <s v="053850_170"/>
    <s v="Discovery Day"/>
    <s v="Mai valutato"/>
    <m/>
    <n v="202505167986875"/>
    <n v="1703306289593"/>
    <n v="20250516"/>
    <x v="13"/>
    <m/>
    <s v="086 - ITALIA"/>
    <s v="A     - Avere"/>
    <n v="312000"/>
    <n v="0"/>
    <n v="4944194"/>
    <s v="FNTVCN90L09A285V"/>
    <s v="FINTO VINCENZO"/>
    <s v="600 - Famiglie consumatrici"/>
    <m/>
    <s v="086 - ITALIA"/>
    <n v="195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13"/>
    <s v="14"/>
    <s v="Operazione per conto di importo elevato per la causale ed il soggetto"/>
    <d v="2025-05-17T00:00:00"/>
    <n v="53850"/>
    <n v="182"/>
    <s v="053850_182"/>
    <s v="Discovery Day"/>
    <s v="Mai valutato"/>
    <m/>
    <n v="202505167984806"/>
    <n v="1823300072312"/>
    <n v="20250516"/>
    <x v="1"/>
    <m/>
    <s v="086 - ITALIA"/>
    <s v="A     - Avere"/>
    <n v="1215238.24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110"/>
    <s v="14"/>
    <s v="Operazione per conto di importo elevato per la causale ed il soggetto"/>
    <d v="2025-05-17T00:00:00"/>
    <n v="53850"/>
    <n v="102"/>
    <s v="053850_102"/>
    <s v="Discovery Day"/>
    <s v="Mai valutato"/>
    <m/>
    <n v="202505167984992"/>
    <n v="1023308727913"/>
    <n v="20250516"/>
    <x v="1"/>
    <m/>
    <s v="086 - ITALIA"/>
    <s v="A     - Avere"/>
    <n v="972757.19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5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07"/>
    <s v="14"/>
    <s v="Operazione per conto di importo elevato per la causale ed il soggetto"/>
    <d v="2025-05-17T00:00:00"/>
    <n v="53850"/>
    <n v="141"/>
    <s v="053850_141"/>
    <s v="Discovery Day"/>
    <s v="Mai valutato"/>
    <m/>
    <n v="202505167985904"/>
    <n v="1413300003347"/>
    <n v="20250516"/>
    <x v="15"/>
    <m/>
    <m/>
    <s v="D     - Dare"/>
    <n v="796339.63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s v="ARCHIVIATA"/>
    <x v="0"/>
    <n v="1"/>
    <m/>
    <m/>
    <n v="0"/>
    <n v="620"/>
    <n v="430"/>
    <n v="430620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106"/>
    <s v="14"/>
    <s v="Operazione per conto di importo elevato per la causale ed il soggetto"/>
    <d v="2025-05-17T00:00:00"/>
    <n v="53850"/>
    <n v="141"/>
    <s v="053850_141"/>
    <s v="Discovery Day"/>
    <s v="Mai valutato"/>
    <m/>
    <n v="202505167983788"/>
    <n v="1413300003985"/>
    <n v="20250516"/>
    <x v="3"/>
    <m/>
    <s v="086 - ITALIA"/>
    <s v="D     - Dare"/>
    <n v="170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s v="ARCHIVIATA"/>
    <x v="0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05"/>
    <s v="14"/>
    <s v="Operazione per conto di importo elevato per la causale ed il soggetto"/>
    <d v="2025-05-17T00:00:00"/>
    <n v="53850"/>
    <n v="109"/>
    <s v="053850_109"/>
    <s v="Discovery Day"/>
    <s v="Mai valutato"/>
    <m/>
    <s v="202505167124637L"/>
    <n v="1093306674144"/>
    <n v="20250516"/>
    <x v="0"/>
    <m/>
    <m/>
    <s v="D     - Dare"/>
    <n v="1992.86"/>
    <n v="0"/>
    <n v="613337"/>
    <s v="DNGMRT31L41F915A"/>
    <s v="D'ONGHIA MARTA"/>
    <s v="600 - Famiglie consumatrici"/>
    <m/>
    <s v="086 - ITALIA"/>
    <n v="14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102"/>
    <s v="14"/>
    <s v="Operazione per conto di importo elevato per la causale ed il soggetto"/>
    <d v="2025-05-17T00:00:00"/>
    <n v="53850"/>
    <n v="105"/>
    <s v="053850_105"/>
    <s v="Discovery Day"/>
    <s v="Mai valutato"/>
    <m/>
    <n v="202505167986663"/>
    <n v="1053306288710"/>
    <n v="20250516"/>
    <x v="22"/>
    <m/>
    <m/>
    <s v="A     - Avere"/>
    <n v="3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01"/>
    <s v="14"/>
    <s v="Operazione per conto di importo elevato per la causale ed il soggetto"/>
    <d v="2025-05-17T00:00:00"/>
    <n v="53850"/>
    <n v="116"/>
    <s v="053850_116"/>
    <s v="Discovery Day"/>
    <s v="Mai valutato"/>
    <m/>
    <n v="202505167985179"/>
    <n v="2173300010307"/>
    <n v="20250516"/>
    <x v="2"/>
    <m/>
    <m/>
    <s v="D     - Dare"/>
    <n v="6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97"/>
    <s v="14"/>
    <s v="Operazione per conto di importo elevato per la causale ed il soggetto"/>
    <d v="2025-05-17T00:00:00"/>
    <n v="53850"/>
    <n v="196"/>
    <s v="053850_196"/>
    <s v="Discovery Day"/>
    <s v="Mai valutato"/>
    <m/>
    <n v="202505167986970"/>
    <n v="1963302355156"/>
    <n v="20250516"/>
    <x v="0"/>
    <m/>
    <m/>
    <s v="D     - Dare"/>
    <n v="37875.4"/>
    <n v="0"/>
    <n v="4444344"/>
    <s v="DBNMHL60A03C514M"/>
    <s v="DIBENEDETTO MICHELE"/>
    <s v="615 - Altre famiglie produttrici"/>
    <s v="012 - COLTIVAZIONE DI COLTURE PERMANENTI"/>
    <s v="086 - ITALIA"/>
    <n v="1945"/>
    <m/>
    <m/>
    <m/>
    <m/>
    <m/>
    <m/>
    <m/>
    <n v="0"/>
    <n v="202505"/>
    <s v="IN VALUTAZIONE RPR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095"/>
    <s v="14"/>
    <s v="Operazione per conto di importo elevato per la causale ed il soggetto"/>
    <d v="2025-05-17T00:00:00"/>
    <n v="53850"/>
    <n v="141"/>
    <s v="053850_141"/>
    <s v="Discovery Day"/>
    <s v="Mai valutato"/>
    <m/>
    <n v="202505167984955"/>
    <n v="1413300003749"/>
    <n v="20250516"/>
    <x v="1"/>
    <m/>
    <s v="086 - ITALIA"/>
    <s v="A     - Avere"/>
    <n v="986023.06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s v="ARCHIVIATA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92"/>
    <s v="14"/>
    <s v="Operazione per conto di importo elevato per la causale ed il soggetto"/>
    <d v="2025-05-17T00:00:00"/>
    <n v="53850"/>
    <n v="187"/>
    <s v="053850_187"/>
    <s v="Discovery Day"/>
    <s v="Mai valutato"/>
    <m/>
    <n v="202505167984002"/>
    <n v="999361870311"/>
    <n v="20250516"/>
    <x v="30"/>
    <m/>
    <s v="050 - PAESI BASSI"/>
    <s v="D     - Dare"/>
    <n v="4838233.3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828906.67"/>
    <n v="1979373.003"/>
    <n v="2129839.3360000001"/>
    <n v="2280305.6690000002"/>
    <n v="2430772.0019999999"/>
    <n v="2581238.335"/>
    <n v="2731704.6680000001"/>
    <n v="2882171.0010000002"/>
    <n v="3032637.3339999998"/>
    <n v="3183103.6669999999"/>
    <n v="3333570"/>
    <n v="3484036.3330000001"/>
    <n v="3634502.6660000002"/>
    <n v="3784968.9989999998"/>
    <n v="3935435.3319999999"/>
    <n v="4085901.665"/>
    <n v="4236367.9979999997"/>
    <n v="4386834.3310000002"/>
    <n v="4537300.6640000008"/>
    <n v="4687766.9970000004"/>
    <n v="4838233.3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87"/>
    <s v="14"/>
    <s v="Operazione per conto di importo elevato per la causale ed il soggetto"/>
    <d v="2025-05-17T00:00:00"/>
    <n v="53850"/>
    <n v="109"/>
    <s v="053850_109"/>
    <s v="Discovery Day"/>
    <s v="Mai valutato"/>
    <m/>
    <s v="202505167124637L"/>
    <n v="1093306674144"/>
    <n v="20250516"/>
    <x v="0"/>
    <m/>
    <m/>
    <s v="D     - Dare"/>
    <n v="1992.86"/>
    <n v="0"/>
    <n v="563942"/>
    <s v="LGRRLL70A55A662I"/>
    <s v="LEGROTTAGLIE ORNELLA ANNA"/>
    <s v="600 - Famiglie consumatrici"/>
    <m/>
    <s v="086 - ITALIA"/>
    <n v="92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086"/>
    <s v="14"/>
    <s v="Operazione per conto di importo elevato per la causale ed il soggetto"/>
    <d v="2025-05-17T00:00:00"/>
    <n v="53850"/>
    <n v="195"/>
    <s v="053850_195"/>
    <s v="Discovery Day"/>
    <s v="Mai valutato"/>
    <m/>
    <n v="202505167986467"/>
    <n v="1943300004576"/>
    <n v="20250516"/>
    <x v="6"/>
    <m/>
    <m/>
    <s v="D     - Dare"/>
    <n v="90000"/>
    <n v="0"/>
    <n v="3043207"/>
    <s v="SNRFNC60T13E986P"/>
    <s v="SANARICA FRANCESCO"/>
    <s v="615 - Altre famiglie produttrici"/>
    <s v="477 - COMMERCIO AL DETTAGLIO DI ALTRI PRODOTTI IN ESERCIZI SPECIALIZZATI"/>
    <s v="086 - ITALIA"/>
    <n v="938"/>
    <m/>
    <m/>
    <m/>
    <m/>
    <m/>
    <m/>
    <m/>
    <n v="0"/>
    <n v="202505"/>
    <s v="IN VALUTAZIONE RPR"/>
    <x v="1"/>
    <n v="1"/>
    <m/>
    <m/>
    <n v="0"/>
    <n v="477"/>
    <n v="615"/>
    <n v="615477"/>
    <s v="Classe di rischio 6"/>
    <m/>
    <x v="6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82"/>
    <s v="14"/>
    <s v="Operazione per conto di importo elevato per la causale ed il soggetto"/>
    <d v="2025-05-16T00:00:00"/>
    <n v="53850"/>
    <n v="103"/>
    <s v="053850_103"/>
    <s v="Discovery Day"/>
    <s v="Mai valutato"/>
    <m/>
    <n v="202505167982350"/>
    <n v="1030050005143"/>
    <n v="20250516"/>
    <x v="26"/>
    <m/>
    <m/>
    <s v="D     - Dare"/>
    <n v="200000"/>
    <n v="0"/>
    <n v="156633"/>
    <s v="GGLNNA54A57E155Q"/>
    <s v="GIGLIO ANNA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81"/>
    <s v="14"/>
    <s v="Operazione per conto di importo elevato per la causale ed il soggetto"/>
    <d v="2025-05-16T00:00:00"/>
    <n v="53850"/>
    <n v="103"/>
    <s v="053850_103"/>
    <s v="Discovery Day"/>
    <s v="Mai valutato"/>
    <m/>
    <n v="202505167982350"/>
    <n v="1030050005143"/>
    <n v="20250516"/>
    <x v="26"/>
    <m/>
    <m/>
    <s v="D     - Dare"/>
    <n v="200000"/>
    <n v="0"/>
    <n v="18223"/>
    <s v="TRNNGL49A24E155M"/>
    <s v="TRANQUILLINO MINERVA ANGELO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77"/>
    <s v="14"/>
    <s v="Operazione per conto di importo elevato per la causale ed il soggetto"/>
    <d v="2025-05-16T00:00:00"/>
    <n v="53850"/>
    <n v="103"/>
    <s v="053850_103"/>
    <s v="Discovery Day"/>
    <s v="Mai valutato"/>
    <m/>
    <n v="202505157983001"/>
    <n v="1033306974276"/>
    <n v="20250515"/>
    <x v="9"/>
    <m/>
    <m/>
    <s v="D     - Dare"/>
    <n v="225000"/>
    <n v="0"/>
    <n v="4098513"/>
    <s v="SPRNTN68A30E155V"/>
    <s v="SPORTELLA ANTONIO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74"/>
    <s v="14"/>
    <s v="Operazione per conto di importo elevato per la causale ed il soggetto"/>
    <d v="2025-05-16T00:00:00"/>
    <n v="53850"/>
    <n v="102"/>
    <s v="053850_102"/>
    <s v="Discovery Day"/>
    <s v="Mai valutato"/>
    <m/>
    <n v="202505157981565"/>
    <n v="1023308719190"/>
    <n v="20250515"/>
    <x v="1"/>
    <m/>
    <s v="086 - ITALIA"/>
    <s v="A     - Avere"/>
    <n v="1575466.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5"/>
    <s v="IN VALUTAZIONE RPR"/>
    <x v="1"/>
    <n v="1"/>
    <m/>
    <m/>
    <n v="0"/>
    <n v="999"/>
    <n v="248"/>
    <n v="24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072"/>
    <s v="14"/>
    <s v="Operazione per conto di importo elevato per la causale ed il soggetto"/>
    <d v="2025-05-16T00:00:00"/>
    <n v="53850"/>
    <n v="141"/>
    <s v="053850_141"/>
    <s v="Discovery Day"/>
    <s v="Mai valutato"/>
    <m/>
    <n v="202505157981971"/>
    <n v="1413300003985"/>
    <n v="20250515"/>
    <x v="1"/>
    <m/>
    <s v="086 - ITALIA"/>
    <s v="A     - Avere"/>
    <n v="2814221.66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s v="ARCHIVIATA"/>
    <x v="0"/>
    <n v="1"/>
    <m/>
    <m/>
    <n v="0"/>
    <n v="931"/>
    <n v="430"/>
    <n v="43093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070"/>
    <s v="14"/>
    <s v="Operazione per conto di importo elevato per la causale ed il soggetto"/>
    <d v="2025-05-16T00:00:00"/>
    <n v="53850"/>
    <n v="164"/>
    <s v="053850_164"/>
    <s v="Discovery Day"/>
    <s v="Mai valutato"/>
    <m/>
    <n v="202505157983238"/>
    <n v="1643300015060"/>
    <n v="20250515"/>
    <x v="0"/>
    <m/>
    <m/>
    <s v="D     - Dare"/>
    <n v="12394.44"/>
    <n v="0"/>
    <n v="810601"/>
    <s v="QLNMHL44A22A339Z"/>
    <s v="AQUILANO MICHELE"/>
    <s v="600 - Famiglie consumatrici"/>
    <m/>
    <s v="086 - ITALIA"/>
    <n v="787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068"/>
    <s v="14"/>
    <s v="Operazione per conto di importo elevato per la causale ed il soggetto"/>
    <d v="2025-05-16T00:00:00"/>
    <n v="53850"/>
    <n v="173"/>
    <s v="053850_173"/>
    <s v="Discovery Day"/>
    <s v="Mai valutato"/>
    <m/>
    <n v="202505157981675"/>
    <n v="1733302705276"/>
    <n v="20250515"/>
    <x v="1"/>
    <m/>
    <s v="086 - ITALIA"/>
    <s v="A     - Avere"/>
    <n v="400000"/>
    <n v="0"/>
    <n v="4792738"/>
    <s v="VNTGNN60H13L425V"/>
    <s v="VENTRELLA GAETANO ANTONIO"/>
    <s v="600 - Famiglie consumatrici"/>
    <m/>
    <s v="086 - ITALIA"/>
    <n v="1179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067"/>
    <s v="14"/>
    <s v="Operazione per conto di importo elevato per la causale ed il soggetto"/>
    <d v="2025-05-16T00:00:00"/>
    <n v="53850"/>
    <n v="102"/>
    <s v="053850_102"/>
    <s v="Discovery Day"/>
    <s v="Mai valutato"/>
    <m/>
    <n v="202505157982423"/>
    <n v="1023308719190"/>
    <n v="20250515"/>
    <x v="15"/>
    <m/>
    <m/>
    <s v="D     - Dare"/>
    <n v="1602602.61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5"/>
    <s v="IN VALUTAZIONE RPR"/>
    <x v="1"/>
    <n v="1"/>
    <m/>
    <m/>
    <n v="0"/>
    <n v="999"/>
    <n v="248"/>
    <n v="248999"/>
    <m/>
    <n v="1"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64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608841"/>
    <s v="DMRFNC75H48A225G"/>
    <s v="DEMARZIO FRANCESC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61"/>
    <s v="14"/>
    <s v="Operazione per conto di importo elevato per la causale ed il soggetto"/>
    <d v="2025-05-16T00:00:00"/>
    <n v="53850"/>
    <n v="265"/>
    <s v="053850_265"/>
    <s v="Discovery Day"/>
    <s v="Mai valutato"/>
    <m/>
    <s v="202505157060372L"/>
    <n v="2653300000419"/>
    <n v="20250515"/>
    <x v="0"/>
    <m/>
    <m/>
    <s v="D     - Dare"/>
    <n v="1652"/>
    <n v="0"/>
    <n v="1636814"/>
    <s v="FLRMMT35T68L220V"/>
    <s v="FLORIO MARIA MATTEA"/>
    <s v="600 - Famiglie consumatrici"/>
    <m/>
    <s v="086 - ITALIA"/>
    <n v="189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058"/>
    <s v="14"/>
    <s v="Operazione per conto di importo elevato per la causale ed il soggetto"/>
    <d v="2025-05-16T00:00:00"/>
    <n v="53850"/>
    <n v="182"/>
    <s v="053850_182"/>
    <s v="Discovery Day"/>
    <s v="Mai valutato"/>
    <m/>
    <n v="202505157983327"/>
    <n v="1823300172492"/>
    <n v="20250515"/>
    <x v="22"/>
    <m/>
    <m/>
    <s v="A     - Avere"/>
    <n v="233000"/>
    <n v="0"/>
    <n v="3014130"/>
    <s v="TROMHL60T47L049N"/>
    <s v="TORIO MICHELINA"/>
    <s v="600 - Famiglie consumatrici"/>
    <m/>
    <s v="086 - ITALIA"/>
    <n v="61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57"/>
    <s v="14"/>
    <s v="Operazione per conto di importo elevato per la causale ed il soggetto"/>
    <d v="2025-05-16T00:00:00"/>
    <n v="53850"/>
    <n v="196"/>
    <s v="053850_196"/>
    <s v="Discovery Day"/>
    <s v="Mai valutato"/>
    <m/>
    <n v="202505157983369"/>
    <n v="1963302355120"/>
    <n v="20250515"/>
    <x v="1"/>
    <m/>
    <s v="086 - ITALIA"/>
    <s v="A     - Avere"/>
    <n v="890523.24"/>
    <n v="0"/>
    <n v="3722752"/>
    <n v="1998440711"/>
    <s v="SIMEONE S.P.A."/>
    <s v="430 - Imprese produttive"/>
    <s v="429 - COSTRUZIONE DI ALTRE OPERE DI INGEGNERIA CIVILE"/>
    <s v="086 - ITALIA"/>
    <n v="870"/>
    <m/>
    <m/>
    <m/>
    <m/>
    <m/>
    <m/>
    <m/>
    <n v="0"/>
    <n v="202505"/>
    <s v="IN VALUTAZIONE RPR"/>
    <x v="1"/>
    <n v="1"/>
    <m/>
    <m/>
    <n v="0"/>
    <n v="429"/>
    <n v="430"/>
    <n v="430429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055"/>
    <s v="14"/>
    <s v="Operazione per conto di importo elevato per la causale ed il soggetto"/>
    <d v="2025-05-16T00:00:00"/>
    <n v="53850"/>
    <n v="187"/>
    <s v="053850_187"/>
    <s v="Discovery Day"/>
    <s v="Mai valutato"/>
    <m/>
    <n v="202505157980945"/>
    <n v="999361870311"/>
    <n v="20250515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54"/>
    <s v="14"/>
    <s v="Operazione per conto di importo elevato per la causale ed il soggetto"/>
    <d v="2025-05-16T00:00:00"/>
    <n v="53850"/>
    <n v="118"/>
    <s v="053850_118"/>
    <s v="Discovery Day"/>
    <s v="Mai valutato"/>
    <m/>
    <n v="202505157983116"/>
    <n v="1183306278983"/>
    <n v="20250515"/>
    <x v="0"/>
    <m/>
    <m/>
    <s v="D     - Dare"/>
    <n v="7987.97"/>
    <n v="0"/>
    <n v="56722"/>
    <s v="GRVVTI30D25A225E"/>
    <s v="GERVASIO VIT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53"/>
    <s v="14"/>
    <s v="Operazione per conto di importo elevato per la causale ed il soggetto"/>
    <d v="2025-05-16T00:00:00"/>
    <n v="53850"/>
    <n v="116"/>
    <s v="053850_116"/>
    <s v="Discovery Day"/>
    <s v="Mai valutato"/>
    <m/>
    <n v="202505157981153"/>
    <n v="2173300010307"/>
    <n v="20250515"/>
    <x v="1"/>
    <m/>
    <s v="086 - ITALIA"/>
    <s v="A     - Avere"/>
    <n v="2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052"/>
    <s v="14"/>
    <s v="Operazione per conto di importo elevato per la causale ed il soggetto"/>
    <d v="2025-05-16T00:00:00"/>
    <n v="53850"/>
    <n v="118"/>
    <s v="053850_118"/>
    <s v="Discovery Day"/>
    <s v="Mai valutato"/>
    <m/>
    <n v="202505157983116"/>
    <n v="1183306278983"/>
    <n v="20250515"/>
    <x v="0"/>
    <m/>
    <m/>
    <s v="D     - Dare"/>
    <n v="7987.97"/>
    <n v="0"/>
    <n v="56732"/>
    <s v="CLNNGL32M42A225B"/>
    <s v="COLONNA ANGELA"/>
    <s v="600 - Famiglie consumatrici"/>
    <m/>
    <s v="086 - ITALIA"/>
    <n v="63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51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96293"/>
    <s v="DPLRNI40R62E155R"/>
    <s v="DIPALO IRENE"/>
    <s v="600 - Famiglie consumatrici"/>
    <m/>
    <s v="086 - ITALIA"/>
    <n v="95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44"/>
    <s v="14"/>
    <s v="Operazione per conto di importo elevato per la causale ed il soggetto"/>
    <d v="2025-05-16T00:00:00"/>
    <n v="53850"/>
    <n v="125"/>
    <s v="053850_125"/>
    <s v="Discovery Day"/>
    <s v="Mai valutato"/>
    <m/>
    <n v="202505157980462"/>
    <n v="1253300010106"/>
    <n v="20250515"/>
    <x v="30"/>
    <m/>
    <s v="031 - REGNO UNITO"/>
    <s v="D     - Dare"/>
    <n v="309000"/>
    <n v="0"/>
    <n v="4315652"/>
    <s v="MNLPQL72H12F839B"/>
    <s v="MENALE PASQUALANTONIO"/>
    <s v="600 - Famiglie consumatrici"/>
    <m/>
    <s v="086 - ITALIA"/>
    <n v="134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42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540058"/>
    <s v="DMRRLB69A45A225H"/>
    <s v="DEMARZIO ROSALB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41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608838"/>
    <s v="DMRGPP73H47A225Z"/>
    <s v="DEMARZIO GIUSEPPIN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38"/>
    <s v="14"/>
    <s v="Operazione per conto di importo elevato per la causale ed il soggetto"/>
    <d v="2025-05-16T00:00:00"/>
    <n v="53850"/>
    <n v="182"/>
    <s v="053850_182"/>
    <s v="Discovery Day"/>
    <s v="Mai valutato"/>
    <m/>
    <n v="202505157983327"/>
    <n v="1823300172492"/>
    <n v="20250515"/>
    <x v="22"/>
    <m/>
    <m/>
    <s v="A     - Avere"/>
    <n v="233000"/>
    <n v="0"/>
    <n v="3113202"/>
    <s v="TROMLD67P43L049E"/>
    <s v="TORIO MATILDE"/>
    <s v="600 - Famiglie consumatrici"/>
    <m/>
    <s v="086 - ITALIA"/>
    <n v="61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37"/>
    <s v="14"/>
    <s v="Operazione per conto di importo elevato per la causale ed il soggetto"/>
    <d v="2025-05-16T00:00:00"/>
    <n v="53850"/>
    <n v="116"/>
    <s v="053850_116"/>
    <s v="Discovery Day"/>
    <s v="Mai valutato"/>
    <m/>
    <n v="202505157981810"/>
    <n v="1163307617735"/>
    <n v="20250515"/>
    <x v="1"/>
    <m/>
    <s v="086 - ITALIA"/>
    <s v="A     - Avere"/>
    <n v="264367"/>
    <n v="0"/>
    <n v="570966"/>
    <s v="STMGPP65B24A662A"/>
    <s v="STIMOLA GIUSEPPE"/>
    <s v="600 - Famiglie consumatrici"/>
    <m/>
    <s v="086 - ITALIA"/>
    <n v="924"/>
    <m/>
    <m/>
    <m/>
    <m/>
    <m/>
    <m/>
    <m/>
    <n v="0"/>
    <n v="202505"/>
    <s v="IN CARICO AL RESPONSABILE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036"/>
    <s v="14"/>
    <s v="Operazione per conto di importo elevato per la causale ed il soggetto"/>
    <d v="2025-05-15T00:00:00"/>
    <n v="53850"/>
    <n v="268"/>
    <s v="053850_268"/>
    <s v="Discovery Day"/>
    <s v="Mai valutato"/>
    <m/>
    <n v="202505157979361"/>
    <n v="2683300002752"/>
    <n v="20250515"/>
    <x v="31"/>
    <m/>
    <m/>
    <s v="A     - Avere"/>
    <n v="623419.42000000004"/>
    <n v="0"/>
    <n v="1611487"/>
    <s v="LVRFTN39R28E479V"/>
    <s v="ALVARO FORTUNATO"/>
    <s v="600 - Famiglie consumatrici"/>
    <m/>
    <s v="086 - ITALIA"/>
    <n v="183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35"/>
    <s v="14"/>
    <s v="Operazione per conto di importo elevato per la causale ed il soggetto"/>
    <d v="2025-05-15T00:00:00"/>
    <n v="53850"/>
    <n v="268"/>
    <s v="053850_268"/>
    <s v="Discovery Day"/>
    <s v="Mai valutato"/>
    <m/>
    <n v="202505157979361"/>
    <n v="2683300002752"/>
    <n v="20250515"/>
    <x v="31"/>
    <m/>
    <m/>
    <s v="A     - Avere"/>
    <n v="623419.42000000004"/>
    <n v="0"/>
    <n v="1625093"/>
    <s v="PSTPMP40P59D005I"/>
    <s v="PISTOIA POMPEA"/>
    <s v="600 - Famiglie consumatrici"/>
    <m/>
    <s v="086 - ITALIA"/>
    <n v="183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30"/>
    <s v="14"/>
    <s v="Operazione per conto di importo elevato per la causale ed il soggetto"/>
    <d v="2025-05-15T00:00:00"/>
    <n v="53850"/>
    <n v="105"/>
    <s v="053850_105"/>
    <s v="Discovery Day"/>
    <s v="Mai valutato"/>
    <m/>
    <n v="202505147979957"/>
    <n v="1053300336450"/>
    <n v="20250514"/>
    <x v="22"/>
    <m/>
    <m/>
    <s v="A     - Avere"/>
    <n v="200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25"/>
    <s v="14"/>
    <s v="Operazione per conto di importo elevato per la causale ed il soggetto"/>
    <d v="2025-05-15T00:00:00"/>
    <n v="53850"/>
    <n v="102"/>
    <s v="053850_102"/>
    <s v="Discovery Day"/>
    <s v="Mai valutato"/>
    <m/>
    <n v="202505147979467"/>
    <n v="1023300113820"/>
    <n v="20250514"/>
    <x v="11"/>
    <m/>
    <m/>
    <s v="D     - Dare"/>
    <n v="1026452.35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23"/>
    <s v="14"/>
    <s v="Operazione per conto di importo elevato per la causale ed il soggetto"/>
    <d v="2025-05-15T00:00:00"/>
    <n v="53850"/>
    <n v="125"/>
    <s v="053850_125"/>
    <s v="Discovery Day"/>
    <s v="Mai valutato"/>
    <m/>
    <n v="202505147977797"/>
    <n v="1253300010383"/>
    <n v="20250514"/>
    <x v="3"/>
    <m/>
    <s v="086 - ITALIA"/>
    <s v="D     - Dare"/>
    <n v="1750000"/>
    <n v="0"/>
    <n v="4693650"/>
    <n v="7055451210"/>
    <s v="IMI SUD LAMINATI S.R.L."/>
    <s v="430 - Imprese produttive"/>
    <s v="241 - SIDERURGIA"/>
    <s v="086 - ITALIA"/>
    <n v="982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018"/>
    <s v="14"/>
    <s v="Operazione per conto di importo elevato per la causale ed il soggetto"/>
    <d v="2025-05-15T00:00:00"/>
    <n v="53850"/>
    <n v="161"/>
    <s v="053850_161"/>
    <s v="Discovery Day"/>
    <s v="Mai valutato"/>
    <m/>
    <n v="202505147978905"/>
    <n v="1613300029174"/>
    <n v="20250514"/>
    <x v="1"/>
    <m/>
    <s v="086 - ITALIA"/>
    <s v="A     - Avere"/>
    <n v="325570.92"/>
    <n v="0"/>
    <n v="4017792"/>
    <s v="FZAGPP63P67A892K"/>
    <s v="FAZIO GIUSEPPINA"/>
    <s v="600 - Famiglie consumatrici"/>
    <m/>
    <s v="086 - ITALIA"/>
    <n v="16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16"/>
    <s v="14"/>
    <s v="Operazione per conto di importo elevato per la causale ed il soggetto"/>
    <d v="2025-05-15T00:00:00"/>
    <n v="53850"/>
    <n v="170"/>
    <s v="053850_170"/>
    <s v="Discovery Day"/>
    <s v="Mai valutato"/>
    <m/>
    <n v="202505147977415"/>
    <n v="1703306290830"/>
    <n v="20250514"/>
    <x v="8"/>
    <m/>
    <m/>
    <s v="D     - Dare"/>
    <n v="729828.68"/>
    <n v="0"/>
    <n v="4934769"/>
    <n v="2791590728"/>
    <s v="LA PULITA &amp; SERVICE S.C.R.L. COOPERATIVA DI"/>
    <s v="430 - Imprese produttive"/>
    <s v="812 - ATTIVITÀ DI PULIZIA E DISINFESTAZIONE"/>
    <s v="086 - ITALIA"/>
    <n v="1919"/>
    <m/>
    <m/>
    <m/>
    <m/>
    <m/>
    <m/>
    <m/>
    <n v="0"/>
    <n v="202505"/>
    <s v="IN VALUTAZIONE RPR"/>
    <x v="1"/>
    <n v="1"/>
    <m/>
    <m/>
    <n v="0"/>
    <n v="812"/>
    <n v="430"/>
    <n v="4308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12"/>
    <s v="14"/>
    <s v="Operazione per conto di importo elevato per la causale ed il soggetto"/>
    <d v="2025-05-15T00:00:00"/>
    <n v="53850"/>
    <n v="170"/>
    <s v="053850_170"/>
    <s v="Discovery Day"/>
    <s v="Mai valutato"/>
    <m/>
    <s v="202505147041628L"/>
    <n v="1703306287314"/>
    <n v="20250514"/>
    <x v="0"/>
    <m/>
    <m/>
    <s v="A     - Avere"/>
    <n v="1000"/>
    <n v="0"/>
    <n v="4221749"/>
    <n v="5485630726"/>
    <s v="ANTONIO FIORE ALIMENTARE S.R.L."/>
    <s v="430 - Imprese produttive"/>
    <s v="107 - PRODUZIONE DI PRODOTTI DA FORNO E FARINACEI"/>
    <s v="086 - ITALIA"/>
    <n v="1920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08"/>
    <s v="14"/>
    <s v="Operazione per conto di importo elevato per la causale ed il soggetto"/>
    <d v="2025-05-15T00:00:00"/>
    <n v="53850"/>
    <n v="102"/>
    <s v="053850_102"/>
    <s v="Discovery Day"/>
    <s v="Mai valutato"/>
    <m/>
    <n v="202505147979882"/>
    <n v="1023308717407"/>
    <n v="20250514"/>
    <x v="0"/>
    <m/>
    <m/>
    <s v="D     - Dare"/>
    <n v="14235.26"/>
    <n v="0"/>
    <n v="49012"/>
    <s v="LRRNGL37M71A225X"/>
    <s v="LAURIERO ANGELA"/>
    <s v="600 - Famiglie consumatrici"/>
    <m/>
    <s v="086 - ITALIA"/>
    <n v="58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004"/>
    <s v="14"/>
    <s v="Operazione per conto di importo elevato per la causale ed il soggetto"/>
    <d v="2025-05-15T00:00:00"/>
    <n v="53850"/>
    <n v="286"/>
    <s v="053850_286"/>
    <s v="Discovery Day"/>
    <s v="Mai valutato"/>
    <m/>
    <s v="202505147040459L"/>
    <n v="2863300002062"/>
    <n v="20250514"/>
    <x v="0"/>
    <m/>
    <m/>
    <s v="D     - Dare"/>
    <n v="1841.29"/>
    <n v="0"/>
    <n v="1656116"/>
    <s v="DPRFNC43T11H562L"/>
    <s v="DI PROFIO FRANCO"/>
    <s v="600 - Famiglie consumatrici"/>
    <m/>
    <s v="086 - ITALIA"/>
    <n v="1764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003"/>
    <s v="14"/>
    <s v="Operazione per conto di importo elevato per la causale ed il soggetto"/>
    <d v="2025-05-15T00:00:00"/>
    <n v="53850"/>
    <n v="103"/>
    <s v="053850_103"/>
    <s v="Discovery Day"/>
    <s v="Mai valutato"/>
    <m/>
    <n v="202505147979921"/>
    <n v="1033306985959"/>
    <n v="20250514"/>
    <x v="9"/>
    <m/>
    <m/>
    <s v="D     - Dare"/>
    <n v="270000"/>
    <n v="0"/>
    <n v="3740317"/>
    <s v="SNNRKE69B56A952N"/>
    <s v="SINN ERIK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002"/>
    <s v="14"/>
    <s v="Operazione per conto di importo elevato per la causale ed il soggetto"/>
    <d v="2025-05-15T00:00:00"/>
    <n v="53850"/>
    <n v="116"/>
    <s v="053850_116"/>
    <s v="Discovery Day"/>
    <s v="Mai valutato"/>
    <m/>
    <n v="202505147978940"/>
    <n v="2173300010307"/>
    <n v="20250514"/>
    <x v="1"/>
    <m/>
    <s v="086 - ITALIA"/>
    <s v="A     - Avere"/>
    <n v="3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00"/>
    <s v="14"/>
    <s v="Operazione per conto di importo elevato per la causale ed il soggetto"/>
    <d v="2025-05-15T00:00:00"/>
    <n v="53850"/>
    <n v="161"/>
    <s v="053850_161"/>
    <s v="Discovery Day"/>
    <s v="Mai valutato"/>
    <m/>
    <n v="202505147978905"/>
    <n v="1613300029174"/>
    <n v="20250514"/>
    <x v="1"/>
    <m/>
    <s v="086 - ITALIA"/>
    <s v="A     - Avere"/>
    <n v="325570.92"/>
    <n v="0"/>
    <n v="4017790"/>
    <s v="GRMNCL63T05G291O"/>
    <s v="GERMANO NICOLA"/>
    <s v="600 - Famiglie consumatrici"/>
    <m/>
    <s v="086 - ITALIA"/>
    <n v="16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7992"/>
    <s v="14"/>
    <s v="Operazione per conto di importo elevato per la causale ed il soggetto"/>
    <d v="2025-05-15T00:00:00"/>
    <n v="53850"/>
    <n v="109"/>
    <s v="053850_109"/>
    <s v="Discovery Day"/>
    <s v="Mai valutato"/>
    <m/>
    <n v="202505147979977"/>
    <n v="1723306283969"/>
    <n v="20250514"/>
    <x v="0"/>
    <m/>
    <m/>
    <s v="D     - Dare"/>
    <n v="42874.68"/>
    <n v="0"/>
    <n v="4972749"/>
    <s v="NTTMHL37M07A662M"/>
    <s v="NITTI MICHELE"/>
    <s v="600 - Famiglie consumatrici"/>
    <m/>
    <s v="086 - ITALIA"/>
    <n v="49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7991"/>
    <s v="14"/>
    <s v="Operazione per conto di importo elevato per la causale ed il soggetto"/>
    <d v="2025-05-14T00:00:00"/>
    <n v="53850"/>
    <n v="174"/>
    <s v="053850_174"/>
    <s v="Discovery Day"/>
    <s v="Mai valutato"/>
    <m/>
    <n v="202505147975908"/>
    <n v="1743302879825"/>
    <n v="20250514"/>
    <x v="31"/>
    <m/>
    <m/>
    <s v="A     - Avere"/>
    <n v="156758.56"/>
    <n v="0"/>
    <n v="4916814"/>
    <s v="LSTNTN47E16H643U"/>
    <s v="LOSITO ANTONIO"/>
    <s v="615 - Altre famiglie produttrici"/>
    <s v="477 - COMMERCIO AL DETTAGLIO DI ALTRI PRODOTTI IN ESERCIZI SPECIALIZZATI"/>
    <s v="086 - ITALIA"/>
    <n v="720"/>
    <m/>
    <m/>
    <m/>
    <m/>
    <m/>
    <m/>
    <m/>
    <n v="0"/>
    <n v="202505"/>
    <s v="IN VALUTAZIONE RPR"/>
    <x v="1"/>
    <n v="1"/>
    <m/>
    <m/>
    <n v="0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90"/>
    <s v="14"/>
    <s v="Operazione per conto di importo elevato per la causale ed il soggetto"/>
    <d v="2025-05-14T00:00:00"/>
    <n v="53850"/>
    <n v="102"/>
    <s v="053850_102"/>
    <s v="Discovery Day"/>
    <s v="Mai valutato"/>
    <m/>
    <n v="202505147975743"/>
    <n v="1023302251821"/>
    <n v="20250514"/>
    <x v="7"/>
    <m/>
    <m/>
    <s v="D     - Dare"/>
    <n v="196891"/>
    <n v="0"/>
    <n v="522069"/>
    <s v="CHRGNN79D17A225A"/>
    <s v="CHIRONNA GIOVANNI"/>
    <s v="614 - Artigiani"/>
    <s v="383 - RECUPERO DEI MATERIALI"/>
    <s v="086 - ITALIA"/>
    <n v="1306"/>
    <m/>
    <m/>
    <m/>
    <m/>
    <m/>
    <m/>
    <m/>
    <n v="0"/>
    <n v="202505"/>
    <s v="ARCHIVIATA"/>
    <x v="0"/>
    <n v="1"/>
    <m/>
    <m/>
    <n v="0"/>
    <n v="383"/>
    <n v="614"/>
    <n v="614383"/>
    <s v="Classe di rischio 6"/>
    <m/>
    <x v="6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84"/>
    <s v="14"/>
    <s v="Operazione per conto di importo elevato per la causale ed il soggetto"/>
    <d v="2025-05-14T00:00:00"/>
    <n v="53850"/>
    <n v="175"/>
    <s v="053850_175"/>
    <s v="Discovery Day"/>
    <s v="Mai valutato"/>
    <m/>
    <n v="202505137973833"/>
    <n v="1753305636160"/>
    <n v="20250513"/>
    <x v="3"/>
    <m/>
    <s v="086 - ITALIA"/>
    <s v="D     - Dare"/>
    <n v="200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83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7L"/>
    <n v="2683300002309"/>
    <n v="20250513"/>
    <x v="0"/>
    <m/>
    <m/>
    <s v="D     - Dare"/>
    <n v="1518.13"/>
    <n v="0"/>
    <n v="1635245"/>
    <s v="TTNTRS22S56F888G"/>
    <s v="ATTANASIO TERESA"/>
    <s v="600 - Famiglie consumatrici"/>
    <m/>
    <s v="086 - ITALIA"/>
    <n v="18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2"/>
    <s v="14"/>
    <s v="Operazione per conto di importo elevato per la causale ed il soggetto"/>
    <d v="2025-05-14T00:00:00"/>
    <n v="53850"/>
    <n v="279"/>
    <s v="053850_279"/>
    <s v="Discovery Day"/>
    <s v="Mai valutato"/>
    <m/>
    <s v="202505136969919L"/>
    <n v="2793300001229"/>
    <n v="20250513"/>
    <x v="0"/>
    <m/>
    <m/>
    <s v="D     - Dare"/>
    <n v="1045.46"/>
    <n v="0"/>
    <n v="1681220"/>
    <s v="CRZFNC12D14G290I"/>
    <s v="CORAZZARI FRANCESCO"/>
    <s v="600 - Famiglie consumatrici"/>
    <m/>
    <s v="086 - ITALIA"/>
    <n v="1847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1"/>
    <s v="14"/>
    <s v="Operazione per conto di importo elevato per la causale ed il soggetto"/>
    <d v="2025-05-14T00:00:00"/>
    <n v="53850"/>
    <n v="286"/>
    <s v="053850_286"/>
    <s v="Discovery Day"/>
    <s v="Mai valutato"/>
    <m/>
    <n v="202505137974985"/>
    <n v="2863300013638"/>
    <n v="20250513"/>
    <x v="1"/>
    <m/>
    <s v="086 - ITALIA"/>
    <s v="A     - Avere"/>
    <n v="1371568.24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5"/>
    <s v="ARCHIVIATA"/>
    <x v="0"/>
    <n v="1"/>
    <m/>
    <m/>
    <n v="0"/>
    <n v="999"/>
    <n v="285"/>
    <n v="285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0"/>
    <s v="14"/>
    <s v="Operazione per conto di importo elevato per la causale ed il soggetto"/>
    <d v="2025-05-14T00:00:00"/>
    <n v="53850"/>
    <n v="125"/>
    <s v="053850_125"/>
    <s v="Discovery Day"/>
    <s v="Mai valutato"/>
    <m/>
    <n v="202505137975561"/>
    <n v="1253300010106"/>
    <n v="20250513"/>
    <x v="13"/>
    <m/>
    <s v="086 - ITALIA"/>
    <s v="A     - Avere"/>
    <n v="400000"/>
    <n v="0"/>
    <n v="4315652"/>
    <s v="MNLPQL72H12F839B"/>
    <s v="MENALE PASQUALANTONIO"/>
    <s v="600 - Famiglie consumatrici"/>
    <m/>
    <s v="086 - ITALIA"/>
    <n v="134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77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9L"/>
    <n v="2683300004281"/>
    <n v="20250513"/>
    <x v="0"/>
    <m/>
    <m/>
    <s v="D     - Dare"/>
    <n v="2060.67"/>
    <n v="0"/>
    <n v="1648024"/>
    <s v="MZZMTR24D57I854G"/>
    <s v="MAZZOTTA MARIA TERESA"/>
    <s v="600 - Famiglie consumatrici"/>
    <m/>
    <s v="086 - ITALIA"/>
    <n v="18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73"/>
    <s v="14"/>
    <s v="Operazione per conto di importo elevato per la causale ed il soggetto"/>
    <d v="2025-05-14T00:00:00"/>
    <n v="53850"/>
    <n v="114"/>
    <s v="053850_114"/>
    <s v="Discovery Day"/>
    <s v="Mai valutato"/>
    <m/>
    <n v="202505137976880"/>
    <n v="1143306281849"/>
    <n v="20250513"/>
    <x v="0"/>
    <m/>
    <m/>
    <s v="D     - Dare"/>
    <n v="80449.39999999999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5"/>
    <s v="ARCHIVIATA"/>
    <x v="0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7971"/>
    <s v="14"/>
    <s v="Operazione per conto di importo elevato per la causale ed il soggetto"/>
    <d v="2025-05-14T00:00:00"/>
    <n v="53850"/>
    <n v="176"/>
    <s v="053850_176"/>
    <s v="Discovery Day"/>
    <s v="Mai valutato"/>
    <m/>
    <n v="202505137977069"/>
    <n v="1763300002000"/>
    <n v="20250513"/>
    <x v="0"/>
    <m/>
    <m/>
    <s v="D     - Dare"/>
    <n v="7018.4"/>
    <n v="0"/>
    <n v="3400212"/>
    <s v="SCZFNC61R09G942P"/>
    <s v="SCAZZARI FRANCESCO"/>
    <s v="600 - Famiglie consumatrici"/>
    <m/>
    <s v="086 - ITALIA"/>
    <n v="67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70"/>
    <s v="14"/>
    <s v="Operazione per conto di importo elevato per la causale ed il soggetto"/>
    <d v="2025-05-14T00:00:00"/>
    <n v="53850"/>
    <n v="102"/>
    <s v="053850_102"/>
    <s v="Discovery Day"/>
    <s v="Mai valutato"/>
    <m/>
    <n v="202505137973992"/>
    <n v="1023308726073"/>
    <n v="20250513"/>
    <x v="3"/>
    <m/>
    <s v="086 - ITALIA"/>
    <s v="D     - Dare"/>
    <n v="1200000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7969"/>
    <s v="14"/>
    <s v="Operazione per conto di importo elevato per la causale ed il soggetto"/>
    <d v="2025-05-14T00:00:00"/>
    <n v="53850"/>
    <n v="286"/>
    <s v="053850_286"/>
    <s v="Discovery Day"/>
    <s v="Mai valutato"/>
    <m/>
    <s v="202505136969831L"/>
    <n v="2863300001177"/>
    <n v="20250513"/>
    <x v="0"/>
    <m/>
    <m/>
    <s v="D     - Dare"/>
    <n v="1038.44"/>
    <n v="0"/>
    <n v="1653433"/>
    <s v="FSLDGS43E48C632K"/>
    <s v="FUSELLA ADALGISA"/>
    <s v="600 - Famiglie consumatrici"/>
    <m/>
    <s v="086 - ITALIA"/>
    <n v="1764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66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8L"/>
    <n v="2683300002913"/>
    <n v="20250513"/>
    <x v="0"/>
    <m/>
    <m/>
    <s v="D     - Dare"/>
    <n v="1744.07"/>
    <n v="0"/>
    <n v="1700584"/>
    <s v="FLIFNC26C21F537W"/>
    <s v="FIALA' FRANCESC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7964"/>
    <s v="14"/>
    <s v="Operazione per conto di importo elevato per la causale ed il soggetto"/>
    <d v="2025-05-14T00:00:00"/>
    <n v="53850"/>
    <n v="199"/>
    <s v="053850_199"/>
    <s v="Discovery Day"/>
    <s v="Mai valutato"/>
    <m/>
    <n v="202505137975477"/>
    <n v="1993300002653"/>
    <n v="20250513"/>
    <x v="1"/>
    <m/>
    <s v="086 - ITALIA"/>
    <s v="A     - Avere"/>
    <n v="1185000"/>
    <n v="0"/>
    <n v="4862196"/>
    <n v="1430150746"/>
    <s v="CANTINE DUE PALME - SOCIETA' COOPERATIVAAGRI"/>
    <s v="430 - Imprese produttive"/>
    <s v="012 - COLTIVAZIONE DI COLTURE PERMANENTI"/>
    <s v="086 - ITALIA"/>
    <n v="1627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62"/>
    <s v="14"/>
    <s v="Operazione per conto di importo elevato per la causale ed il soggetto"/>
    <d v="2025-05-14T00:00:00"/>
    <n v="53850"/>
    <n v="103"/>
    <s v="053850_103"/>
    <s v="Discovery Day"/>
    <s v="Mai valutato"/>
    <m/>
    <n v="202505137976155"/>
    <n v="1033306976187"/>
    <n v="20250513"/>
    <x v="6"/>
    <m/>
    <m/>
    <s v="D     - Dare"/>
    <n v="232000"/>
    <n v="0"/>
    <n v="4540292"/>
    <s v="CCGMLC76A61E155O"/>
    <s v="CUCUGLIELLI MARIA LUCREZI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61"/>
    <s v="14"/>
    <s v="Operazione per conto di importo elevato per la causale ed il soggetto"/>
    <d v="2025-05-14T00:00:00"/>
    <n v="53850"/>
    <n v="125"/>
    <s v="053850_125"/>
    <s v="Discovery Day"/>
    <s v="Mai valutato"/>
    <m/>
    <n v="202505137975413"/>
    <n v="1253300010013"/>
    <n v="20250513"/>
    <x v="1"/>
    <m/>
    <s v="086 - ITALIA"/>
    <s v="A     - Avere"/>
    <n v="400000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5"/>
    <s v="ARCHIVIATA DA RPR"/>
    <x v="0"/>
    <n v="1"/>
    <m/>
    <m/>
    <n v="0"/>
    <n v="464"/>
    <n v="430"/>
    <n v="430464"/>
    <s v="Classe di rischio 4"/>
    <m/>
    <x v="2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60"/>
    <s v="14"/>
    <s v="Operazione per conto di importo elevato per la causale ed il soggetto"/>
    <d v="2025-05-14T00:00:00"/>
    <n v="53850"/>
    <n v="103"/>
    <s v="053850_103"/>
    <s v="Discovery Day"/>
    <s v="Mai valutato"/>
    <m/>
    <n v="202505137974141"/>
    <n v="1033306973875"/>
    <n v="20250513"/>
    <x v="3"/>
    <m/>
    <s v="086 - ITALIA"/>
    <s v="D     - Dare"/>
    <n v="900000"/>
    <n v="0"/>
    <n v="4669615"/>
    <n v="7203330720"/>
    <s v="CAPORALCEREALI SOCIETA' A RESPONSABILITA' LI"/>
    <s v="430 - Imprese produttive"/>
    <s v="462 - COMMERCIO ALL'INGROSSO DI MATERIE PRIME AGRICOLE E DI ANIMALI VIVI"/>
    <s v="086 - ITALIA"/>
    <n v="1926"/>
    <m/>
    <m/>
    <m/>
    <m/>
    <m/>
    <m/>
    <m/>
    <n v="0"/>
    <n v="202505"/>
    <s v="IN CARICO AL GESTORE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58"/>
    <s v="14"/>
    <s v="Operazione per conto di importo elevato per la causale ed il soggetto"/>
    <d v="2025-05-14T00:00:00"/>
    <n v="53850"/>
    <n v="268"/>
    <s v="053850_268"/>
    <s v="Discovery Day"/>
    <s v="Mai valutato"/>
    <m/>
    <n v="202505137977203"/>
    <n v="2683300000159"/>
    <n v="20250513"/>
    <x v="0"/>
    <m/>
    <m/>
    <s v="D     - Dare"/>
    <n v="5336.47"/>
    <n v="0"/>
    <n v="1606026"/>
    <s v="LBNNDR37H18E479Y"/>
    <s v="ALBINO FREZZA ANDREA"/>
    <s v="600 - Famiglie consumatrici"/>
    <m/>
    <s v="086 - ITALIA"/>
    <n v="18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7956"/>
    <s v="14"/>
    <s v="Operazione per conto di importo elevato per la causale ed il soggetto"/>
    <d v="2025-05-14T00:00:00"/>
    <n v="53850"/>
    <n v="269"/>
    <s v="053850_269"/>
    <s v="Discovery Day"/>
    <s v="Mai valutato"/>
    <m/>
    <s v="202505136970056L"/>
    <n v="2693300001109"/>
    <n v="20250513"/>
    <x v="0"/>
    <m/>
    <m/>
    <s v="D     - Dare"/>
    <n v="1526.83"/>
    <n v="0"/>
    <n v="1679198"/>
    <s v="FRGSLV21L21D209Z"/>
    <s v="FORGIONE SILVIO"/>
    <s v="600 - Famiglie consumatrici"/>
    <m/>
    <s v="086 - ITALIA"/>
    <n v="1879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55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8L"/>
    <n v="2683300002913"/>
    <n v="20250513"/>
    <x v="0"/>
    <m/>
    <m/>
    <s v="D     - Dare"/>
    <n v="1744.07"/>
    <n v="0"/>
    <n v="1630064"/>
    <s v="DCINTN37H53I093G"/>
    <s v="DIACO ANTONI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7953"/>
    <s v="14"/>
    <s v="Operazione per conto di importo elevato per la causale ed il soggetto"/>
    <d v="2025-05-14T00:00:00"/>
    <n v="53850"/>
    <n v="169"/>
    <s v="053850_169"/>
    <s v="Discovery Day"/>
    <s v="Mai valutato"/>
    <m/>
    <n v="202505137977032"/>
    <n v="1693302225641"/>
    <n v="20250513"/>
    <x v="0"/>
    <m/>
    <m/>
    <s v="D     - Dare"/>
    <n v="14482.57"/>
    <n v="0"/>
    <n v="3715785"/>
    <n v="6316660726"/>
    <s v="MARNJN S.R.L. UNIPERSONALE"/>
    <s v="430 - Imprese produttive"/>
    <s v="561 - RISTORANTI E ATTIVITÀ DI RISTORAZIONE MOBILE"/>
    <s v="086 - ITALIA"/>
    <n v="905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7950"/>
    <s v="14"/>
    <s v="Operazione per conto di importo elevato per la causale ed il soggetto"/>
    <d v="2025-05-14T00:00:00"/>
    <n v="53850"/>
    <n v="286"/>
    <s v="053850_286"/>
    <s v="Discovery Day"/>
    <s v="Mai valutato"/>
    <m/>
    <n v="202505137974664"/>
    <n v="2863300013638"/>
    <n v="20250513"/>
    <x v="1"/>
    <m/>
    <s v="086 - ITALIA"/>
    <s v="A     - Avere"/>
    <n v="2500000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5"/>
    <s v="ARCHIVIATA"/>
    <x v="0"/>
    <n v="1"/>
    <m/>
    <m/>
    <n v="0"/>
    <n v="999"/>
    <n v="285"/>
    <n v="285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7948"/>
    <s v="14"/>
    <s v="Operazione per conto di importo elevato per la causale ed il soggetto"/>
    <d v="2025-05-14T00:00:00"/>
    <n v="53850"/>
    <n v="102"/>
    <s v="053850_102"/>
    <s v="Discovery Day"/>
    <s v="Mai valutato"/>
    <m/>
    <n v="202505137974765"/>
    <n v="1023308726073"/>
    <n v="20250513"/>
    <x v="1"/>
    <m/>
    <s v="086 - ITALIA"/>
    <s v="A     - Avere"/>
    <n v="69517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47"/>
    <s v="14"/>
    <s v="Operazione per conto di importo elevato per la causale ed il soggetto"/>
    <d v="2025-05-14T00:00:00"/>
    <n v="53850"/>
    <n v="109"/>
    <s v="053850_109"/>
    <s v="Discovery Day"/>
    <s v="Mai valutato"/>
    <m/>
    <n v="202505137976858"/>
    <n v="1093304100117"/>
    <n v="20250513"/>
    <x v="0"/>
    <m/>
    <m/>
    <s v="D     - Dare"/>
    <n v="7719.46"/>
    <n v="0"/>
    <n v="1007122"/>
    <s v="TRSVCN26P29F519D"/>
    <s v="TARSIA VINCENZO"/>
    <s v="600 - Famiglie consumatrici"/>
    <m/>
    <s v="086 - ITALIA"/>
    <n v="1271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45"/>
    <s v="14"/>
    <s v="Operazione per conto di importo elevato per la causale ed il soggetto"/>
    <d v="2025-05-14T00:00:00"/>
    <n v="53850"/>
    <n v="286"/>
    <s v="053850_286"/>
    <s v="Discovery Day"/>
    <s v="Mai valutato"/>
    <m/>
    <n v="202505137976740"/>
    <n v="2863300002276"/>
    <n v="20250513"/>
    <x v="0"/>
    <m/>
    <m/>
    <s v="D     - Dare"/>
    <n v="36278.19"/>
    <n v="0"/>
    <n v="1677596"/>
    <s v="MGRSLV76E43G224K"/>
    <s v="MAGRI SILVIA"/>
    <s v="600 - Famiglie consumatrici"/>
    <m/>
    <s v="086 - ITALIA"/>
    <n v="1798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7944"/>
    <s v="14"/>
    <s v="Operazione per conto di importo elevato per la causale ed il soggetto"/>
    <d v="2025-05-14T00:00:00"/>
    <n v="53850"/>
    <n v="270"/>
    <s v="053850_270"/>
    <s v="Discovery Day"/>
    <s v="Mai valutato"/>
    <m/>
    <n v="202505137977212"/>
    <n v="2703300000033"/>
    <n v="20250513"/>
    <x v="0"/>
    <m/>
    <m/>
    <s v="D     - Dare"/>
    <n v="6937.71"/>
    <n v="0"/>
    <n v="1602036"/>
    <s v="CLLVTR32M52H501Z"/>
    <s v="COLELLA VITTORIA"/>
    <s v="600 - Famiglie consumatrici"/>
    <m/>
    <s v="086 - ITALIA"/>
    <n v="1822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40"/>
    <s v="14"/>
    <s v="Operazione per conto di importo elevato per la causale ed il soggetto"/>
    <d v="2025-05-13T00:00:00"/>
    <n v="53850"/>
    <n v="108"/>
    <s v="053850_108"/>
    <s v="Discovery Day"/>
    <s v="Mai valutato"/>
    <m/>
    <n v="202505137971953"/>
    <n v="1085500039514"/>
    <n v="20250513"/>
    <x v="19"/>
    <m/>
    <m/>
    <s v="A     - Avere"/>
    <n v="195977.3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39"/>
    <s v="14"/>
    <s v="Operazione per conto di importo elevato per la causale ed il soggetto"/>
    <d v="2025-05-13T00:00:00"/>
    <n v="53850"/>
    <n v="108"/>
    <s v="053850_108"/>
    <s v="Discovery Day"/>
    <s v="Mai valutato"/>
    <m/>
    <n v="202505137971953"/>
    <n v="1085500039514"/>
    <n v="20250513"/>
    <x v="19"/>
    <m/>
    <m/>
    <s v="A     - Avere"/>
    <n v="195977.3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35"/>
    <s v="14"/>
    <s v="Operazione per conto di importo elevato per la causale ed il soggetto"/>
    <d v="2025-05-13T00:00:00"/>
    <n v="53850"/>
    <n v="284"/>
    <s v="053850_284"/>
    <s v="Discovery Day"/>
    <s v="Mai valutato"/>
    <m/>
    <n v="202505127973664"/>
    <n v="2845500000060"/>
    <n v="20250512"/>
    <x v="18"/>
    <m/>
    <m/>
    <s v="D     - Dare"/>
    <n v="175971.72"/>
    <n v="0"/>
    <n v="1656421"/>
    <s v="MRSMRA51C56B238E"/>
    <s v="MARUSCO MARIA"/>
    <s v="600 - Famiglie consumatrici"/>
    <m/>
    <s v="086 - ITALIA"/>
    <n v="1840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30"/>
    <s v="14"/>
    <s v="Operazione per conto di importo elevato per la causale ed il soggetto"/>
    <d v="2025-05-13T00:00:00"/>
    <n v="53850"/>
    <n v="102"/>
    <s v="053850_102"/>
    <s v="Discovery Day"/>
    <s v="Mai valutato"/>
    <m/>
    <n v="202505127969820"/>
    <n v="1023308719178"/>
    <n v="20250512"/>
    <x v="3"/>
    <m/>
    <s v="086 - ITALIA"/>
    <s v="D     - Dare"/>
    <n v="612708.1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23"/>
    <s v="14"/>
    <s v="Operazione per conto di importo elevato per la causale ed il soggetto"/>
    <d v="2025-05-13T00:00:00"/>
    <n v="53850"/>
    <n v="164"/>
    <s v="053850_164"/>
    <s v="Discovery Day"/>
    <s v="Mai valutato"/>
    <m/>
    <n v="202505127973356"/>
    <n v="1643300370785"/>
    <n v="20250512"/>
    <x v="3"/>
    <m/>
    <s v="086 - ITALIA"/>
    <s v="D     - Dare"/>
    <n v="1016300"/>
    <n v="0"/>
    <n v="3732249"/>
    <n v="4127610717"/>
    <s v="SOCIETA' AGRICOLA GREEN ALMOND S.R.L."/>
    <s v="430 - Imprese produttive"/>
    <s v="011 - COLTIVAZIONE DI COLTURE AGRICOLE NON PERMANENTI"/>
    <s v="086 - ITALIA"/>
    <n v="67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22"/>
    <s v="14"/>
    <s v="Operazione per conto di importo elevato per la causale ed il soggetto"/>
    <d v="2025-05-13T00:00:00"/>
    <n v="53850"/>
    <n v="261"/>
    <s v="053850_261"/>
    <s v="Discovery Day"/>
    <s v="Mai valutato"/>
    <m/>
    <s v="202505126909305L"/>
    <n v="2613300003915"/>
    <n v="20250512"/>
    <x v="0"/>
    <m/>
    <m/>
    <s v="D     - Dare"/>
    <n v="2473.96"/>
    <n v="0"/>
    <n v="1696446"/>
    <s v="VRDNTN35H14B466O"/>
    <s v="VERDILE ANTONIO"/>
    <s v="600 - Famiglie consumatrici"/>
    <m/>
    <s v="086 - ITALIA"/>
    <n v="1818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7921"/>
    <s v="14"/>
    <s v="Operazione per conto di importo elevato per la causale ed il soggetto"/>
    <d v="2025-05-13T00:00:00"/>
    <n v="53850"/>
    <n v="261"/>
    <s v="053850_261"/>
    <s v="Discovery Day"/>
    <s v="Mai valutato"/>
    <m/>
    <s v="202505126909304L"/>
    <n v="2613300002543"/>
    <n v="20250512"/>
    <x v="0"/>
    <m/>
    <m/>
    <s v="D     - Dare"/>
    <n v="2270.96"/>
    <n v="0"/>
    <n v="1651802"/>
    <s v="STFDTT37C51F429L"/>
    <s v="STAFFIERI ADILETTA"/>
    <s v="600 - Famiglie consumatrici"/>
    <m/>
    <s v="086 - ITALIA"/>
    <n v="1755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18"/>
    <s v="14"/>
    <s v="Operazione per conto di importo elevato per la causale ed il soggetto"/>
    <d v="2025-05-13T00:00:00"/>
    <n v="53850"/>
    <n v="102"/>
    <s v="053850_102"/>
    <s v="Discovery Day"/>
    <s v="Mai valutato"/>
    <m/>
    <n v="202505127971335"/>
    <n v="1603300002981"/>
    <n v="20250512"/>
    <x v="1"/>
    <m/>
    <s v="086 - ITALIA"/>
    <s v="A     - Avere"/>
    <n v="14903049.34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5"/>
    <s v="IN VALUTAZIONE RPR"/>
    <x v="1"/>
    <n v="1"/>
    <m/>
    <m/>
    <n v="0"/>
    <n v="999"/>
    <n v="475"/>
    <n v="475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17"/>
    <s v="14"/>
    <s v="Operazione per conto di importo elevato per la causale ed il soggetto"/>
    <d v="2025-05-13T00:00:00"/>
    <n v="53850"/>
    <n v="114"/>
    <s v="053850_114"/>
    <s v="Discovery Day"/>
    <s v="Mai valutato"/>
    <m/>
    <n v="202505127972094"/>
    <n v="1146000019363"/>
    <n v="20250512"/>
    <x v="22"/>
    <m/>
    <m/>
    <s v="A     - Avere"/>
    <n v="194072.24"/>
    <n v="0"/>
    <n v="4072202"/>
    <s v="DCRNRT67M57D643S"/>
    <s v="DI CARLO ANNA RITA"/>
    <s v="600 - Famiglie consumatrici"/>
    <m/>
    <s v="086 - ITALIA"/>
    <n v="1644"/>
    <m/>
    <m/>
    <m/>
    <m/>
    <m/>
    <m/>
    <m/>
    <n v="0"/>
    <n v="202505"/>
    <s v="IN CARICO AL GESTORE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14"/>
    <s v="14"/>
    <s v="Operazione per conto di importo elevato per la causale ed il soggetto"/>
    <d v="2025-05-13T00:00:00"/>
    <n v="53850"/>
    <n v="102"/>
    <s v="053850_102"/>
    <s v="Discovery Day"/>
    <s v="Mai valutato"/>
    <m/>
    <n v="202505127973062"/>
    <n v="1603300002981"/>
    <n v="20250512"/>
    <x v="15"/>
    <m/>
    <m/>
    <s v="D     - Dare"/>
    <n v="14903049.34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5"/>
    <s v="IN VALUTAZIONE RPR"/>
    <x v="1"/>
    <n v="1"/>
    <m/>
    <m/>
    <n v="0"/>
    <n v="999"/>
    <n v="475"/>
    <n v="475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11"/>
    <s v="14"/>
    <s v="Operazione per conto di importo elevato per la causale ed il soggetto"/>
    <d v="2025-05-13T00:00:00"/>
    <n v="53850"/>
    <n v="102"/>
    <s v="053850_102"/>
    <s v="Discovery Day"/>
    <s v="Mai valutato"/>
    <m/>
    <n v="202505127972163"/>
    <n v="1023305697550"/>
    <n v="20250512"/>
    <x v="6"/>
    <m/>
    <m/>
    <s v="D     - Dare"/>
    <n v="1200000"/>
    <n v="0"/>
    <n v="569755"/>
    <n v="4504560725"/>
    <s v="LOIUDICE S.R.L."/>
    <s v="430 - Imprese produttive"/>
    <s v="259 - FABBRICAZIONE DI ALTRI PRODOTTI IN METALLO"/>
    <s v="086 - ITALIA"/>
    <n v="73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08"/>
    <s v="14"/>
    <s v="Operazione per conto di importo elevato per la causale ed il soggetto"/>
    <d v="2025-05-13T00:00:00"/>
    <n v="53850"/>
    <n v="284"/>
    <s v="053850_284"/>
    <s v="Discovery Day"/>
    <s v="Mai valutato"/>
    <m/>
    <n v="202505127973664"/>
    <n v="2845500000060"/>
    <n v="20250512"/>
    <x v="18"/>
    <m/>
    <m/>
    <s v="D     - Dare"/>
    <n v="175971.72"/>
    <n v="0"/>
    <n v="1604878"/>
    <s v="MRSLCN60L04B238C"/>
    <s v="MARUSCO LUCIANO"/>
    <s v="600 - Famiglie consumatrici"/>
    <m/>
    <s v="086 - ITALIA"/>
    <n v="1840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06"/>
    <s v="14"/>
    <s v="Operazione per conto di importo elevato per la causale ed il soggetto"/>
    <d v="2025-05-13T00:00:00"/>
    <n v="53850"/>
    <n v="102"/>
    <s v="053850_102"/>
    <s v="Discovery Day"/>
    <s v="Mai valutato"/>
    <m/>
    <n v="202505127970583"/>
    <n v="1023302279020"/>
    <n v="20250512"/>
    <x v="8"/>
    <m/>
    <m/>
    <s v="D     - Dare"/>
    <n v="419575.92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5"/>
    <s v="IN VALUTAZIONE RPR"/>
    <x v="1"/>
    <n v="1"/>
    <m/>
    <m/>
    <n v="0"/>
    <n v="493"/>
    <n v="430"/>
    <n v="430493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44"/>
    <s v="14"/>
    <s v="Operazione per conto di importo elevato per la causale ed il soggetto"/>
    <d v="2025-05-10T00:00:00"/>
    <n v="53850"/>
    <n v="103"/>
    <s v="053850_103"/>
    <s v="Discovery Day"/>
    <s v="Mai valutato"/>
    <m/>
    <n v="202505127963855"/>
    <n v="1033306970929"/>
    <n v="20250512"/>
    <x v="31"/>
    <m/>
    <m/>
    <s v="A     - Avere"/>
    <n v="1376294.69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43"/>
    <s v="14"/>
    <s v="Operazione per conto di importo elevato per la causale ed il soggetto"/>
    <d v="2025-05-10T00:00:00"/>
    <n v="53850"/>
    <n v="103"/>
    <s v="053850_103"/>
    <s v="Discovery Day"/>
    <s v="Mai valutato"/>
    <m/>
    <n v="202505127963855"/>
    <n v="1033306970929"/>
    <n v="20250512"/>
    <x v="31"/>
    <m/>
    <m/>
    <s v="A     - Avere"/>
    <n v="1376294.69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42"/>
    <s v="14"/>
    <s v="Operazione per conto di importo elevato per la causale ed il soggetto"/>
    <d v="2025-05-10T00:00:00"/>
    <n v="53850"/>
    <n v="103"/>
    <s v="053850_103"/>
    <s v="Discovery Day"/>
    <s v="Mai valutato"/>
    <m/>
    <n v="202505127963855"/>
    <n v="1033306970929"/>
    <n v="20250512"/>
    <x v="31"/>
    <m/>
    <m/>
    <s v="A     - Avere"/>
    <n v="1376294.69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41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3"/>
    <n v="1183306278672"/>
    <n v="20250509"/>
    <x v="13"/>
    <m/>
    <s v="086 - ITALIA"/>
    <s v="A     - Avere"/>
    <n v="1500000"/>
    <n v="0"/>
    <n v="496233"/>
    <s v="FRRFNC58D08A225C"/>
    <s v="FERRI FRANCESCO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39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3"/>
    <n v="1183306280513"/>
    <n v="20250509"/>
    <x v="13"/>
    <m/>
    <s v="086 - ITALIA"/>
    <s v="D     - Dare"/>
    <n v="1500000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38"/>
    <s v="14"/>
    <s v="Operazione per conto di importo elevato per la causale ed il soggetto"/>
    <d v="2025-05-10T00:00:00"/>
    <n v="53850"/>
    <n v="264"/>
    <s v="053850_264"/>
    <s v="Discovery Day"/>
    <s v="Mai valutato"/>
    <m/>
    <s v="202505096850921L"/>
    <n v="2643300001045"/>
    <n v="20250509"/>
    <x v="0"/>
    <m/>
    <m/>
    <s v="D     - Dare"/>
    <n v="4102.1499999999996"/>
    <n v="0"/>
    <n v="1646159"/>
    <s v="DSNNNA22C59I029S"/>
    <s v="DISANZA ANNA"/>
    <s v="600 - Famiglie consumatrici"/>
    <m/>
    <s v="086 - ITALIA"/>
    <n v="182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8037"/>
    <s v="14"/>
    <s v="Operazione per conto di importo elevato per la causale ed il soggetto"/>
    <d v="2025-05-10T00:00:00"/>
    <n v="53850"/>
    <n v="161"/>
    <s v="053850_161"/>
    <s v="Discovery Day"/>
    <s v="Mai valutato"/>
    <m/>
    <s v="202505096857492L"/>
    <n v="1613300033039"/>
    <n v="20250509"/>
    <x v="0"/>
    <m/>
    <m/>
    <s v="D     - Dare"/>
    <n v="1494"/>
    <n v="0"/>
    <n v="4925453"/>
    <n v="8050450728"/>
    <s v="RIESCA SOCIETA' A RESPONSABILITA' LIMITATA S"/>
    <s v="430 - Imprese produttive"/>
    <s v="561 - RISTORANTI E ATTIVITÀ DI RISTORAZIONE MOBILE"/>
    <s v="086 - ITALIA"/>
    <n v="1118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8034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2L"/>
    <n v="2613300002795"/>
    <n v="20250509"/>
    <x v="0"/>
    <m/>
    <m/>
    <s v="D     - Dare"/>
    <n v="1127.58"/>
    <n v="0"/>
    <n v="1652596"/>
    <s v="PRRGPP31L10E779L"/>
    <s v="PERRELLA GIUSEPPE"/>
    <s v="775 - Famiglie consumatrici di paesi non UE"/>
    <m/>
    <s v="011 - BRASILE"/>
    <m/>
    <m/>
    <m/>
    <m/>
    <m/>
    <m/>
    <m/>
    <m/>
    <n v="0"/>
    <n v="202505"/>
    <s v="ARCHIVIATA DA RPR"/>
    <x v="0"/>
    <n v="1"/>
    <m/>
    <m/>
    <n v="1"/>
    <n v="999"/>
    <n v="775"/>
    <n v="775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31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69"/>
    <n v="1183306280094"/>
    <n v="20250509"/>
    <x v="0"/>
    <m/>
    <m/>
    <s v="D     - Dare"/>
    <n v="16523.3"/>
    <n v="0"/>
    <n v="114232"/>
    <s v="TCCMRA36H64A225C"/>
    <s v="TACCOGNA MARIA"/>
    <s v="600 - Famiglie consumatrici"/>
    <m/>
    <s v="086 - ITALIA"/>
    <n v="126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8030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3"/>
    <n v="1183306278672"/>
    <n v="20250509"/>
    <x v="13"/>
    <m/>
    <s v="086 - ITALIA"/>
    <s v="A     - Avere"/>
    <n v="1500000"/>
    <n v="0"/>
    <n v="422471"/>
    <s v="CNTTRS60S62A225F"/>
    <s v="CONTE TERESA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29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59"/>
    <n v="1025507000167"/>
    <n v="20250509"/>
    <x v="9"/>
    <m/>
    <m/>
    <s v="D     - Dare"/>
    <n v="245000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8028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1L"/>
    <n v="2613300001928"/>
    <n v="20250509"/>
    <x v="0"/>
    <m/>
    <m/>
    <s v="D     - Dare"/>
    <n v="1422.48"/>
    <n v="0"/>
    <n v="1636180"/>
    <s v="GNFFLC34C10C854B"/>
    <s v="GIANFAGNA FELICE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27"/>
    <s v="14"/>
    <s v="Operazione per conto di importo elevato per la causale ed il soggetto"/>
    <d v="2025-05-10T00:00:00"/>
    <n v="53850"/>
    <n v="282"/>
    <s v="053850_282"/>
    <s v="Discovery Day"/>
    <s v="Mai valutato"/>
    <m/>
    <s v="202505096850699L"/>
    <n v="2823300001866"/>
    <n v="20250509"/>
    <x v="0"/>
    <m/>
    <m/>
    <s v="D     - Dare"/>
    <n v="1363.68"/>
    <n v="0"/>
    <n v="1678272"/>
    <s v="NWTCRS54R18Z114I"/>
    <s v="NEWTON CHRISTOPHER CHARLES"/>
    <s v="600 - Famiglie consumatrici"/>
    <m/>
    <s v="086 - ITALIA"/>
    <n v="1796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25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3"/>
    <n v="1183306278672"/>
    <n v="20250509"/>
    <x v="13"/>
    <m/>
    <s v="086 - ITALIA"/>
    <s v="A     - Avere"/>
    <n v="1500000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24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6"/>
    <n v="1183306278672"/>
    <n v="20250509"/>
    <x v="13"/>
    <m/>
    <s v="086 - ITALIA"/>
    <s v="D     - Dare"/>
    <n v="2290722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22"/>
    <s v="14"/>
    <s v="Operazione per conto di importo elevato per la causale ed il soggetto"/>
    <d v="2025-05-10T00:00:00"/>
    <n v="53850"/>
    <n v="169"/>
    <s v="053850_169"/>
    <s v="Discovery Day"/>
    <s v="Mai valutato"/>
    <m/>
    <n v="202505097964733"/>
    <n v="1693302224711"/>
    <n v="20250509"/>
    <x v="0"/>
    <m/>
    <m/>
    <s v="D     - Dare"/>
    <n v="19862.79"/>
    <n v="0"/>
    <n v="553145"/>
    <s v="DLLNDR46L26A883Z"/>
    <s v="DELL'ORCO ANDREA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8021"/>
    <s v="14"/>
    <s v="Operazione per conto di importo elevato per la causale ed il soggetto"/>
    <d v="2025-05-10T00:00:00"/>
    <n v="53850"/>
    <n v="103"/>
    <s v="053850_103"/>
    <s v="Discovery Day"/>
    <s v="Mai valutato"/>
    <m/>
    <n v="202505097962977"/>
    <n v="1033306976380"/>
    <n v="20250509"/>
    <x v="1"/>
    <m/>
    <s v="086 - ITALIA"/>
    <s v="A     - Avere"/>
    <n v="255000"/>
    <n v="0"/>
    <n v="471168"/>
    <s v="PDLBDT62C09Z112H"/>
    <s v="PADULA BENEDETT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8020"/>
    <s v="14"/>
    <s v="Operazione per conto di importo elevato per la causale ed il soggetto"/>
    <d v="2025-05-10T00:00:00"/>
    <n v="53850"/>
    <n v="118"/>
    <s v="053850_118"/>
    <s v="Discovery Day"/>
    <s v="Mai valutato"/>
    <m/>
    <n v="202505097963445"/>
    <n v="1183306279348"/>
    <n v="20250509"/>
    <x v="13"/>
    <m/>
    <s v="086 - ITALIA"/>
    <s v="A     - Avere"/>
    <n v="2290722"/>
    <n v="0"/>
    <n v="4890853"/>
    <n v="8059850720"/>
    <s v="FRANCO FERRI SOCIETA' A RESPONSABILITA' LIMI"/>
    <s v="430 - Imprese produttive"/>
    <s v="310 - FABBRICAZIONE DI MOBILI"/>
    <s v="086 - ITALIA"/>
    <n v="12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3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18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58"/>
    <n v="1025507000167"/>
    <n v="20250509"/>
    <x v="18"/>
    <m/>
    <m/>
    <s v="D     - Dare"/>
    <n v="245000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14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3L"/>
    <n v="2613300003184"/>
    <n v="20250509"/>
    <x v="0"/>
    <m/>
    <m/>
    <s v="D     - Dare"/>
    <n v="3926.03"/>
    <n v="0"/>
    <n v="1653380"/>
    <s v="VRDNGL33T11B830S"/>
    <s v="VERDILE ANGELO"/>
    <s v="600 - Famiglie consumatrici"/>
    <m/>
    <s v="086 - ITALIA"/>
    <n v="1755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8011"/>
    <s v="14"/>
    <s v="Operazione per conto di importo elevato per la causale ed il soggetto"/>
    <d v="2025-05-10T00:00:00"/>
    <n v="53850"/>
    <n v="102"/>
    <s v="053850_102"/>
    <s v="Discovery Day"/>
    <s v="Mai valutato"/>
    <m/>
    <n v="202505097962025"/>
    <n v="1503300003188"/>
    <n v="20250509"/>
    <x v="3"/>
    <m/>
    <s v="086 - ITALIA"/>
    <s v="D     - Dare"/>
    <n v="13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8010"/>
    <s v="14"/>
    <s v="Operazione per conto di importo elevato per la causale ed il soggetto"/>
    <d v="2025-05-10T00:00:00"/>
    <n v="53850"/>
    <n v="264"/>
    <s v="053850_264"/>
    <s v="Discovery Day"/>
    <s v="Mai valutato"/>
    <m/>
    <n v="202505097964868"/>
    <n v="2643300001636"/>
    <n v="20250509"/>
    <x v="0"/>
    <m/>
    <m/>
    <s v="D     - Dare"/>
    <n v="28420.45"/>
    <n v="0"/>
    <n v="1695450"/>
    <s v="LTRDNC71M56A225C"/>
    <s v="LATERZA DOMENICA"/>
    <s v="600 - Famiglie consumatrici"/>
    <m/>
    <s v="086 - ITALIA"/>
    <n v="1851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8008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6"/>
    <n v="1183306278672"/>
    <n v="20250509"/>
    <x v="13"/>
    <m/>
    <s v="086 - ITALIA"/>
    <s v="D     - Dare"/>
    <n v="2290722"/>
    <n v="0"/>
    <n v="422471"/>
    <s v="CNTTRS60S62A225F"/>
    <s v="CONTE TERESA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03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5"/>
    <n v="1183306280513"/>
    <n v="20250509"/>
    <x v="13"/>
    <m/>
    <s v="086 - ITALIA"/>
    <s v="D     - Dare"/>
    <n v="763574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8002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65"/>
    <n v="1023306272415"/>
    <n v="20250509"/>
    <x v="0"/>
    <m/>
    <m/>
    <s v="D     - Dare"/>
    <n v="34043.42"/>
    <n v="0"/>
    <n v="45192"/>
    <s v="PRZLNS44D29A225Z"/>
    <s v="PARZIALE ALFONSO"/>
    <s v="600 - Famiglie consumatrici"/>
    <m/>
    <s v="086 - ITALIA"/>
    <n v="160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8001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6"/>
    <n v="1183306278672"/>
    <n v="20250509"/>
    <x v="13"/>
    <m/>
    <s v="086 - ITALIA"/>
    <s v="D     - Dare"/>
    <n v="2290722"/>
    <n v="0"/>
    <n v="496233"/>
    <s v="FRRFNC58D08A225C"/>
    <s v="FERRI FRANCESCO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96"/>
    <s v="14"/>
    <s v="Operazione per conto di importo elevato per la causale ed il soggetto"/>
    <d v="2025-05-10T00:00:00"/>
    <n v="53850"/>
    <n v="118"/>
    <s v="053850_118"/>
    <s v="Discovery Day"/>
    <s v="Mai valutato"/>
    <m/>
    <n v="202505097962566"/>
    <n v="1183306279348"/>
    <n v="20250509"/>
    <x v="3"/>
    <m/>
    <s v="086 - ITALIA"/>
    <s v="D     - Dare"/>
    <n v="3436083"/>
    <n v="0"/>
    <n v="4890853"/>
    <n v="8059850720"/>
    <s v="FRANCO FERRI SOCIETA' A RESPONSABILITA' LIMI"/>
    <s v="430 - Imprese produttive"/>
    <s v="310 - FABBRICAZIONE DI MOBILI"/>
    <s v="086 - ITALIA"/>
    <n v="12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995"/>
    <s v="14"/>
    <s v="Operazione per conto di importo elevato per la causale ed il soggetto"/>
    <d v="2025-05-10T00:00:00"/>
    <n v="53850"/>
    <n v="153"/>
    <s v="053850_153"/>
    <s v="Discovery Day"/>
    <s v="Mai valutato"/>
    <m/>
    <n v="202505097962361"/>
    <n v="1533300662905"/>
    <n v="20250509"/>
    <x v="3"/>
    <m/>
    <s v="086 - ITALIA"/>
    <s v="D     - Dare"/>
    <n v="952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5"/>
    <s v="ARCHIVIATA"/>
    <x v="0"/>
    <n v="1"/>
    <m/>
    <m/>
    <n v="0"/>
    <n v="236"/>
    <n v="430"/>
    <n v="430236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92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4"/>
    <n v="1183306280513"/>
    <n v="20250509"/>
    <x v="13"/>
    <m/>
    <s v="086 - ITALIA"/>
    <s v="D     - Dare"/>
    <n v="763574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90"/>
    <s v="14"/>
    <s v="Operazione per conto di importo elevato per la causale ed il soggetto"/>
    <d v="2025-05-10T00:00:00"/>
    <n v="53850"/>
    <n v="164"/>
    <s v="053850_164"/>
    <s v="Discovery Day"/>
    <s v="Mai valutato"/>
    <m/>
    <n v="202505097962765"/>
    <n v="1643300370785"/>
    <n v="20250509"/>
    <x v="1"/>
    <m/>
    <s v="086 - ITALIA"/>
    <s v="A     - Avere"/>
    <n v="1138425.55"/>
    <n v="0"/>
    <n v="3732249"/>
    <n v="4127610717"/>
    <s v="SOCIETA' AGRICOLA GREEN ALMOND S.R.L."/>
    <s v="430 - Imprese produttive"/>
    <s v="011 - COLTIVAZIONE DI COLTURE AGRICOLE NON PERMANENTI"/>
    <s v="086 - ITALIA"/>
    <n v="67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989"/>
    <s v="14"/>
    <s v="Operazione per conto di importo elevato per la causale ed il soggetto"/>
    <d v="2025-05-10T00:00:00"/>
    <n v="53850"/>
    <n v="264"/>
    <s v="053850_264"/>
    <s v="Discovery Day"/>
    <s v="Mai valutato"/>
    <m/>
    <s v="202505096850922L"/>
    <n v="2643300001096"/>
    <n v="20250509"/>
    <x v="0"/>
    <m/>
    <m/>
    <s v="D     - Dare"/>
    <n v="1187.05"/>
    <n v="0"/>
    <n v="1647267"/>
    <s v="CLCFNC29L48A017E"/>
    <s v="COLUCCI FRANCESCA"/>
    <s v="600 - Famiglie consumatrici"/>
    <m/>
    <s v="086 - ITALIA"/>
    <n v="182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87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1L"/>
    <n v="2613300001928"/>
    <n v="20250509"/>
    <x v="0"/>
    <m/>
    <m/>
    <s v="D     - Dare"/>
    <n v="1422.48"/>
    <n v="0"/>
    <n v="1626895"/>
    <s v="GNFSVT55B04C854U"/>
    <s v="GIANFAGNA SALVATORE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85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65"/>
    <n v="1023306272415"/>
    <n v="20250509"/>
    <x v="0"/>
    <m/>
    <m/>
    <s v="D     - Dare"/>
    <n v="34043.42"/>
    <n v="0"/>
    <n v="4038101"/>
    <s v="MNNNTN48A63D305P"/>
    <s v="MINONNE ANTONIA"/>
    <s v="600 - Famiglie consumatrici"/>
    <m/>
    <s v="086 - ITALIA"/>
    <n v="157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984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2L"/>
    <n v="2613300002795"/>
    <n v="20250509"/>
    <x v="0"/>
    <m/>
    <m/>
    <s v="D     - Dare"/>
    <n v="1127.58"/>
    <n v="0"/>
    <n v="1652597"/>
    <s v="RCRGPP40E70E779N"/>
    <s v="ARCARO GIUSEPPA"/>
    <s v="775 - Famiglie consumatrici di paesi non UE"/>
    <m/>
    <s v="011 - BRASILE"/>
    <m/>
    <m/>
    <m/>
    <m/>
    <m/>
    <m/>
    <m/>
    <m/>
    <n v="0"/>
    <n v="202505"/>
    <s v="ARCHIVIATA DA RPR"/>
    <x v="0"/>
    <n v="1"/>
    <m/>
    <m/>
    <n v="1"/>
    <n v="999"/>
    <n v="775"/>
    <n v="775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81"/>
    <s v="14"/>
    <s v="Operazione per conto di importo elevato per la causale ed il soggetto"/>
    <d v="2025-05-10T00:00:00"/>
    <n v="53850"/>
    <n v="264"/>
    <s v="053850_264"/>
    <s v="Discovery Day"/>
    <s v="Mai valutato"/>
    <m/>
    <n v="202505097964868"/>
    <n v="2643300001636"/>
    <n v="20250509"/>
    <x v="0"/>
    <m/>
    <m/>
    <s v="D     - Dare"/>
    <n v="28420.45"/>
    <n v="0"/>
    <n v="1697151"/>
    <s v="CZZLCN59B24A801E"/>
    <s v="CAZZATO LUCIAN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979"/>
    <s v="14"/>
    <s v="Operazione per conto di importo elevato per la causale ed il soggetto"/>
    <d v="2025-05-09T00:00:00"/>
    <n v="53850"/>
    <n v="103"/>
    <s v="053850_103"/>
    <s v="Discovery Day"/>
    <s v="Mai valutato"/>
    <m/>
    <n v="202505097960978"/>
    <n v="1033306970929"/>
    <n v="20250509"/>
    <x v="31"/>
    <m/>
    <m/>
    <s v="A     - Avere"/>
    <n v="378453.25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8"/>
    <s v="14"/>
    <s v="Operazione per conto di importo elevato per la causale ed il soggetto"/>
    <d v="2025-05-09T00:00:00"/>
    <n v="53850"/>
    <n v="103"/>
    <s v="053850_103"/>
    <s v="Discovery Day"/>
    <s v="Mai valutato"/>
    <m/>
    <n v="202505097960978"/>
    <n v="1033306970929"/>
    <n v="20250509"/>
    <x v="31"/>
    <m/>
    <m/>
    <s v="A     - Avere"/>
    <n v="378453.25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7"/>
    <s v="14"/>
    <s v="Operazione per conto di importo elevato per la causale ed il soggetto"/>
    <d v="2025-05-09T00:00:00"/>
    <n v="53850"/>
    <n v="103"/>
    <s v="053850_103"/>
    <s v="Discovery Day"/>
    <s v="Mai valutato"/>
    <m/>
    <n v="202505097960978"/>
    <n v="1033306970929"/>
    <n v="20250509"/>
    <x v="31"/>
    <m/>
    <m/>
    <s v="A     - Avere"/>
    <n v="378453.25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6"/>
    <s v="14"/>
    <s v="Operazione per conto di importo elevato per la causale ed il soggetto"/>
    <d v="2025-05-09T00:00:00"/>
    <n v="53850"/>
    <n v="287"/>
    <s v="053850_287"/>
    <s v="Discovery Day"/>
    <s v="Mai valutato"/>
    <m/>
    <s v="202505086816685L"/>
    <n v="2873300000387"/>
    <n v="20250508"/>
    <x v="0"/>
    <m/>
    <m/>
    <s v="D     - Dare"/>
    <n v="2569.71"/>
    <n v="0"/>
    <n v="1659547"/>
    <s v="SPDMRA45R59E594H"/>
    <s v="SPADARO MARIA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75"/>
    <s v="14"/>
    <s v="Operazione per conto di importo elevato per la causale ed il soggetto"/>
    <d v="2025-05-09T00:00:00"/>
    <n v="53850"/>
    <n v="284"/>
    <s v="053850_284"/>
    <s v="Discovery Day"/>
    <s v="Mai valutato"/>
    <m/>
    <s v="202505086817598L"/>
    <n v="2843300001336"/>
    <n v="20250508"/>
    <x v="0"/>
    <m/>
    <m/>
    <s v="D     - Dare"/>
    <n v="2000.85"/>
    <n v="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974"/>
    <s v="14"/>
    <s v="Operazione per conto di importo elevato per la causale ed il soggetto"/>
    <d v="2025-05-09T00:00:00"/>
    <n v="53850"/>
    <n v="287"/>
    <s v="053850_287"/>
    <s v="Discovery Day"/>
    <s v="Mai valutato"/>
    <m/>
    <s v="202505086816686L"/>
    <n v="2873300000860"/>
    <n v="20250508"/>
    <x v="0"/>
    <m/>
    <m/>
    <s v="D     - Dare"/>
    <n v="3797.51"/>
    <n v="0"/>
    <n v="1678949"/>
    <s v="LCNNTN43M29Z326M"/>
    <s v="LUCIANI ANTONIO"/>
    <s v="600 - Famiglie consumatrici"/>
    <m/>
    <s v="086 - ITALIA"/>
    <n v="1804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71"/>
    <s v="14"/>
    <s v="Operazione per conto di importo elevato per la causale ed il soggetto"/>
    <d v="2025-05-09T00:00:00"/>
    <n v="53850"/>
    <n v="282"/>
    <s v="053850_282"/>
    <s v="Discovery Day"/>
    <s v="Mai valutato"/>
    <m/>
    <n v="202505087961431"/>
    <n v="2823300000688"/>
    <n v="20250508"/>
    <x v="6"/>
    <m/>
    <m/>
    <s v="D     - Dare"/>
    <n v="100000"/>
    <n v="0"/>
    <n v="1624874"/>
    <s v="PRRCLL53A11B985C"/>
    <s v="PORRECA CAMILLO"/>
    <s v="615 - Altre famiglie produttrici"/>
    <s v="477 - COMMERCIO AL DETTAGLIO DI ALTRI PRODOTTI IN ESERCIZI SPECIALIZZATI"/>
    <s v="086 - ITALIA"/>
    <n v="1829"/>
    <m/>
    <m/>
    <m/>
    <m/>
    <m/>
    <m/>
    <m/>
    <n v="0"/>
    <n v="202505"/>
    <s v="ARCHIVIATA DA RPR"/>
    <x v="0"/>
    <n v="1"/>
    <m/>
    <m/>
    <n v="0"/>
    <n v="477"/>
    <n v="615"/>
    <n v="615477"/>
    <s v="Classe di rischio 6"/>
    <m/>
    <x v="6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0"/>
    <s v="14"/>
    <s v="Operazione per conto di importo elevato per la causale ed il soggetto"/>
    <d v="2025-05-09T00:00:00"/>
    <n v="53850"/>
    <n v="181"/>
    <s v="053850_181"/>
    <s v="Discovery Day"/>
    <s v="Mai valutato"/>
    <m/>
    <s v="202505086818645L"/>
    <n v="1813301028722"/>
    <n v="20250508"/>
    <x v="0"/>
    <m/>
    <m/>
    <s v="D     - Dare"/>
    <n v="3844.78"/>
    <n v="0"/>
    <n v="4542975"/>
    <s v="NGRSRG52L31A893T"/>
    <s v="UNGARO SERGIO"/>
    <s v="600 - Famiglie consumatrici"/>
    <m/>
    <s v="086 - ITALIA"/>
    <n v="85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65"/>
    <s v="14"/>
    <s v="Operazione per conto di importo elevato per la causale ed il soggetto"/>
    <d v="2025-05-09T00:00:00"/>
    <n v="53850"/>
    <n v="102"/>
    <s v="053850_102"/>
    <s v="Discovery Day"/>
    <s v="Mai valutato"/>
    <m/>
    <n v="202505087959177"/>
    <n v="1023308719178"/>
    <n v="20250508"/>
    <x v="3"/>
    <m/>
    <s v="086 - ITALIA"/>
    <s v="D     - Dare"/>
    <n v="10000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964"/>
    <s v="14"/>
    <s v="Operazione per conto di importo elevato per la causale ed il soggetto"/>
    <d v="2025-05-09T00:00:00"/>
    <n v="53850"/>
    <n v="116"/>
    <s v="053850_116"/>
    <s v="Discovery Day"/>
    <s v="Mai valutato"/>
    <m/>
    <n v="202505087961576"/>
    <n v="1163304921400"/>
    <n v="20250508"/>
    <x v="0"/>
    <m/>
    <m/>
    <s v="D     - Dare"/>
    <n v="41708.03"/>
    <n v="0"/>
    <n v="492140"/>
    <s v="PRCNCL32E15A662I"/>
    <s v="PORCELLI NICOLA"/>
    <s v="600 - Famiglie consumatrici"/>
    <m/>
    <s v="086 - ITALIA"/>
    <n v="808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961"/>
    <s v="14"/>
    <s v="Operazione per conto di importo elevato per la causale ed il soggetto"/>
    <d v="2025-05-09T00:00:00"/>
    <n v="53850"/>
    <n v="102"/>
    <s v="053850_102"/>
    <s v="Discovery Day"/>
    <s v="Mai valutato"/>
    <m/>
    <n v="202505087959108"/>
    <n v="1503300003188"/>
    <n v="20250508"/>
    <x v="3"/>
    <m/>
    <s v="086 - ITALIA"/>
    <s v="D     - Dare"/>
    <n v="24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60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17L"/>
    <n v="1093306674566"/>
    <n v="20250508"/>
    <x v="0"/>
    <m/>
    <m/>
    <s v="D     - Dare"/>
    <n v="1517.41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56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882L"/>
    <n v="1093300221090"/>
    <n v="20250508"/>
    <x v="0"/>
    <m/>
    <m/>
    <s v="D     - Dare"/>
    <n v="1225.33"/>
    <n v="0"/>
    <n v="4861802"/>
    <n v="3811090723"/>
    <s v="SANTA MARIA S.R.L."/>
    <s v="430 - Imprese produttive"/>
    <s v="861 - SERVIZI OSPEDALIERI"/>
    <s v="086 - ITALIA"/>
    <n v="1919"/>
    <m/>
    <m/>
    <m/>
    <m/>
    <m/>
    <m/>
    <m/>
    <n v="0"/>
    <n v="202505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955"/>
    <s v="14"/>
    <s v="Operazione per conto di importo elevato per la causale ed il soggetto"/>
    <d v="2025-05-09T00:00:00"/>
    <n v="53850"/>
    <n v="102"/>
    <s v="053850_102"/>
    <s v="Discovery Day"/>
    <s v="Mai valutato"/>
    <m/>
    <s v="202505086816291L"/>
    <n v="1023308722071"/>
    <n v="20250508"/>
    <x v="0"/>
    <m/>
    <m/>
    <s v="D     - Dare"/>
    <n v="1384.66"/>
    <n v="0"/>
    <n v="194802"/>
    <n v="3151820721"/>
    <s v="PROGETTO MODA S.R.L."/>
    <s v="430 - Imprese produttive"/>
    <s v="477 - COMMERCIO AL DETTAGLIO DI ALTRI PRODOTTI IN ESERCIZI SPECIALIZZATI"/>
    <s v="086 - ITALIA"/>
    <n v="1203"/>
    <m/>
    <m/>
    <m/>
    <m/>
    <m/>
    <m/>
    <m/>
    <n v="0"/>
    <n v="202505"/>
    <s v="IN VALUTAZIONE RPR"/>
    <x v="1"/>
    <n v="1"/>
    <m/>
    <m/>
    <n v="1"/>
    <n v="477"/>
    <n v="430"/>
    <n v="430477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54"/>
    <s v="14"/>
    <s v="Operazione per conto di importo elevato per la causale ed il soggetto"/>
    <d v="2025-05-09T00:00:00"/>
    <n v="53850"/>
    <n v="196"/>
    <s v="053850_196"/>
    <s v="Discovery Day"/>
    <s v="Mai valutato"/>
    <m/>
    <s v="202505086817183L"/>
    <n v="1963302354339"/>
    <n v="20250508"/>
    <x v="0"/>
    <m/>
    <m/>
    <s v="D     - Dare"/>
    <n v="1112.33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5"/>
    <s v="IN VALUTAZIONE RPR"/>
    <x v="1"/>
    <n v="1"/>
    <m/>
    <m/>
    <n v="1"/>
    <n v="999"/>
    <n v="480"/>
    <n v="480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52"/>
    <s v="14"/>
    <s v="Operazione per conto di importo elevato per la causale ed il soggetto"/>
    <d v="2025-05-09T00:00:00"/>
    <n v="53850"/>
    <n v="181"/>
    <s v="053850_181"/>
    <s v="Discovery Day"/>
    <s v="Mai valutato"/>
    <m/>
    <s v="202505086818645L"/>
    <n v="1813301028722"/>
    <n v="20250508"/>
    <x v="0"/>
    <m/>
    <m/>
    <s v="D     - Dare"/>
    <n v="3844.78"/>
    <n v="0"/>
    <n v="4542977"/>
    <s v="BRLMLE58D65L109Q"/>
    <s v="BARILE EMILI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51"/>
    <s v="14"/>
    <s v="Operazione per conto di importo elevato per la causale ed il soggetto"/>
    <d v="2025-05-09T00:00:00"/>
    <n v="53850"/>
    <n v="102"/>
    <s v="053850_102"/>
    <s v="Discovery Day"/>
    <s v="Mai valutato"/>
    <m/>
    <n v="202505087959178"/>
    <n v="1023308719178"/>
    <n v="20250508"/>
    <x v="3"/>
    <m/>
    <s v="086 - ITALIA"/>
    <s v="D     - Dare"/>
    <n v="18876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48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16L"/>
    <n v="1093306674566"/>
    <n v="20250508"/>
    <x v="0"/>
    <m/>
    <m/>
    <s v="D     - Dare"/>
    <n v="1080.93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6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523L"/>
    <n v="1093306672791"/>
    <n v="20250508"/>
    <x v="0"/>
    <m/>
    <m/>
    <s v="D     - Dare"/>
    <n v="1042.1600000000001"/>
    <n v="0"/>
    <n v="4711527"/>
    <n v="6286800724"/>
    <s v="MERCANTILE SOCIETA' A RESPONSABILITA'LIMITAT"/>
    <s v="430 - Imprese produttive"/>
    <s v="561 - RISTORANTI E ATTIVITÀ DI RISTORAZIONE MOBILE"/>
    <s v="086 - ITALIA"/>
    <n v="50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5"/>
    <s v="14"/>
    <s v="Operazione per conto di importo elevato per la causale ed il soggetto"/>
    <d v="2025-05-09T00:00:00"/>
    <n v="53850"/>
    <n v="261"/>
    <s v="053850_261"/>
    <s v="Discovery Day"/>
    <s v="Mai valutato"/>
    <m/>
    <n v="202505087961821"/>
    <n v="2613300000312"/>
    <n v="20250508"/>
    <x v="1"/>
    <m/>
    <s v="086 - ITALIA"/>
    <s v="A     - Avere"/>
    <n v="200900.69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3"/>
    <s v="14"/>
    <s v="Operazione per conto di importo elevato per la causale ed il soggetto"/>
    <d v="2025-05-09T00:00:00"/>
    <n v="53850"/>
    <n v="103"/>
    <s v="053850_103"/>
    <s v="Discovery Day"/>
    <s v="Mai valutato"/>
    <m/>
    <n v="202505087960462"/>
    <n v="1033306985959"/>
    <n v="20250508"/>
    <x v="1"/>
    <m/>
    <s v="086 - ITALIA"/>
    <s v="A     - Avere"/>
    <n v="245000"/>
    <n v="0"/>
    <n v="3740317"/>
    <s v="SNNRKE69B56A952N"/>
    <s v="SINN ERIK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38"/>
    <s v="14"/>
    <s v="Operazione per conto di importo elevato per la causale ed il soggetto"/>
    <d v="2025-05-09T00:00:00"/>
    <n v="53850"/>
    <n v="259"/>
    <s v="053850_259"/>
    <s v="Discovery Day"/>
    <s v="Mai valutato"/>
    <m/>
    <n v="202505087960713"/>
    <n v="2593300002769"/>
    <n v="20250508"/>
    <x v="13"/>
    <m/>
    <s v="086 - ITALIA"/>
    <s v="A     - Avere"/>
    <n v="550000"/>
    <n v="0"/>
    <n v="4731246"/>
    <s v="FDNFNC63H50F280T"/>
    <s v="FIDANZIO FRANCESCA"/>
    <s v="600 - Famiglie consumatrici"/>
    <m/>
    <s v="086 - ITALIA"/>
    <n v="1609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932"/>
    <s v="14"/>
    <s v="Operazione per conto di importo elevato per la causale ed il soggetto"/>
    <d v="2025-05-09T00:00:00"/>
    <n v="53850"/>
    <n v="171"/>
    <s v="053850_171"/>
    <s v="Discovery Day"/>
    <s v="Mai valutato"/>
    <m/>
    <s v="202505086817430L"/>
    <n v="1713302216097"/>
    <n v="20250508"/>
    <x v="0"/>
    <m/>
    <m/>
    <s v="D     - Dare"/>
    <n v="1087.93"/>
    <n v="0"/>
    <n v="4780929"/>
    <n v="7472640726"/>
    <s v="L'INCANTO S.R.L."/>
    <s v="430 - Imprese produttive"/>
    <s v="561 - RISTORANTI E ATTIVITÀ DI RISTORAZIONE MOBILE"/>
    <s v="086 - ITALIA"/>
    <n v="1118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30"/>
    <s v="14"/>
    <s v="Operazione per conto di importo elevato per la causale ed il soggetto"/>
    <d v="2025-05-09T00:00:00"/>
    <n v="53850"/>
    <n v="216"/>
    <s v="053850_216"/>
    <s v="Discovery Day"/>
    <s v="Mai valutato"/>
    <m/>
    <s v="202505086817045L"/>
    <n v="2163300012270"/>
    <n v="20250508"/>
    <x v="0"/>
    <m/>
    <m/>
    <s v="D     - Dare"/>
    <n v="2430.1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26"/>
    <s v="14"/>
    <s v="Operazione per conto di importo elevato per la causale ed il soggetto"/>
    <d v="2025-05-09T00:00:00"/>
    <n v="53850"/>
    <n v="114"/>
    <s v="053850_114"/>
    <s v="Discovery Day"/>
    <s v="Mai valutato"/>
    <m/>
    <s v="202505086812136L"/>
    <n v="1143306282464"/>
    <n v="20250508"/>
    <x v="0"/>
    <m/>
    <m/>
    <s v="D     - Dare"/>
    <n v="2094.9"/>
    <n v="0"/>
    <n v="516687"/>
    <s v="SGNNCL34H21A854A"/>
    <s v="SIGNORE NICOLA"/>
    <s v="600 - Famiglie consumatrici"/>
    <m/>
    <s v="086 - ITALIA"/>
    <n v="1115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925"/>
    <s v="14"/>
    <s v="Operazione per conto di importo elevato per la causale ed il soggetto"/>
    <d v="2025-05-09T00:00:00"/>
    <n v="53850"/>
    <n v="287"/>
    <s v="053850_287"/>
    <s v="Discovery Day"/>
    <s v="Mai valutato"/>
    <m/>
    <s v="202505086816685L"/>
    <n v="2873300000387"/>
    <n v="20250508"/>
    <x v="0"/>
    <m/>
    <m/>
    <s v="D     - Dare"/>
    <n v="2569.71"/>
    <n v="0"/>
    <n v="1659546"/>
    <s v="FRRLRD20M14C114B"/>
    <s v="FERRANTE ALFREDO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24"/>
    <s v="14"/>
    <s v="Operazione per conto di importo elevato per la causale ed il soggetto"/>
    <d v="2025-05-09T00:00:00"/>
    <n v="53850"/>
    <n v="268"/>
    <s v="053850_268"/>
    <s v="Discovery Day"/>
    <s v="Mai valutato"/>
    <m/>
    <s v="202505086816892L"/>
    <n v="2683300003973"/>
    <n v="20250508"/>
    <x v="0"/>
    <m/>
    <m/>
    <s v="D     - Dare"/>
    <n v="4396.18"/>
    <n v="0"/>
    <n v="1645933"/>
    <s v="PRMVCN46H29F537O"/>
    <s v="PRIMAVERA VINCENZO"/>
    <s v="600 - Famiglie consumatrici"/>
    <m/>
    <s v="086 - ITALIA"/>
    <n v="18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922"/>
    <s v="14"/>
    <s v="Operazione per conto di importo elevato per la causale ed il soggetto"/>
    <d v="2025-05-09T00:00:00"/>
    <n v="53850"/>
    <n v="125"/>
    <s v="053850_125"/>
    <s v="Discovery Day"/>
    <s v="Mai valutato"/>
    <m/>
    <s v="202505086819400L"/>
    <n v="1253300002492"/>
    <n v="20250508"/>
    <x v="0"/>
    <m/>
    <m/>
    <s v="D     - Dare"/>
    <n v="2145.0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921"/>
    <s v="14"/>
    <s v="Operazione per conto di importo elevato per la causale ed il soggetto"/>
    <d v="2025-05-09T00:00:00"/>
    <n v="53850"/>
    <n v="103"/>
    <s v="053850_103"/>
    <s v="Discovery Day"/>
    <s v="Mai valutato"/>
    <m/>
    <s v="202505086819189L"/>
    <n v="1033306979232"/>
    <n v="20250508"/>
    <x v="0"/>
    <m/>
    <m/>
    <s v="D     - Dare"/>
    <n v="1249.29"/>
    <n v="0"/>
    <n v="4947000"/>
    <n v="8226640723"/>
    <s v="OPPIP SOCIETA' A RESPONSABILITA' LIMITATA SE"/>
    <s v="430 - Imprese produttive"/>
    <s v="552 - ALLOGGI PER VACANZE E ALTRE STRUTTURE PER BREVI SOGGIORNI"/>
    <s v="086 - ITALIA"/>
    <n v="191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19"/>
    <s v="14"/>
    <s v="Operazione per conto di importo elevato per la causale ed il soggetto"/>
    <d v="2025-05-09T00:00:00"/>
    <n v="53850"/>
    <n v="137"/>
    <s v="053850_137"/>
    <s v="Discovery Day"/>
    <s v="Mai valutato"/>
    <m/>
    <n v="202505087961208"/>
    <n v="1373304102457"/>
    <n v="20250508"/>
    <x v="6"/>
    <m/>
    <m/>
    <s v="D     - Dare"/>
    <n v="400000"/>
    <n v="0"/>
    <n v="1003291"/>
    <s v="FRRGPP44R58L230X"/>
    <s v="FERRAZZANO GIUSEPPINA"/>
    <s v="600 - Famiglie consumatrici"/>
    <m/>
    <s v="086 - ITALIA"/>
    <n v="1867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16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28L"/>
    <n v="1093306677028"/>
    <n v="20250508"/>
    <x v="0"/>
    <m/>
    <m/>
    <s v="D     - Dare"/>
    <n v="2370.46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13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11L"/>
    <n v="1093306674452"/>
    <n v="20250508"/>
    <x v="0"/>
    <m/>
    <m/>
    <s v="D     - Dare"/>
    <n v="1860.59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5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907"/>
    <s v="14"/>
    <s v="Operazione per conto di importo elevato per la causale ed il soggetto"/>
    <d v="2025-05-08T00:00:00"/>
    <n v="53850"/>
    <n v="182"/>
    <s v="053850_182"/>
    <s v="Discovery Day"/>
    <s v="Mai valutato"/>
    <m/>
    <n v="202505077958798"/>
    <n v="1823300167781"/>
    <n v="20250507"/>
    <x v="0"/>
    <m/>
    <m/>
    <s v="D     - Dare"/>
    <n v="9856.8799999999992"/>
    <n v="0"/>
    <n v="3028782"/>
    <s v="DSNRNN56M63C514O"/>
    <s v="DESANTIS ROSANN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905"/>
    <s v="14"/>
    <s v="Operazione per conto di importo elevato per la causale ed il soggetto"/>
    <d v="2025-05-08T00:00:00"/>
    <n v="53850"/>
    <n v="185"/>
    <s v="053850_185"/>
    <s v="Discovery Day"/>
    <s v="Mai valutato"/>
    <m/>
    <n v="202505077957174"/>
    <n v="1853300028940"/>
    <n v="20250507"/>
    <x v="1"/>
    <m/>
    <s v="086 - ITALIA"/>
    <s v="A     - Avere"/>
    <n v="250362.33"/>
    <n v="0"/>
    <n v="3060168"/>
    <s v="FTACSR58P46L049O"/>
    <s v="FAITA CESIR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02"/>
    <s v="14"/>
    <s v="Operazione per conto di importo elevato per la causale ed il soggetto"/>
    <d v="2025-05-08T00:00:00"/>
    <n v="53850"/>
    <n v="131"/>
    <s v="053850_131"/>
    <s v="Discovery Day"/>
    <s v="Mai valutato"/>
    <m/>
    <n v="202505077958655"/>
    <n v="1313300003339"/>
    <n v="20250507"/>
    <x v="0"/>
    <m/>
    <m/>
    <s v="D     - Dare"/>
    <n v="16546.03"/>
    <n v="0"/>
    <n v="4053353"/>
    <s v="LCCSVN34R65H186Q"/>
    <s v="LICCIONE SAVINA"/>
    <s v="600 - Famiglie consumatrici"/>
    <m/>
    <s v="086 - ITALIA"/>
    <n v="134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98"/>
    <s v="14"/>
    <s v="Operazione per conto di importo elevato per la causale ed il soggetto"/>
    <d v="2025-05-08T00:00:00"/>
    <n v="53850"/>
    <n v="125"/>
    <s v="053850_125"/>
    <s v="Discovery Day"/>
    <s v="Mai valutato"/>
    <m/>
    <n v="202505077958640"/>
    <n v="1253300002202"/>
    <n v="20250507"/>
    <x v="0"/>
    <m/>
    <m/>
    <s v="D     - Dare"/>
    <n v="105733.24"/>
    <n v="0"/>
    <n v="4885518"/>
    <s v="MSTFLC42R17B354Q"/>
    <s v="MASTANTUONI FELICE"/>
    <s v="600 - Famiglie consumatrici"/>
    <m/>
    <s v="086 - ITALIA"/>
    <n v="1346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897"/>
    <s v="14"/>
    <s v="Operazione per conto di importo elevato per la causale ed il soggetto"/>
    <d v="2025-05-08T00:00:00"/>
    <n v="53850"/>
    <n v="267"/>
    <s v="053850_267"/>
    <s v="Discovery Day"/>
    <s v="Mai valutato"/>
    <m/>
    <n v="202505077958504"/>
    <n v="2673300001343"/>
    <n v="20250507"/>
    <x v="0"/>
    <m/>
    <m/>
    <s v="D     - Dare"/>
    <n v="11874.46"/>
    <n v="0"/>
    <n v="1643523"/>
    <s v="RRZDNC59A10A386Y"/>
    <s v="ARRUZZA DOMENICO"/>
    <s v="600 - Famiglie consumatrici"/>
    <m/>
    <s v="086 - ITALIA"/>
    <n v="183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94"/>
    <s v="14"/>
    <s v="Operazione per conto di importo elevato per la causale ed il soggetto"/>
    <d v="2025-05-08T00:00:00"/>
    <n v="53850"/>
    <n v="114"/>
    <s v="053850_114"/>
    <s v="Discovery Day"/>
    <s v="Mai valutato"/>
    <m/>
    <n v="202505077958605"/>
    <n v="1143306281918"/>
    <n v="20250507"/>
    <x v="0"/>
    <m/>
    <m/>
    <s v="D     - Dare"/>
    <n v="26635.58"/>
    <n v="0"/>
    <n v="554252"/>
    <s v="SNTNNT37B64D643T"/>
    <s v="SANTORO ANTONIETTA"/>
    <s v="600 - Famiglie consumatrici"/>
    <m/>
    <s v="086 - ITALIA"/>
    <n v="642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893"/>
    <s v="14"/>
    <s v="Operazione per conto di importo elevato per la causale ed il soggetto"/>
    <d v="2025-05-08T00:00:00"/>
    <n v="53850"/>
    <n v="182"/>
    <s v="053850_182"/>
    <s v="Discovery Day"/>
    <s v="Mai valutato"/>
    <m/>
    <n v="202505077958333"/>
    <n v="1823300072312"/>
    <n v="20250507"/>
    <x v="6"/>
    <m/>
    <m/>
    <s v="D     - Dare"/>
    <n v="990000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87"/>
    <s v="14"/>
    <s v="Operazione per conto di importo elevato per la causale ed il soggetto"/>
    <d v="2025-05-08T00:00:00"/>
    <n v="53850"/>
    <n v="187"/>
    <s v="053850_187"/>
    <s v="Discovery Day"/>
    <s v="Mai valutato"/>
    <m/>
    <s v="202505076754722L"/>
    <n v="1873300126632"/>
    <n v="20250507"/>
    <x v="0"/>
    <m/>
    <m/>
    <s v="D     - Dare"/>
    <n v="4618.8100000000004"/>
    <n v="0"/>
    <n v="4057538"/>
    <s v="DMRLRA24D44E036U"/>
    <s v="DI MIRA LAURA"/>
    <s v="600 - Famiglie consumatrici"/>
    <m/>
    <s v="086 - ITALIA"/>
    <n v="116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86"/>
    <s v="14"/>
    <s v="Operazione per conto di importo elevato per la causale ed il soggetto"/>
    <d v="2025-05-08T00:00:00"/>
    <n v="53850"/>
    <n v="129"/>
    <s v="053850_129"/>
    <s v="Discovery Day"/>
    <s v="Mai valutato"/>
    <m/>
    <n v="202505077958161"/>
    <n v="1293300002160"/>
    <n v="20250507"/>
    <x v="6"/>
    <m/>
    <m/>
    <s v="D     - Dare"/>
    <n v="720000"/>
    <n v="0"/>
    <n v="4162937"/>
    <n v="4879190728"/>
    <s v="DI PINTO &amp; DALESSANDRO S.P.A."/>
    <s v="430 - Imprese produttive"/>
    <s v="292 - FABBRICAZIONE DI CARROZZERIE PER AUTOVEICOLI, RIMORCHI E SEMIRIMORCHI"/>
    <s v="086 - ITALIA"/>
    <n v="1058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84"/>
    <s v="14"/>
    <s v="Operazione per conto di importo elevato per la causale ed il soggetto"/>
    <d v="2025-05-08T00:00:00"/>
    <n v="53850"/>
    <n v="102"/>
    <s v="053850_102"/>
    <s v="Discovery Day"/>
    <s v="Mai valutato"/>
    <m/>
    <n v="202505077957322"/>
    <n v="1023308726073"/>
    <n v="20250507"/>
    <x v="1"/>
    <m/>
    <s v="086 - ITALIA"/>
    <s v="A     - Avere"/>
    <n v="803359.5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883"/>
    <s v="14"/>
    <s v="Operazione per conto di importo elevato per la causale ed il soggetto"/>
    <d v="2025-05-08T00:00:00"/>
    <n v="53850"/>
    <n v="185"/>
    <s v="053850_185"/>
    <s v="Discovery Day"/>
    <s v="Mai valutato"/>
    <m/>
    <n v="202505077957174"/>
    <n v="1853300028940"/>
    <n v="20250507"/>
    <x v="1"/>
    <m/>
    <s v="086 - ITALIA"/>
    <s v="A     - Avere"/>
    <n v="250362.33"/>
    <n v="0"/>
    <n v="3060089"/>
    <s v="GLAMRA54T19G942G"/>
    <s v="GALA MARIO"/>
    <s v="600 - Famiglie consumatrici"/>
    <m/>
    <s v="086 - ITALIA"/>
    <n v="610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880"/>
    <s v="14"/>
    <s v="Operazione per conto di importo elevato per la causale ed il soggetto"/>
    <d v="2025-05-08T00:00:00"/>
    <n v="53850"/>
    <n v="169"/>
    <s v="053850_169"/>
    <s v="Discovery Day"/>
    <s v="Mai valutato"/>
    <m/>
    <n v="202505077958736"/>
    <n v="1693302223212"/>
    <n v="20250507"/>
    <x v="0"/>
    <m/>
    <m/>
    <s v="D     - Dare"/>
    <n v="15253.79"/>
    <n v="0"/>
    <n v="548505"/>
    <s v="DLLFNC50D13A883H"/>
    <s v="DELL'OLIO FRANCESCO"/>
    <s v="600 - Famiglie consumatrici"/>
    <m/>
    <s v="086 - ITALIA"/>
    <n v="90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79"/>
    <s v="14"/>
    <s v="Operazione per conto di importo elevato per la causale ed il soggetto"/>
    <d v="2025-05-08T00:00:00"/>
    <n v="53850"/>
    <n v="109"/>
    <s v="053850_109"/>
    <s v="Discovery Day"/>
    <s v="Mai valutato"/>
    <m/>
    <s v="202505076748586L"/>
    <n v="1093304818240"/>
    <n v="20250507"/>
    <x v="0"/>
    <m/>
    <m/>
    <s v="D     - Dare"/>
    <n v="1224.77"/>
    <n v="0"/>
    <n v="481824"/>
    <s v="GNCMTT58A05F284K"/>
    <s v="GIANCASPRO MATTEO"/>
    <s v="600 - Famiglie consumatrici"/>
    <m/>
    <s v="086 - ITALIA"/>
    <n v="507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76"/>
    <s v="14"/>
    <s v="Operazione per conto di importo elevato per la causale ed il soggetto"/>
    <d v="2025-05-08T00:00:00"/>
    <n v="53850"/>
    <n v="259"/>
    <s v="053850_259"/>
    <s v="Discovery Day"/>
    <s v="Mai valutato"/>
    <m/>
    <n v="202505077957549"/>
    <n v="2593300001020"/>
    <n v="20250507"/>
    <x v="1"/>
    <m/>
    <s v="086 - ITALIA"/>
    <s v="A     - Avere"/>
    <n v="7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5"/>
    <s v="IN CARICO AL GESTORE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74"/>
    <s v="14"/>
    <s v="Operazione per conto di importo elevato per la causale ed il soggetto"/>
    <d v="2025-05-08T00:00:00"/>
    <n v="53850"/>
    <n v="169"/>
    <s v="053850_169"/>
    <s v="Discovery Day"/>
    <s v="Mai valutato"/>
    <m/>
    <n v="202505077958736"/>
    <n v="1693302223212"/>
    <n v="20250507"/>
    <x v="0"/>
    <m/>
    <m/>
    <s v="D     - Dare"/>
    <n v="15253.79"/>
    <n v="0"/>
    <n v="548508"/>
    <s v="BMBMRA51H48A883Q"/>
    <s v="BOMBINI MARIA"/>
    <s v="600 - Famiglie consumatrici"/>
    <m/>
    <s v="086 - ITALIA"/>
    <n v="1261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72"/>
    <s v="14"/>
    <s v="Operazione per conto di importo elevato per la causale ed il soggetto"/>
    <d v="2025-05-08T00:00:00"/>
    <n v="53850"/>
    <n v="126"/>
    <s v="053850_126"/>
    <s v="Discovery Day"/>
    <s v="Mai valutato"/>
    <m/>
    <s v="202505076748209L"/>
    <n v="1263300003423"/>
    <n v="20250507"/>
    <x v="0"/>
    <m/>
    <m/>
    <s v="D     - Dare"/>
    <n v="3048.32"/>
    <n v="0"/>
    <n v="4670196"/>
    <s v="DNNMRS69A45B619C"/>
    <s v="DI NUNNO MARIA ROSARIA"/>
    <s v="600 - Famiglie consumatrici"/>
    <m/>
    <s v="086 - ITALIA"/>
    <n v="1423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871"/>
    <s v="14"/>
    <s v="Operazione per conto di importo elevato per la causale ed il soggetto"/>
    <d v="2025-05-08T00:00:00"/>
    <n v="53850"/>
    <n v="102"/>
    <s v="053850_102"/>
    <s v="Discovery Day"/>
    <s v="Mai valutato"/>
    <m/>
    <n v="202505077958520"/>
    <n v="1503300003188"/>
    <n v="20250507"/>
    <x v="13"/>
    <m/>
    <s v="086 - ITALIA"/>
    <s v="A     - Avere"/>
    <n v="2082871.68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863"/>
    <s v="14"/>
    <s v="Operazione per conto di importo elevato per la causale ed il soggetto"/>
    <d v="2025-05-08T00:00:00"/>
    <n v="53850"/>
    <n v="131"/>
    <s v="053850_131"/>
    <s v="Discovery Day"/>
    <s v="Mai valutato"/>
    <m/>
    <n v="202505077958655"/>
    <n v="1313300003339"/>
    <n v="20250507"/>
    <x v="0"/>
    <m/>
    <m/>
    <s v="D     - Dare"/>
    <n v="16546.03"/>
    <n v="0"/>
    <n v="4054276"/>
    <s v="TMSVCN34B05H831A"/>
    <s v="TOMASULO VINCENZO"/>
    <s v="600 - Famiglie consumatrici"/>
    <m/>
    <s v="086 - ITALIA"/>
    <n v="134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62"/>
    <s v="14"/>
    <s v="Operazione per conto di importo elevato per la causale ed il soggetto"/>
    <d v="2025-05-08T00:00:00"/>
    <n v="53850"/>
    <n v="174"/>
    <s v="053850_174"/>
    <s v="Discovery Day"/>
    <s v="Mai valutato"/>
    <m/>
    <s v="202505076754869L"/>
    <n v="1743302878738"/>
    <n v="20250507"/>
    <x v="0"/>
    <m/>
    <m/>
    <s v="D     - Dare"/>
    <n v="1548.53"/>
    <n v="0"/>
    <n v="4502107"/>
    <s v="MRSMRA70P48F376O"/>
    <s v="MARASCIULO MARIA"/>
    <s v="600 - Famiglie consumatrici"/>
    <m/>
    <s v="086 - ITALIA"/>
    <n v="110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61"/>
    <s v="14"/>
    <s v="Operazione per conto di importo elevato per la causale ed il soggetto"/>
    <d v="2025-05-08T00:00:00"/>
    <n v="53850"/>
    <n v="182"/>
    <s v="053850_182"/>
    <s v="Discovery Day"/>
    <s v="Mai valutato"/>
    <m/>
    <n v="202505077958798"/>
    <n v="1823300167781"/>
    <n v="20250507"/>
    <x v="0"/>
    <m/>
    <m/>
    <s v="D     - Dare"/>
    <n v="9856.8799999999992"/>
    <n v="0"/>
    <n v="3030646"/>
    <s v="CLLGNN53E18L049L"/>
    <s v="COLELLA GIOVANNI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60"/>
    <s v="14"/>
    <s v="Operazione per conto di importo elevato per la causale ed il soggetto"/>
    <d v="2025-05-08T00:00:00"/>
    <n v="53850"/>
    <n v="102"/>
    <s v="053850_102"/>
    <s v="Discovery Day"/>
    <s v="Mai valutato"/>
    <m/>
    <n v="202505077957172"/>
    <n v="1023308728148"/>
    <n v="20250507"/>
    <x v="1"/>
    <m/>
    <s v="086 - ITALIA"/>
    <s v="A     - Avere"/>
    <n v="333911.57"/>
    <n v="0"/>
    <n v="153952"/>
    <s v="CRLCLS38A01A225I"/>
    <s v="CARLUCCI CARLO SALVATORE"/>
    <s v="600 - Famiglie consumatrici"/>
    <m/>
    <s v="086 - ITALIA"/>
    <n v="1335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859"/>
    <s v="14"/>
    <s v="Operazione per conto di importo elevato per la causale ed il soggetto"/>
    <d v="2025-05-07T00:00:00"/>
    <n v="53850"/>
    <n v="268"/>
    <s v="053850_268"/>
    <s v="Discovery Day"/>
    <s v="Mai valutato"/>
    <m/>
    <n v="202505067953815"/>
    <n v="2683300005621"/>
    <n v="20250506"/>
    <x v="1"/>
    <m/>
    <s v="086 - ITALIA"/>
    <s v="A     - Avere"/>
    <n v="249820.54"/>
    <n v="0"/>
    <n v="1695313"/>
    <s v="SPNNTN56M24F207G"/>
    <s v="SPINA ANTONIO"/>
    <s v="600 - Famiglie consumatrici"/>
    <m/>
    <s v="086 - ITALIA"/>
    <n v="188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850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1"/>
    <n v="2713300002002"/>
    <n v="20250506"/>
    <x v="0"/>
    <m/>
    <m/>
    <s v="D     - Dare"/>
    <n v="5662.14"/>
    <n v="0"/>
    <n v="1630114"/>
    <s v="DPLMLC50M44I394R"/>
    <s v="DI PAOLO MARIA LUCIA"/>
    <s v="600 - Famiglie consumatrici"/>
    <m/>
    <s v="086 - ITALIA"/>
    <n v="179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849"/>
    <s v="14"/>
    <s v="Operazione per conto di importo elevato per la causale ed il soggetto"/>
    <d v="2025-05-07T00:00:00"/>
    <n v="53850"/>
    <n v="109"/>
    <s v="053850_109"/>
    <s v="Discovery Day"/>
    <s v="Mai valutato"/>
    <m/>
    <n v="202505067954693"/>
    <n v="1093306673999"/>
    <n v="20250506"/>
    <x v="11"/>
    <m/>
    <m/>
    <s v="D     - Dare"/>
    <n v="969486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848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1"/>
    <n v="2713300002002"/>
    <n v="20250506"/>
    <x v="0"/>
    <m/>
    <m/>
    <s v="D     - Dare"/>
    <n v="5662.14"/>
    <n v="0"/>
    <n v="1697336"/>
    <s v="SLVNNI46S16I394U"/>
    <s v="SILVERIO NINO"/>
    <s v="600 - Famiglie consumatrici"/>
    <m/>
    <s v="086 - ITALIA"/>
    <n v="1781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846"/>
    <s v="14"/>
    <s v="Operazione per conto di importo elevato per la causale ed il soggetto"/>
    <d v="2025-05-07T00:00:00"/>
    <n v="53850"/>
    <n v="102"/>
    <s v="053850_102"/>
    <s v="Discovery Day"/>
    <s v="Mai valutato"/>
    <m/>
    <n v="202505067955218"/>
    <n v="1023300113820"/>
    <n v="20250506"/>
    <x v="3"/>
    <m/>
    <s v="086 - ITALIA"/>
    <s v="D     - Dare"/>
    <n v="165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44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2"/>
    <n v="2713300003798"/>
    <n v="20250506"/>
    <x v="0"/>
    <m/>
    <m/>
    <s v="D     - Dare"/>
    <n v="13499.9"/>
    <n v="0"/>
    <n v="1695775"/>
    <s v="MLPGLL35P18F205H"/>
    <s v="MALAPELLE GUGLIELMO"/>
    <s v="600 - Famiglie consumatrici"/>
    <m/>
    <s v="086 - ITALIA"/>
    <n v="178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43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2"/>
    <n v="2713300003798"/>
    <n v="20250506"/>
    <x v="0"/>
    <m/>
    <m/>
    <s v="D     - Dare"/>
    <n v="13499.9"/>
    <n v="0"/>
    <n v="1705998"/>
    <s v="CRMGCR34T49G233J"/>
    <s v="CARMINATI GIAN CARLA ALESSANDRINA"/>
    <s v="600 - Famiglie consumatrici"/>
    <m/>
    <s v="086 - ITALIA"/>
    <n v="178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37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6L"/>
    <n v="2713300002801"/>
    <n v="20250506"/>
    <x v="0"/>
    <m/>
    <m/>
    <s v="D     - Dare"/>
    <n v="1070.5899999999999"/>
    <n v="0"/>
    <n v="1680953"/>
    <s v="RMGLSS23L22F196U"/>
    <s v="REMIGIO ULISSE"/>
    <s v="600 - Famiglie consumatrici"/>
    <m/>
    <s v="086 - ITALIA"/>
    <n v="1787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35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2L"/>
    <n v="2713300001484"/>
    <n v="20250506"/>
    <x v="0"/>
    <m/>
    <m/>
    <s v="D     - Dare"/>
    <n v="1209.73"/>
    <n v="0"/>
    <n v="1651006"/>
    <s v="PCCVSK76S42Z614R"/>
    <s v="PICCARI VALESKA"/>
    <s v="775 - Famiglie consumatrici di paesi non UE"/>
    <m/>
    <s v="081 - VENEZUELA"/>
    <n v="1787"/>
    <m/>
    <m/>
    <m/>
    <m/>
    <m/>
    <m/>
    <m/>
    <n v="0"/>
    <n v="202505"/>
    <s v="ARCHIVIATA"/>
    <x v="0"/>
    <n v="1"/>
    <m/>
    <m/>
    <n v="1"/>
    <n v="999"/>
    <n v="775"/>
    <n v="775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34"/>
    <s v="14"/>
    <s v="Operazione per conto di importo elevato per la causale ed il soggetto"/>
    <d v="2025-05-07T00:00:00"/>
    <n v="53850"/>
    <n v="102"/>
    <s v="053850_102"/>
    <s v="Discovery Day"/>
    <s v="Mai valutato"/>
    <m/>
    <n v="202505067953521"/>
    <n v="1023308719178"/>
    <n v="20250506"/>
    <x v="1"/>
    <m/>
    <s v="086 - ITALIA"/>
    <s v="A     - Avere"/>
    <n v="4999692"/>
    <n v="0"/>
    <n v="474476"/>
    <n v="3470340724"/>
    <s v="CEREALSUD SOCIETA' A RESPONSABILITA' LIMITATA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827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5L"/>
    <n v="2713300001866"/>
    <n v="20250506"/>
    <x v="0"/>
    <m/>
    <m/>
    <s v="D     - Dare"/>
    <n v="4129.6000000000004"/>
    <n v="0"/>
    <n v="1665085"/>
    <s v="MMMNCL28M29H439P"/>
    <s v="MEMME NICOLA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21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4L"/>
    <n v="2713300001848"/>
    <n v="20250506"/>
    <x v="0"/>
    <m/>
    <m/>
    <s v="D     - Dare"/>
    <n v="1828.42"/>
    <n v="0"/>
    <n v="1665043"/>
    <s v="DRNCRL31D15Z114Z"/>
    <s v="DEARING CHARLES DANIEL"/>
    <s v="600 - Famiglie consumatrici"/>
    <m/>
    <s v="086 - ITALIA"/>
    <n v="178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820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5L"/>
    <n v="2713300001866"/>
    <n v="20250506"/>
    <x v="0"/>
    <m/>
    <m/>
    <s v="D     - Dare"/>
    <n v="4129.6000000000004"/>
    <n v="0"/>
    <n v="1665086"/>
    <s v="FNTGTA25P52I394M"/>
    <s v="FANTINI AGATA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17"/>
    <s v="14"/>
    <s v="Operazione per conto di importo elevato per la causale ed il soggetto"/>
    <d v="2025-05-07T00:00:00"/>
    <n v="53850"/>
    <n v="105"/>
    <s v="053850_105"/>
    <s v="Discovery Day"/>
    <s v="Mai valutato"/>
    <m/>
    <n v="202505067955271"/>
    <n v="1053300336450"/>
    <n v="20250506"/>
    <x v="22"/>
    <m/>
    <m/>
    <s v="A     - Avere"/>
    <n v="200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12"/>
    <s v="14"/>
    <s v="Operazione per conto di importo elevato per la causale ed il soggetto"/>
    <d v="2025-05-07T00:00:00"/>
    <n v="53850"/>
    <n v="175"/>
    <s v="053850_175"/>
    <s v="Discovery Day"/>
    <s v="Mai valutato"/>
    <m/>
    <n v="202505057955582"/>
    <n v="1753302202252"/>
    <n v="20250505"/>
    <x v="3"/>
    <m/>
    <s v="086 - ITALIA"/>
    <s v="D     - Dare"/>
    <n v="1000000"/>
    <n v="0"/>
    <n v="611756"/>
    <s v="PTNRNT84E28H501P"/>
    <s v="POTENZA RENATO"/>
    <s v="615 - Altre famiglie produttrici"/>
    <s v="015 - COLTIVAZIONI AGRICOLE ASSOCIATE ALL'ALLEVAMENTO DI ANIMALI: ATTIVITÀ MISTA"/>
    <s v="086 - ITALIA"/>
    <n v="1110"/>
    <m/>
    <m/>
    <m/>
    <m/>
    <m/>
    <m/>
    <m/>
    <n v="0"/>
    <n v="202505"/>
    <s v="ARCHIVIATA"/>
    <x v="0"/>
    <n v="1"/>
    <m/>
    <m/>
    <n v="0"/>
    <n v="999"/>
    <n v="615"/>
    <n v="615999"/>
    <m/>
    <n v="1"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809"/>
    <s v="14"/>
    <s v="Operazione per conto di importo elevato per la causale ed il soggetto"/>
    <d v="2025-05-06T00:00:00"/>
    <n v="53850"/>
    <n v="161"/>
    <s v="053850_161"/>
    <s v="Discovery Day"/>
    <s v="Mai valutato"/>
    <m/>
    <s v="202505056639697L"/>
    <n v="1283300004011"/>
    <n v="20250505"/>
    <x v="0"/>
    <m/>
    <m/>
    <s v="D     - Dare"/>
    <n v="1006.5"/>
    <n v="0"/>
    <n v="4925367"/>
    <s v="GRGRST60R20A662R"/>
    <s v="GORGA ERNESTO"/>
    <s v="600 - Famiglie consumatrici"/>
    <m/>
    <s v="086 - ITALIA"/>
    <n v="1662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03"/>
    <s v="14"/>
    <s v="Operazione per conto di importo elevato per la causale ed il soggetto"/>
    <d v="2025-05-06T00:00:00"/>
    <n v="53850"/>
    <n v="109"/>
    <s v="053850_109"/>
    <s v="Discovery Day"/>
    <s v="Mai valutato"/>
    <m/>
    <n v="202505057950486"/>
    <n v="1093306673999"/>
    <n v="20250505"/>
    <x v="1"/>
    <m/>
    <s v="086 - ITALIA"/>
    <s v="A     - Avere"/>
    <n v="1182772.92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801"/>
    <s v="14"/>
    <s v="Operazione per conto di importo elevato per la causale ed il soggetto"/>
    <d v="2025-05-06T00:00:00"/>
    <n v="53850"/>
    <n v="110"/>
    <s v="053850_110"/>
    <s v="Discovery Day"/>
    <s v="Mai valutato"/>
    <m/>
    <n v="202505057951941"/>
    <n v="1103304311370"/>
    <n v="20250505"/>
    <x v="22"/>
    <m/>
    <m/>
    <s v="A     - Avere"/>
    <n v="168000"/>
    <n v="0"/>
    <n v="431136"/>
    <s v="RTGGPP45H24A669U"/>
    <s v="RUTIGLIANO GIUSEPPE"/>
    <s v="600 - Famiglie consumatrici"/>
    <m/>
    <s v="086 - ITALIA"/>
    <n v="458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96"/>
    <s v="14"/>
    <s v="Operazione per conto di importo elevato per la causale ed il soggetto"/>
    <d v="2025-05-06T00:00:00"/>
    <n v="53850"/>
    <n v="136"/>
    <s v="053850_136"/>
    <s v="Discovery Day"/>
    <s v="Mai valutato"/>
    <m/>
    <n v="202505057950628"/>
    <n v="1363300003325"/>
    <n v="20250505"/>
    <x v="16"/>
    <m/>
    <m/>
    <s v="D     - Dare"/>
    <n v="715933.74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94"/>
    <s v="14"/>
    <s v="Operazione per conto di importo elevato per la causale ed il soggetto"/>
    <d v="2025-05-06T00:00:00"/>
    <n v="53850"/>
    <n v="136"/>
    <s v="053850_136"/>
    <s v="Discovery Day"/>
    <s v="Mai valutato"/>
    <m/>
    <n v="202505057950627"/>
    <n v="1361147800126"/>
    <n v="20250505"/>
    <x v="17"/>
    <m/>
    <m/>
    <s v="A     - Avere"/>
    <n v="715933.74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88"/>
    <s v="14"/>
    <s v="Operazione per conto di importo elevato per la causale ed il soggetto"/>
    <d v="2025-05-06T00:00:00"/>
    <n v="53850"/>
    <n v="161"/>
    <s v="053850_161"/>
    <s v="Discovery Day"/>
    <s v="Mai valutato"/>
    <m/>
    <s v="202505056639697L"/>
    <n v="1283300004011"/>
    <n v="20250505"/>
    <x v="0"/>
    <m/>
    <m/>
    <s v="D     - Dare"/>
    <n v="1006.5"/>
    <n v="0"/>
    <n v="4925377"/>
    <s v="PSTCCT63A50Z401Q"/>
    <s v="PASTORE CONCETTA"/>
    <s v="600 - Famiglie consumatrici"/>
    <m/>
    <s v="086 - ITALIA"/>
    <n v="1662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81"/>
    <s v="14"/>
    <s v="Operazione per conto di importo elevato per la causale ed il soggetto"/>
    <d v="2025-05-06T00:00:00"/>
    <n v="53850"/>
    <n v="269"/>
    <s v="053850_269"/>
    <s v="Discovery Day"/>
    <s v="Mai valutato"/>
    <m/>
    <s v="202505056637364L"/>
    <n v="2693300000909"/>
    <n v="20250505"/>
    <x v="0"/>
    <m/>
    <m/>
    <s v="D     - Dare"/>
    <n v="1027.8"/>
    <n v="0"/>
    <n v="1662042"/>
    <s v="CCCDNC70L11D209K"/>
    <s v="CICCHINI DOMENICO"/>
    <s v="600 - Famiglie consumatrici"/>
    <m/>
    <s v="086 - ITALIA"/>
    <n v="1879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77"/>
    <s v="14"/>
    <s v="Operazione per conto di importo elevato per la causale ed il soggetto"/>
    <d v="2025-05-06T00:00:00"/>
    <n v="53850"/>
    <n v="110"/>
    <s v="053850_110"/>
    <s v="Discovery Day"/>
    <s v="Mai valutato"/>
    <m/>
    <n v="202505057951941"/>
    <n v="1103304311370"/>
    <n v="20250505"/>
    <x v="22"/>
    <m/>
    <m/>
    <s v="A     - Avere"/>
    <n v="168000"/>
    <n v="0"/>
    <n v="431134"/>
    <s v="DBNSLL51R56A669P"/>
    <s v="DIBENEDETTO STELLA"/>
    <s v="600 - Famiglie consumatrici"/>
    <m/>
    <s v="086 - ITALIA"/>
    <n v="458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75"/>
    <s v="14"/>
    <s v="Operazione per conto di importo elevato per la causale ed il soggetto"/>
    <d v="2025-05-06T00:00:00"/>
    <n v="53850"/>
    <n v="136"/>
    <s v="053850_136"/>
    <s v="Discovery Day"/>
    <s v="Mai valutato"/>
    <m/>
    <n v="202505057950629"/>
    <n v="1363300003325"/>
    <n v="20250505"/>
    <x v="24"/>
    <m/>
    <m/>
    <s v="A     - Avere"/>
    <n v="699996.13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699996.13"/>
    <n v="714996.13"/>
    <n v="729996.13"/>
    <n v="744996.13"/>
    <n v="759996.13"/>
    <n v="774996.13"/>
    <n v="789996.13"/>
    <n v="804996.13"/>
    <n v="819996.13"/>
    <n v="834996.13"/>
    <n v="849996.13"/>
    <n v="864996.13"/>
    <n v="879996.13"/>
    <n v="894996.13"/>
    <n v="909996.13"/>
    <n v="924996.13"/>
    <n v="939996.13"/>
    <n v="954996.13"/>
    <n v="969996.13"/>
    <n v="984996.13"/>
    <n v="999996.1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68"/>
    <s v="14"/>
    <s v="Operazione per conto di importo elevato per la causale ed il soggetto"/>
    <d v="2025-05-06T00:00:00"/>
    <n v="53850"/>
    <n v="102"/>
    <s v="053850_102"/>
    <s v="Discovery Day"/>
    <s v="Mai valutato"/>
    <m/>
    <n v="202505057950258"/>
    <n v="1503300003188"/>
    <n v="20250505"/>
    <x v="1"/>
    <m/>
    <s v="086 - ITALIA"/>
    <s v="A     - Avere"/>
    <n v="143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62"/>
    <s v="14"/>
    <s v="Operazione per conto di importo elevato per la causale ed il soggetto"/>
    <d v="2025-05-03T00:00:00"/>
    <n v="53850"/>
    <n v="103"/>
    <s v="053850_103"/>
    <s v="Discovery Day"/>
    <s v="Mai valutato"/>
    <m/>
    <n v="202505057942705"/>
    <n v="1033306974105"/>
    <n v="20250505"/>
    <x v="31"/>
    <m/>
    <m/>
    <s v="A     - Avere"/>
    <n v="396362.6"/>
    <n v="0"/>
    <n v="158903"/>
    <s v="MRMGPP37T01E155X"/>
    <s v="MORAMARCO GIUSEPPE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61"/>
    <s v="14"/>
    <s v="Operazione per conto di importo elevato per la causale ed il soggetto"/>
    <d v="2025-05-03T00:00:00"/>
    <n v="53850"/>
    <n v="103"/>
    <s v="053850_103"/>
    <s v="Discovery Day"/>
    <s v="Mai valutato"/>
    <m/>
    <n v="202505057942705"/>
    <n v="1033306974105"/>
    <n v="20250505"/>
    <x v="31"/>
    <m/>
    <m/>
    <s v="A     - Avere"/>
    <n v="396362.6"/>
    <n v="0"/>
    <n v="461958"/>
    <s v="MRMFNC67T15E155W"/>
    <s v="MORAMARCO FRANCESCO"/>
    <s v="600 - Famiglie consumatrici"/>
    <m/>
    <s v="086 - ITALIA"/>
    <n v="191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60"/>
    <s v="14"/>
    <s v="Operazione per conto di importo elevato per la causale ed il soggetto"/>
    <d v="2025-05-03T00:00:00"/>
    <n v="53850"/>
    <n v="164"/>
    <s v="053850_164"/>
    <s v="Discovery Day"/>
    <s v="Mai valutato"/>
    <m/>
    <n v="202505027944626"/>
    <n v="1643300369759"/>
    <n v="20250502"/>
    <x v="0"/>
    <m/>
    <m/>
    <s v="D     - Dare"/>
    <n v="7955.45"/>
    <n v="0"/>
    <n v="4356533"/>
    <s v="CMPLRS54M56H480H"/>
    <s v="CAMPANOZZI LIBERA ASSUNTA"/>
    <s v="600 - Famiglie consumatrici"/>
    <m/>
    <s v="086 - ITALIA"/>
    <n v="787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757"/>
    <s v="14"/>
    <s v="Operazione per conto di importo elevato per la causale ed il soggetto"/>
    <d v="2025-05-03T00:00:00"/>
    <n v="53850"/>
    <n v="175"/>
    <s v="053850_175"/>
    <s v="Discovery Day"/>
    <s v="Mai valutato"/>
    <m/>
    <n v="202505027943813"/>
    <n v="1753305636160"/>
    <n v="20250502"/>
    <x v="28"/>
    <m/>
    <m/>
    <s v="A     - Avere"/>
    <n v="2696970.87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2696970.87"/>
    <n v="2708520.2429999998"/>
    <n v="2720069.6159999999"/>
    <n v="2731618.9890000001"/>
    <n v="2743168.3620000002"/>
    <n v="2754717.7349999999"/>
    <n v="2766267.108"/>
    <n v="2777816.4810000001"/>
    <n v="2789365.8539999998"/>
    <n v="2800915.227"/>
    <n v="2812464.6"/>
    <n v="2824013.9730000002"/>
    <n v="2835563.3459999999"/>
    <n v="2847112.719"/>
    <n v="2858662.0920000002"/>
    <n v="2870211.4649999999"/>
    <n v="2881760.838"/>
    <n v="2893310.2110000001"/>
    <n v="2904859.5839999998"/>
    <n v="2916408.9569999999"/>
    <n v="2927958.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55"/>
    <s v="14"/>
    <s v="Operazione per conto di importo elevato per la causale ed il soggetto"/>
    <d v="2025-05-03T00:00:00"/>
    <n v="53850"/>
    <n v="148"/>
    <s v="053850_148"/>
    <s v="Discovery Day"/>
    <s v="Mai valutato"/>
    <m/>
    <n v="202505027944592"/>
    <n v="1483300003460"/>
    <n v="20250502"/>
    <x v="9"/>
    <m/>
    <m/>
    <s v="D     - Dare"/>
    <n v="500000"/>
    <n v="0"/>
    <n v="4743708"/>
    <s v="FRRGNI91M19A783K"/>
    <s v="FERRARA IGINO"/>
    <s v="600 - Famiglie consumatrici"/>
    <m/>
    <s v="086 - ITALIA"/>
    <n v="163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54"/>
    <s v="14"/>
    <s v="Operazione per conto di importo elevato per la causale ed il soggetto"/>
    <d v="2025-05-03T00:00:00"/>
    <n v="53850"/>
    <n v="164"/>
    <s v="053850_164"/>
    <s v="Discovery Day"/>
    <s v="Mai valutato"/>
    <m/>
    <n v="202505027944626"/>
    <n v="1643300369759"/>
    <n v="20250502"/>
    <x v="0"/>
    <m/>
    <m/>
    <s v="D     - Dare"/>
    <n v="7955.45"/>
    <n v="0"/>
    <n v="4356531"/>
    <s v="MLIGPP46E01A339X"/>
    <s v="MILO GIUSEPPE"/>
    <s v="600 - Famiglie consumatrici"/>
    <m/>
    <s v="086 - ITALIA"/>
    <n v="787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752"/>
    <s v="14"/>
    <s v="Operazione per conto di importo elevato per la causale ed il soggetto"/>
    <d v="2025-05-03T00:00:00"/>
    <n v="53850"/>
    <n v="284"/>
    <s v="053850_284"/>
    <s v="Discovery Day"/>
    <s v="Mai valutato"/>
    <m/>
    <n v="202505027944882"/>
    <n v="2843300000478"/>
    <n v="20250502"/>
    <x v="0"/>
    <m/>
    <m/>
    <s v="D     - Dare"/>
    <n v="5641.99"/>
    <n v="0"/>
    <n v="1656709"/>
    <s v="DNTRTT52H55B238G"/>
    <s v="DONATUCCI ROSETTA MARIA"/>
    <s v="600 - Famiglie consumatrici"/>
    <m/>
    <s v="086 - ITALIA"/>
    <n v="186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751"/>
    <s v="14"/>
    <s v="Operazione per conto di importo elevato per la causale ed il soggetto"/>
    <d v="2025-05-03T00:00:00"/>
    <n v="53850"/>
    <n v="170"/>
    <s v="053850_170"/>
    <s v="Discovery Day"/>
    <s v="Mai valutato"/>
    <m/>
    <n v="202505027943714"/>
    <n v="1703306288195"/>
    <n v="20250502"/>
    <x v="28"/>
    <m/>
    <m/>
    <s v="A     - Avere"/>
    <n v="2554771.59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49"/>
    <s v="14"/>
    <s v="Operazione per conto di importo elevato per la causale ed il soggetto"/>
    <d v="2025-05-03T00:00:00"/>
    <n v="53850"/>
    <n v="171"/>
    <s v="053850_171"/>
    <s v="Discovery Day"/>
    <s v="Mai valutato"/>
    <m/>
    <n v="202505027943751"/>
    <n v="1713302213842"/>
    <n v="20250502"/>
    <x v="6"/>
    <m/>
    <m/>
    <s v="D     - Dare"/>
    <n v="1368468.75"/>
    <n v="0"/>
    <n v="4148505"/>
    <n v="5848860721"/>
    <s v="FORMAT DISTRIBUZIONE SOCIETA' A RESPONSABILITA' LIMITATA"/>
    <s v="430 - Imprese produttive"/>
    <s v="469 - COMMERCIO ALL'INGROSSO NON SPECIALIZZATO"/>
    <s v="086 - ITALIA"/>
    <n v="19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40"/>
    <s v="14"/>
    <s v="Operazione per conto di importo elevato per la causale ed il soggetto"/>
    <d v="2025-05-03T00:00:00"/>
    <n v="53850"/>
    <n v="181"/>
    <s v="053850_181"/>
    <s v="Discovery Day"/>
    <s v="Mai valutato"/>
    <m/>
    <n v="202505027944705"/>
    <n v="1813300010027"/>
    <n v="20250502"/>
    <x v="0"/>
    <m/>
    <m/>
    <s v="D     - Dare"/>
    <n v="41382.71"/>
    <n v="0"/>
    <n v="49014"/>
    <s v="DGIMHL51H05A662M"/>
    <s v="DI GIOIA MICHELE"/>
    <s v="600 - Famiglie consumatrici"/>
    <m/>
    <s v="086 - ITALIA"/>
    <n v="69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735"/>
    <s v="14"/>
    <s v="Operazione per conto di importo elevato per la causale ed il soggetto"/>
    <d v="2025-05-03T00:00:00"/>
    <n v="53850"/>
    <n v="284"/>
    <s v="053850_284"/>
    <s v="Discovery Day"/>
    <s v="Mai valutato"/>
    <m/>
    <n v="202505027944882"/>
    <n v="2843300000478"/>
    <n v="20250502"/>
    <x v="0"/>
    <m/>
    <m/>
    <s v="D     - Dare"/>
    <n v="5641.99"/>
    <n v="0"/>
    <n v="1656708"/>
    <s v="TTSNCL49T06B238T"/>
    <s v="TATASCIORE NICOLA"/>
    <s v="600 - Famiglie consumatrici"/>
    <m/>
    <s v="086 - ITALIA"/>
    <n v="186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731"/>
    <s v="14"/>
    <s v="Operazione per conto di importo elevato per la causale ed il soggetto"/>
    <d v="2025-05-03T00:00:00"/>
    <n v="53850"/>
    <n v="181"/>
    <s v="053850_181"/>
    <s v="Discovery Day"/>
    <s v="Mai valutato"/>
    <m/>
    <n v="202505027944705"/>
    <n v="1813300010027"/>
    <n v="20250502"/>
    <x v="0"/>
    <m/>
    <m/>
    <s v="D     - Dare"/>
    <n v="41382.71"/>
    <n v="0"/>
    <n v="53154"/>
    <s v="DGINTS54S59H645P"/>
    <s v="DI GIOIA ANASTASIA"/>
    <s v="600 - Famiglie consumatrici"/>
    <m/>
    <s v="086 - ITALIA"/>
    <n v="69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665"/>
    <s v="14"/>
    <s v="Operazione per conto di importo elevato per la causale ed il soggetto"/>
    <d v="2025-07-01T00:00:00"/>
    <n v="53850"/>
    <n v="102"/>
    <s v="053850_102"/>
    <s v="Discovery Day"/>
    <s v="Mai valutato"/>
    <m/>
    <n v="202506308141571"/>
    <n v="1023308722935"/>
    <n v="20250630"/>
    <x v="3"/>
    <m/>
    <s v="086 - ITALIA"/>
    <s v="D     - Dare"/>
    <n v="200050"/>
    <n v="0"/>
    <n v="512037"/>
    <s v="LGGNLN71C63A225H"/>
    <s v="LEGGIADRO ANGELA ANNUNZIATA"/>
    <s v="600 - Famiglie consumatrici"/>
    <m/>
    <s v="086 - ITALIA"/>
    <n v="133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52"/>
    <s v="14"/>
    <s v="Operazione per conto di importo elevato per la causale ed il soggetto"/>
    <d v="2025-07-01T00:00:00"/>
    <n v="53850"/>
    <n v="188"/>
    <s v="053850_188"/>
    <s v="Discovery Day"/>
    <s v="Mai valutato"/>
    <m/>
    <n v="202506308137789"/>
    <n v="1883300059102"/>
    <n v="20250630"/>
    <x v="1"/>
    <m/>
    <s v="086 - ITALIA"/>
    <s v="A     - Avere"/>
    <n v="580000"/>
    <n v="0"/>
    <n v="3002279"/>
    <s v="DMILCU63H55L049I"/>
    <s v="DI MAIO LUCIA"/>
    <s v="600 - Famiglie consumatrici"/>
    <m/>
    <s v="086 - ITALIA"/>
    <n v="111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650"/>
    <s v="14"/>
    <s v="Operazione per conto di importo elevato per la causale ed il soggetto"/>
    <d v="2025-07-01T00:00:00"/>
    <n v="53850"/>
    <n v="120"/>
    <s v="053850_120"/>
    <s v="Discovery Day"/>
    <s v="Mai valutato"/>
    <m/>
    <n v="202506308136439"/>
    <n v="1203300002958"/>
    <n v="20250630"/>
    <x v="30"/>
    <m/>
    <s v="031 - REGNO UNITO"/>
    <s v="D     - Dare"/>
    <n v="1132211.78"/>
    <n v="0"/>
    <n v="4589937"/>
    <n v="503900771"/>
    <s v="MV EXTRUSION S.P.A."/>
    <s v="430 - Imprese produttive"/>
    <s v="162 - FABBRICAZIONE DI PRODOTTI IN LEGNO, SUGHERO, PAGLIA E MATERIALI DA INTRECCIO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46"/>
    <s v="14"/>
    <s v="Operazione per conto di importo elevato per la causale ed il soggetto"/>
    <d v="2025-07-01T00:00:00"/>
    <n v="53850"/>
    <n v="273"/>
    <s v="053850_273"/>
    <s v="Discovery Day"/>
    <s v="Mai valutato"/>
    <m/>
    <n v="202506308141311"/>
    <n v="2733300000919"/>
    <n v="20250630"/>
    <x v="4"/>
    <m/>
    <m/>
    <s v="D     - Dare"/>
    <n v="300267.63"/>
    <n v="0"/>
    <n v="1625053"/>
    <n v="2427910696"/>
    <s v="MARINELLI UMBERTO SRL"/>
    <s v="430 - Imprese produttive"/>
    <s v="412 - COSTRUZIONE DI EDIFICI RESIDENZIALI E NON RESIDENZIALI"/>
    <s v="086 - ITALIA"/>
    <n v="1856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45"/>
    <s v="14"/>
    <s v="Operazione per conto di importo elevato per la causale ed il soggetto"/>
    <d v="2025-07-01T00:00:00"/>
    <n v="53850"/>
    <n v="148"/>
    <s v="053850_148"/>
    <s v="Discovery Day"/>
    <s v="Mai valutato"/>
    <m/>
    <n v="202506308141975"/>
    <n v="1483300003701"/>
    <n v="20250630"/>
    <x v="3"/>
    <m/>
    <s v="086 - ITALIA"/>
    <s v="D     - Dare"/>
    <n v="1000000"/>
    <n v="0"/>
    <n v="2001293"/>
    <s v="BBTSVT57P28D386J"/>
    <s v="ABBATIELLO SALVATORE"/>
    <s v="600 - Famiglie consumatrici"/>
    <m/>
    <s v="086 - ITALIA"/>
    <n v="163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644"/>
    <s v="14"/>
    <s v="Operazione per conto di importo elevato per la causale ed il soggetto"/>
    <d v="2025-07-01T00:00:00"/>
    <n v="53850"/>
    <n v="153"/>
    <s v="053850_153"/>
    <s v="Discovery Day"/>
    <s v="Mai valutato"/>
    <m/>
    <n v="202506308136210"/>
    <n v="1533300662905"/>
    <n v="20250630"/>
    <x v="3"/>
    <m/>
    <s v="086 - ITALIA"/>
    <s v="D     - Dare"/>
    <n v="1550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6"/>
    <s v="ARCHIVIATA"/>
    <x v="0"/>
    <n v="1"/>
    <m/>
    <m/>
    <n v="0"/>
    <n v="236"/>
    <n v="430"/>
    <n v="430236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637"/>
    <s v="14"/>
    <s v="Operazione per conto di importo elevato per la causale ed il soggetto"/>
    <d v="2025-07-01T00:00:00"/>
    <n v="53850"/>
    <n v="161"/>
    <s v="053850_161"/>
    <s v="Discovery Day"/>
    <s v="Mai valutato"/>
    <m/>
    <n v="202506308140067"/>
    <n v="1613300032598"/>
    <n v="20250630"/>
    <x v="11"/>
    <m/>
    <m/>
    <s v="D     - Dare"/>
    <n v="527423.84"/>
    <n v="0"/>
    <n v="4103078"/>
    <n v="272810722"/>
    <s v="SICILIANI S.P.A. - INDUSTRIA LAVORAZIONECARN"/>
    <s v="430 - Imprese produttive"/>
    <s v="101 - LAVORAZIONE E CONSERVAZIONE DI CARNE E PRODUZIONE DI PRODOTTI A BASE DI CARNE"/>
    <s v="086 - ITALIA"/>
    <n v="1903"/>
    <m/>
    <m/>
    <m/>
    <m/>
    <m/>
    <m/>
    <m/>
    <n v="0"/>
    <n v="202506"/>
    <s v="IN CARICO AL GESTORE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36"/>
    <s v="14"/>
    <s v="Operazione per conto di importo elevato per la causale ed il soggetto"/>
    <d v="2025-07-01T00:00:00"/>
    <n v="53850"/>
    <n v="141"/>
    <s v="053850_141"/>
    <s v="Discovery Day"/>
    <s v="Mai valutato"/>
    <m/>
    <n v="202506308135943"/>
    <n v="1413300003985"/>
    <n v="20250630"/>
    <x v="3"/>
    <m/>
    <s v="086 - ITALIA"/>
    <s v="D     - Dare"/>
    <n v="108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626"/>
    <s v="14"/>
    <s v="Operazione per conto di importo elevato per la causale ed il soggetto"/>
    <d v="2025-07-01T00:00:00"/>
    <n v="53850"/>
    <n v="99"/>
    <s v="053850_99"/>
    <s v="Discovery Day"/>
    <s v="Mai valutato"/>
    <m/>
    <n v="202506308138007"/>
    <n v="999361950301"/>
    <n v="20250630"/>
    <x v="1"/>
    <m/>
    <s v="086 - ITALIA"/>
    <s v="A     - Avere"/>
    <n v="4120000"/>
    <n v="0"/>
    <n v="3127396"/>
    <n v="80008870737"/>
    <s v="COMUNE DI PALAGIANO"/>
    <s v="173 - Amministrazioni comunali e unioni di comuni"/>
    <m/>
    <s v="086 - ITALIA"/>
    <n v="1627"/>
    <m/>
    <m/>
    <m/>
    <m/>
    <m/>
    <m/>
    <m/>
    <n v="0"/>
    <n v="202506"/>
    <s v="IN CARICO AL RESPONSABILE"/>
    <x v="1"/>
    <n v="1"/>
    <m/>
    <m/>
    <n v="0"/>
    <n v="999"/>
    <n v="173"/>
    <n v="173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625"/>
    <s v="14"/>
    <s v="Operazione per conto di importo elevato per la causale ed il soggetto"/>
    <d v="2025-07-01T00:00:00"/>
    <n v="53850"/>
    <n v="188"/>
    <s v="053850_188"/>
    <s v="Discovery Day"/>
    <s v="Mai valutato"/>
    <m/>
    <n v="202506308137789"/>
    <n v="1883300059102"/>
    <n v="20250630"/>
    <x v="1"/>
    <m/>
    <s v="086 - ITALIA"/>
    <s v="A     - Avere"/>
    <n v="580000"/>
    <n v="0"/>
    <n v="3002280"/>
    <s v="RFFLGU51A01L049U"/>
    <s v="RUFFO LUIGI"/>
    <s v="600 - Famiglie consumatrici"/>
    <m/>
    <s v="086 - ITALIA"/>
    <n v="111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622"/>
    <s v="14"/>
    <s v="Operazione per conto di importo elevato per la causale ed il soggetto"/>
    <d v="2025-07-01T00:00:00"/>
    <n v="53850"/>
    <n v="286"/>
    <s v="053850_286"/>
    <s v="Discovery Day"/>
    <s v="Mai valutato"/>
    <m/>
    <n v="202506308141505"/>
    <n v="2863300003269"/>
    <n v="20250630"/>
    <x v="15"/>
    <m/>
    <m/>
    <s v="D     - Dare"/>
    <n v="625176.67000000004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609"/>
    <s v="14"/>
    <s v="Operazione per conto di importo elevato per la causale ed il soggetto"/>
    <d v="2025-07-01T00:00:00"/>
    <n v="53850"/>
    <n v="102"/>
    <s v="053850_102"/>
    <s v="Discovery Day"/>
    <s v="Mai valutato"/>
    <m/>
    <n v="202506308141571"/>
    <n v="1023308722935"/>
    <n v="20250630"/>
    <x v="3"/>
    <m/>
    <s v="086 - ITALIA"/>
    <s v="D     - Dare"/>
    <n v="200050"/>
    <n v="0"/>
    <n v="612137"/>
    <s v="LGGRMR61M57A225X"/>
    <s v="LEGGIADRO ROSA MARIA"/>
    <s v="600 - Famiglie consumatrici"/>
    <m/>
    <s v="086 - ITALIA"/>
    <n v="143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08"/>
    <s v="14"/>
    <s v="Operazione per conto di importo elevato per la causale ed il soggetto"/>
    <d v="2025-07-01T00:00:00"/>
    <n v="53850"/>
    <n v="122"/>
    <s v="053850_122"/>
    <s v="Discovery Day"/>
    <s v="Mai valutato"/>
    <m/>
    <n v="202506308138092"/>
    <n v="1223300001682"/>
    <n v="20250630"/>
    <x v="1"/>
    <m/>
    <s v="086 - ITALIA"/>
    <s v="A     - Avere"/>
    <n v="1223637.9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601"/>
    <s v="14"/>
    <s v="Operazione per conto di importo elevato per la causale ed il soggetto"/>
    <d v="2025-07-01T00:00:00"/>
    <n v="53850"/>
    <n v="121"/>
    <s v="053850_121"/>
    <s v="Discovery Day"/>
    <s v="Mai valutato"/>
    <m/>
    <n v="202506308137640"/>
    <n v="1213300002600"/>
    <n v="20250630"/>
    <x v="1"/>
    <m/>
    <s v="086 - ITALIA"/>
    <s v="A     - Avere"/>
    <n v="1250596.58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1"/>
    <n v="1"/>
    <m/>
    <m/>
    <n v="0"/>
    <n v="463"/>
    <n v="430"/>
    <n v="430463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87"/>
    <s v="14"/>
    <s v="Operazione per conto di importo elevato per la causale ed il soggetto"/>
    <d v="2025-06-28T00:00:00"/>
    <n v="53850"/>
    <n v="286"/>
    <s v="053850_286"/>
    <s v="Discovery Day"/>
    <s v="Mai valutato"/>
    <m/>
    <n v="202506278131044"/>
    <n v="2863300010173"/>
    <n v="20250627"/>
    <x v="15"/>
    <m/>
    <m/>
    <s v="D     - Dare"/>
    <n v="200000"/>
    <n v="0"/>
    <n v="4991167"/>
    <s v="GVNGNN38H63C632J"/>
    <s v="GIOVINE GIOVANNA"/>
    <s v="600 - Famiglie consumatrici"/>
    <m/>
    <s v="086 - ITALIA"/>
    <n v="1848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86"/>
    <s v="14"/>
    <s v="Operazione per conto di importo elevato per la causale ed il soggetto"/>
    <d v="2025-06-28T00:00:00"/>
    <n v="53850"/>
    <n v="273"/>
    <s v="053850_273"/>
    <s v="Discovery Day"/>
    <s v="Mai valutato"/>
    <m/>
    <n v="202506278131102"/>
    <n v="2733300002304"/>
    <n v="20250627"/>
    <x v="0"/>
    <m/>
    <m/>
    <s v="D     - Dare"/>
    <n v="12891.47"/>
    <n v="0"/>
    <n v="1673037"/>
    <s v="SCRGPP65R16C298V"/>
    <s v="SCIARTILLI GIUSEPPE"/>
    <s v="600 - Famiglie consumatrici"/>
    <m/>
    <s v="086 - ITALIA"/>
    <n v="1295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84"/>
    <s v="14"/>
    <s v="Operazione per conto di importo elevato per la causale ed il soggetto"/>
    <d v="2025-06-28T00:00:00"/>
    <n v="53850"/>
    <n v="284"/>
    <s v="053850_284"/>
    <s v="Discovery Day"/>
    <s v="Mai valutato"/>
    <m/>
    <s v="202506278779818L"/>
    <n v="2843300010620"/>
    <n v="20250627"/>
    <x v="0"/>
    <m/>
    <m/>
    <s v="D     - Dare"/>
    <n v="1078.5"/>
    <n v="0"/>
    <n v="3741186"/>
    <s v="DLNPLA71C58C632Z"/>
    <s v="DE LEONARDIS DI RUSCIO PAOL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83"/>
    <s v="14"/>
    <s v="Operazione per conto di importo elevato per la causale ed il soggetto"/>
    <d v="2025-06-28T00:00:00"/>
    <n v="53850"/>
    <n v="109"/>
    <s v="053850_109"/>
    <s v="Discovery Day"/>
    <s v="Mai valutato"/>
    <m/>
    <n v="202506278129390"/>
    <n v="1093306674001"/>
    <n v="20250627"/>
    <x v="1"/>
    <m/>
    <s v="086 - ITALIA"/>
    <s v="A     - Avere"/>
    <n v="70675.75"/>
    <n v="0"/>
    <n v="4125303"/>
    <s v="RCCNLN60L16A662C"/>
    <s v="RUCCIA NICOLA ANTONIO"/>
    <s v="615 - Altre famiglie produttrici"/>
    <s v="477 - COMMERCIO AL DETTAGLIO DI ALTRI PRODOTTI IN ESERCIZI SPECIALIZZATI"/>
    <s v="086 - ITALIA"/>
    <n v="783"/>
    <m/>
    <m/>
    <m/>
    <m/>
    <m/>
    <m/>
    <m/>
    <n v="0"/>
    <n v="202506"/>
    <s v="ARCHIVIATA"/>
    <x v="0"/>
    <n v="1"/>
    <m/>
    <m/>
    <n v="0"/>
    <n v="477"/>
    <n v="615"/>
    <n v="615477"/>
    <s v="Classe di rischio 6"/>
    <m/>
    <x v="6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82"/>
    <s v="14"/>
    <s v="Operazione per conto di importo elevato per la causale ed il soggetto"/>
    <d v="2025-06-28T00:00:00"/>
    <n v="53850"/>
    <n v="136"/>
    <s v="053850_136"/>
    <s v="Discovery Day"/>
    <s v="Mai valutato"/>
    <m/>
    <n v="202506278130294"/>
    <n v="1363300003325"/>
    <n v="20250627"/>
    <x v="12"/>
    <m/>
    <m/>
    <s v="D     - Dare"/>
    <n v="10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700000"/>
    <n v="730000"/>
    <n v="760000"/>
    <n v="790000"/>
    <n v="820000"/>
    <n v="850000"/>
    <n v="880000"/>
    <n v="910000"/>
    <n v="940000"/>
    <n v="970000"/>
    <n v="1000000"/>
    <n v="1120000"/>
    <n v="1240000"/>
    <n v="1360000"/>
    <n v="1480000"/>
    <n v="1600000"/>
    <n v="1720000"/>
    <n v="1840000"/>
    <n v="1960000"/>
    <n v="2080000"/>
    <n v="22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581"/>
    <s v="14"/>
    <s v="Operazione per conto di importo elevato per la causale ed il soggetto"/>
    <d v="2025-06-28T00:00:00"/>
    <n v="53850"/>
    <n v="103"/>
    <s v="053850_103"/>
    <s v="Discovery Day"/>
    <s v="Mai valutato"/>
    <m/>
    <n v="202506278131141"/>
    <n v="1035500406320"/>
    <n v="20250627"/>
    <x v="18"/>
    <m/>
    <m/>
    <s v="D     - Dare"/>
    <n v="190550"/>
    <n v="0"/>
    <n v="50918"/>
    <s v="LCRDNC40A63E155G"/>
    <s v="LUCARELLI DOMENIC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576"/>
    <s v="14"/>
    <s v="Operazione per conto di importo elevato per la causale ed il soggetto"/>
    <d v="2025-06-28T00:00:00"/>
    <n v="53850"/>
    <n v="102"/>
    <s v="053850_102"/>
    <s v="Discovery Day"/>
    <s v="Mai valutato"/>
    <m/>
    <n v="202506278128202"/>
    <n v="1023308719178"/>
    <n v="20250627"/>
    <x v="3"/>
    <m/>
    <s v="086 - ITALIA"/>
    <s v="D     - Dare"/>
    <n v="7000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6"/>
    <s v="IN VALUTAZIONE RPR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75"/>
    <s v="14"/>
    <s v="Operazione per conto di importo elevato per la causale ed il soggetto"/>
    <d v="2025-06-28T00:00:00"/>
    <n v="53850"/>
    <n v="102"/>
    <s v="053850_102"/>
    <s v="Discovery Day"/>
    <s v="Mai valutato"/>
    <m/>
    <n v="202506278128139"/>
    <n v="1023308727124"/>
    <n v="20250627"/>
    <x v="3"/>
    <m/>
    <s v="086 - ITALIA"/>
    <s v="D     - Dare"/>
    <n v="1000000"/>
    <n v="0"/>
    <n v="4988668"/>
    <n v="8329460722"/>
    <s v="PARCO DEI MILLE SOCIETA' A RESPONSABILITA' L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74"/>
    <s v="14"/>
    <s v="Operazione per conto di importo elevato per la causale ed il soggetto"/>
    <d v="2025-06-28T00:00:00"/>
    <n v="53850"/>
    <n v="111"/>
    <s v="053850_111"/>
    <s v="Discovery Day"/>
    <s v="Mai valutato"/>
    <m/>
    <n v="202506278129866"/>
    <n v="1113304365120"/>
    <n v="20250627"/>
    <x v="10"/>
    <m/>
    <m/>
    <s v="A     - Avere"/>
    <n v="156622.06"/>
    <n v="0"/>
    <n v="436512"/>
    <s v="PRTFNC62L23E326P"/>
    <s v="PARATO FRANCESCO"/>
    <s v="600 - Famiglie consumatrici"/>
    <m/>
    <s v="086 - ITALIA"/>
    <n v="59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72"/>
    <s v="14"/>
    <s v="Operazione per conto di importo elevato per la causale ed il soggetto"/>
    <d v="2025-06-28T00:00:00"/>
    <n v="53850"/>
    <n v="286"/>
    <s v="053850_286"/>
    <s v="Discovery Day"/>
    <s v="Mai valutato"/>
    <m/>
    <n v="202506278131044"/>
    <n v="2863300010173"/>
    <n v="20250627"/>
    <x v="15"/>
    <m/>
    <m/>
    <s v="D     - Dare"/>
    <n v="200000"/>
    <n v="0"/>
    <n v="4991163"/>
    <s v="DCCVCN32D23M022U"/>
    <s v="DI CICCO VINCENZO"/>
    <s v="600 - Famiglie consumatrici"/>
    <m/>
    <s v="086 - ITALIA"/>
    <n v="1848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70"/>
    <s v="14"/>
    <s v="Operazione per conto di importo elevato per la causale ed il soggetto"/>
    <d v="2025-06-28T00:00:00"/>
    <n v="53850"/>
    <n v="114"/>
    <s v="053850_114"/>
    <s v="Discovery Day"/>
    <s v="Mai valutato"/>
    <m/>
    <n v="202506278130020"/>
    <n v="1143306282323"/>
    <n v="20250627"/>
    <x v="1"/>
    <m/>
    <s v="086 - ITALIA"/>
    <s v="A     - Avere"/>
    <n v="240203.57"/>
    <n v="0"/>
    <n v="4932408"/>
    <s v="RBRMPN81E68D643Y"/>
    <s v="ROBERTO MARIAPINA"/>
    <s v="600 - Famiglie consumatrici"/>
    <m/>
    <s v="086 - ITALIA"/>
    <n v="804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66"/>
    <s v="14"/>
    <s v="Operazione per conto di importo elevato per la causale ed il soggetto"/>
    <d v="2025-06-28T00:00:00"/>
    <n v="53850"/>
    <n v="273"/>
    <s v="053850_273"/>
    <s v="Discovery Day"/>
    <s v="Mai valutato"/>
    <m/>
    <n v="202506278128860"/>
    <n v="2733300004156"/>
    <n v="20250627"/>
    <x v="1"/>
    <m/>
    <s v="086 - ITALIA"/>
    <s v="A     - Avere"/>
    <n v="17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565"/>
    <s v="14"/>
    <s v="Operazione per conto di importo elevato per la causale ed il soggetto"/>
    <d v="2025-06-28T00:00:00"/>
    <n v="53850"/>
    <n v="99"/>
    <s v="053850_99"/>
    <s v="Discovery Day"/>
    <s v="Mai valutato"/>
    <m/>
    <n v="202506278131098"/>
    <n v="999361870311"/>
    <n v="20250627"/>
    <x v="1"/>
    <m/>
    <s v="086 - ITALIA"/>
    <s v="A     - Avere"/>
    <n v="3341017.6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63"/>
    <s v="14"/>
    <s v="Operazione per conto di importo elevato per la causale ed il soggetto"/>
    <d v="2025-06-28T00:00:00"/>
    <n v="53850"/>
    <n v="273"/>
    <s v="053850_273"/>
    <s v="Discovery Day"/>
    <s v="Mai valutato"/>
    <m/>
    <n v="202506278131102"/>
    <n v="2733300002304"/>
    <n v="20250627"/>
    <x v="0"/>
    <m/>
    <m/>
    <s v="D     - Dare"/>
    <n v="12891.47"/>
    <n v="0"/>
    <n v="1673038"/>
    <s v="VRGNNA68R48C298I"/>
    <s v="VIRGILIO ANNA"/>
    <s v="600 - Famiglie consumatrici"/>
    <m/>
    <s v="086 - ITALIA"/>
    <n v="1295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57"/>
    <s v="14"/>
    <s v="Operazione per conto di importo elevato per la causale ed il soggetto"/>
    <d v="2025-06-28T00:00:00"/>
    <n v="53850"/>
    <n v="103"/>
    <s v="053850_103"/>
    <s v="Discovery Day"/>
    <s v="Mai valutato"/>
    <m/>
    <n v="202506278131141"/>
    <n v="1035500406320"/>
    <n v="20250627"/>
    <x v="18"/>
    <m/>
    <m/>
    <s v="D     - Dare"/>
    <n v="190550"/>
    <n v="0"/>
    <n v="446772"/>
    <s v="CSSGNN75C14A225B"/>
    <s v="CASSANO GIOVANNI"/>
    <s v="600 - Famiglie consumatrici"/>
    <m/>
    <s v="086 - ITALIA"/>
    <n v="165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556"/>
    <s v="14"/>
    <s v="Operazione per conto di importo elevato per la causale ed il soggetto"/>
    <d v="2025-06-28T00:00:00"/>
    <n v="53850"/>
    <n v="284"/>
    <s v="053850_284"/>
    <s v="Discovery Day"/>
    <s v="Mai valutato"/>
    <m/>
    <s v="202506278779818L"/>
    <n v="2843300010620"/>
    <n v="20250627"/>
    <x v="0"/>
    <m/>
    <m/>
    <s v="D     - Dare"/>
    <n v="1078.5"/>
    <n v="0"/>
    <n v="3720346"/>
    <s v="DLNNCC65C30B238L"/>
    <s v="DE LEONARDIS DI RUSCIO ENRICO CAMILLO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54"/>
    <s v="14"/>
    <s v="Operazione per conto di importo elevato per la causale ed il soggetto"/>
    <d v="2025-06-28T00:00:00"/>
    <n v="53850"/>
    <n v="273"/>
    <s v="053850_273"/>
    <s v="Discovery Day"/>
    <s v="Mai valutato"/>
    <m/>
    <n v="202506278128249"/>
    <n v="2733300004156"/>
    <n v="20250627"/>
    <x v="8"/>
    <m/>
    <m/>
    <s v="D     - Dare"/>
    <n v="1310102.8999999999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161775"/>
    <n v="1165920.4065"/>
    <n v="1170065.8130000001"/>
    <n v="1174211.2194999999"/>
    <n v="1178356.6259999999"/>
    <n v="1182502.0325"/>
    <n v="1186647.439"/>
    <n v="1190792.8455000001"/>
    <n v="1194938.2520000001"/>
    <n v="1199083.6584999999"/>
    <n v="1203229.0649999999"/>
    <n v="1207374.4715"/>
    <n v="1211519.878"/>
    <n v="1215665.2845000001"/>
    <n v="1219810.6910000001"/>
    <n v="1223956.0974999999"/>
    <n v="1228101.504"/>
    <n v="1232246.9105"/>
    <n v="1236392.317"/>
    <n v="1240537.7235000001"/>
    <n v="1244683.12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53"/>
    <s v="14"/>
    <s v="Operazione per conto di importo elevato per la causale ed il soggetto"/>
    <d v="2025-06-28T00:00:00"/>
    <n v="53850"/>
    <n v="226"/>
    <s v="053850_226"/>
    <s v="Discovery Day"/>
    <s v="Mai valutato"/>
    <m/>
    <n v="202506278127950"/>
    <n v="2263300011983"/>
    <n v="20250627"/>
    <x v="3"/>
    <m/>
    <s v="086 - ITALIA"/>
    <s v="D     - Dare"/>
    <n v="1785173.33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549"/>
    <s v="14"/>
    <s v="Operazione per conto di importo elevato per la causale ed il soggetto"/>
    <d v="2025-06-28T00:00:00"/>
    <n v="53850"/>
    <n v="187"/>
    <s v="053850_187"/>
    <s v="Discovery Day"/>
    <s v="Mai valutato"/>
    <m/>
    <n v="202506278128732"/>
    <n v="999361870311"/>
    <n v="20250627"/>
    <x v="3"/>
    <m/>
    <s v="086 - ITALIA"/>
    <s v="D     - Dare"/>
    <n v="1140733.72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48"/>
    <s v="14"/>
    <s v="Operazione per conto di importo elevato per la causale ed il soggetto"/>
    <d v="2025-06-28T00:00:00"/>
    <n v="53850"/>
    <n v="187"/>
    <s v="053850_187"/>
    <s v="Discovery Day"/>
    <s v="Mai valutato"/>
    <m/>
    <n v="202506268131070"/>
    <n v="999361870311"/>
    <n v="20250626"/>
    <x v="15"/>
    <m/>
    <m/>
    <s v="D     - Dare"/>
    <n v="1313815.3700000001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44"/>
    <s v="14"/>
    <s v="Operazione per conto di importo elevato per la causale ed il soggetto"/>
    <d v="2025-06-27T00:00:00"/>
    <n v="53850"/>
    <n v="192"/>
    <s v="053850_192"/>
    <s v="Discovery Day"/>
    <s v="Mai valutato"/>
    <m/>
    <n v="202506268125218"/>
    <n v="1923300182666"/>
    <n v="20250626"/>
    <x v="3"/>
    <m/>
    <s v="086 - ITALIA"/>
    <s v="D     - Dare"/>
    <n v="643365.12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42"/>
    <s v="14"/>
    <s v="Operazione per conto di importo elevato per la causale ed il soggetto"/>
    <d v="2025-06-27T00:00:00"/>
    <n v="53850"/>
    <n v="187"/>
    <s v="053850_187"/>
    <s v="Discovery Day"/>
    <s v="Mai valutato"/>
    <m/>
    <n v="202506268125518"/>
    <n v="999361870311"/>
    <n v="20250626"/>
    <x v="3"/>
    <m/>
    <s v="086 - ITALIA"/>
    <s v="D     - Dare"/>
    <n v="1501364.8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541"/>
    <s v="14"/>
    <s v="Operazione per conto di importo elevato per la causale ed il soggetto"/>
    <d v="2025-06-27T00:00:00"/>
    <n v="53850"/>
    <n v="187"/>
    <s v="053850_187"/>
    <s v="Discovery Day"/>
    <s v="Mai valutato"/>
    <m/>
    <n v="202506268125523"/>
    <n v="999361870311"/>
    <n v="20250626"/>
    <x v="3"/>
    <m/>
    <s v="086 - ITALIA"/>
    <s v="D     - Dare"/>
    <n v="1025096.37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40"/>
    <s v="14"/>
    <s v="Operazione per conto di importo elevato per la causale ed il soggetto"/>
    <d v="2025-06-27T00:00:00"/>
    <n v="53850"/>
    <n v="102"/>
    <s v="053850_102"/>
    <s v="Discovery Day"/>
    <s v="Mai valutato"/>
    <m/>
    <n v="202506268127412"/>
    <n v="1503300003329"/>
    <n v="20250626"/>
    <x v="3"/>
    <m/>
    <s v="086 - ITALIA"/>
    <s v="D     - Dare"/>
    <n v="670460.84"/>
    <n v="0"/>
    <n v="4981011"/>
    <n v="9320630966"/>
    <s v="OPEN FIBER S.P.A."/>
    <s v="430 - Imprese produttive"/>
    <s v="611 - TELECOMUNICAZIONI FISSE"/>
    <s v="086 - ITALIA"/>
    <n v="1203"/>
    <m/>
    <m/>
    <m/>
    <m/>
    <m/>
    <m/>
    <m/>
    <n v="0"/>
    <n v="202506"/>
    <s v="IN VALUTAZIONE RPR"/>
    <x v="1"/>
    <n v="1"/>
    <m/>
    <m/>
    <n v="0"/>
    <n v="611"/>
    <n v="430"/>
    <n v="43061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34"/>
    <s v="14"/>
    <s v="Operazione per conto di importo elevato per la causale ed il soggetto"/>
    <d v="2025-06-27T00:00:00"/>
    <n v="53850"/>
    <n v="187"/>
    <s v="053850_187"/>
    <s v="Discovery Day"/>
    <s v="Mai valutato"/>
    <m/>
    <n v="202506268125068"/>
    <n v="999361870311"/>
    <n v="20250626"/>
    <x v="8"/>
    <m/>
    <m/>
    <s v="D     - Dare"/>
    <n v="1274537.48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240852.8799999999"/>
    <n v="1244221.3400000001"/>
    <n v="1247589.8"/>
    <n v="1250958.26"/>
    <n v="1254326.72"/>
    <n v="1257695.18"/>
    <n v="1261063.6399999999"/>
    <n v="1264432.1000000001"/>
    <n v="1267800.56"/>
    <n v="1271169.02"/>
    <n v="1274537.48"/>
    <n v="1274854.3959999999"/>
    <n v="1275171.3119999999"/>
    <n v="1275488.2279999999"/>
    <n v="1275805.1440000001"/>
    <n v="1276122.06"/>
    <n v="1276438.976"/>
    <n v="1276755.892"/>
    <n v="1277072.808"/>
    <n v="1277389.7239999999"/>
    <n v="1277706.63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529"/>
    <s v="14"/>
    <s v="Operazione per conto di importo elevato per la causale ed il soggetto"/>
    <d v="2025-06-27T00:00:00"/>
    <n v="53850"/>
    <n v="271"/>
    <s v="053850_271"/>
    <s v="Discovery Day"/>
    <s v="Mai valutato"/>
    <m/>
    <s v="202506268706297L"/>
    <n v="2713300010109"/>
    <n v="20250626"/>
    <x v="0"/>
    <m/>
    <m/>
    <s v="D     - Dare"/>
    <n v="2371.4499999999998"/>
    <n v="0"/>
    <n v="1628583"/>
    <s v="NGLVTR47R29G141J"/>
    <s v="ANGELOZZI VITTORIO"/>
    <s v="600 - Famiglie consumatrici"/>
    <m/>
    <s v="086 - ITALIA"/>
    <n v="1850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28"/>
    <s v="14"/>
    <s v="Operazione per conto di importo elevato per la causale ed il soggetto"/>
    <d v="2025-06-27T00:00:00"/>
    <n v="53850"/>
    <n v="102"/>
    <s v="053850_102"/>
    <s v="Discovery Day"/>
    <s v="Mai valutato"/>
    <m/>
    <n v="202506268126658"/>
    <n v="1023308725044"/>
    <n v="20250626"/>
    <x v="1"/>
    <m/>
    <s v="086 - ITALIA"/>
    <s v="A     - Avere"/>
    <n v="283590.28000000003"/>
    <n v="0"/>
    <n v="4921"/>
    <s v="LRSMGR65H44A662X"/>
    <s v="LORUSSO MARIA GRAZIA"/>
    <s v="600 - Famiglie consumatrici"/>
    <m/>
    <s v="086 - ITALIA"/>
    <n v="133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523"/>
    <s v="14"/>
    <s v="Operazione per conto di importo elevato per la causale ed il soggetto"/>
    <d v="2025-06-27T00:00:00"/>
    <n v="53850"/>
    <n v="182"/>
    <s v="053850_182"/>
    <s v="Discovery Day"/>
    <s v="Mai valutato"/>
    <m/>
    <n v="202506268125215"/>
    <n v="1823300058518"/>
    <n v="20250626"/>
    <x v="3"/>
    <m/>
    <s v="086 - ITALIA"/>
    <s v="D     - Dare"/>
    <n v="1106190.6499999999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521"/>
    <s v="14"/>
    <s v="Operazione per conto di importo elevato per la causale ed il soggetto"/>
    <d v="2025-06-27T00:00:00"/>
    <n v="53850"/>
    <n v="182"/>
    <s v="053850_182"/>
    <s v="Discovery Day"/>
    <s v="Mai valutato"/>
    <m/>
    <n v="202506268125212"/>
    <n v="1823300058518"/>
    <n v="20250626"/>
    <x v="3"/>
    <m/>
    <s v="086 - ITALIA"/>
    <s v="D     - Dare"/>
    <n v="1110644.2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520"/>
    <s v="14"/>
    <s v="Operazione per conto di importo elevato per la causale ed il soggetto"/>
    <d v="2025-06-27T00:00:00"/>
    <n v="53850"/>
    <n v="271"/>
    <s v="053850_271"/>
    <s v="Discovery Day"/>
    <s v="Mai valutato"/>
    <m/>
    <s v="202506268706297L"/>
    <n v="2713300010109"/>
    <n v="20250626"/>
    <x v="0"/>
    <m/>
    <m/>
    <s v="D     - Dare"/>
    <n v="2371.4499999999998"/>
    <n v="0"/>
    <n v="1667399"/>
    <s v="DGVMHL54D64G141I"/>
    <s v="DI GIOVANNI MICHELIN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19"/>
    <s v="14"/>
    <s v="Operazione per conto di importo elevato per la causale ed il soggetto"/>
    <d v="2025-06-27T00:00:00"/>
    <n v="53850"/>
    <n v="125"/>
    <s v="053850_125"/>
    <s v="Discovery Day"/>
    <s v="Mai valutato"/>
    <m/>
    <n v="202506268125272"/>
    <n v="1253300010268"/>
    <n v="20250626"/>
    <x v="3"/>
    <m/>
    <s v="086 - ITALIA"/>
    <s v="D     - Dare"/>
    <n v="900000"/>
    <n v="0"/>
    <n v="4568007"/>
    <n v="6398720968"/>
    <s v="UFM - UNIONE FARMACEUTICA MITO S.R.L.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517"/>
    <s v="14"/>
    <s v="Operazione per conto di importo elevato per la causale ed il soggetto"/>
    <d v="2025-06-27T00:00:00"/>
    <n v="53850"/>
    <n v="106"/>
    <s v="053850_106"/>
    <s v="Discovery Day"/>
    <s v="Mai valutato"/>
    <m/>
    <n v="202506268125030"/>
    <n v="1063304957810"/>
    <n v="20250626"/>
    <x v="3"/>
    <m/>
    <s v="086 - ITALIA"/>
    <s v="D     - Dare"/>
    <n v="300000"/>
    <n v="0"/>
    <n v="495781"/>
    <s v="SLRFNC64L20F220T"/>
    <s v="SALERNO FRANCESCO"/>
    <s v="600 - Famiglie consumatrici"/>
    <m/>
    <s v="086 - ITALIA"/>
    <n v="1464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515"/>
    <s v="14"/>
    <s v="Operazione per conto di importo elevato per la causale ed il soggetto"/>
    <d v="2025-06-27T00:00:00"/>
    <n v="53850"/>
    <n v="141"/>
    <s v="053850_141"/>
    <s v="Discovery Day"/>
    <s v="Mai valutato"/>
    <m/>
    <n v="202506268126999"/>
    <n v="1413300003985"/>
    <n v="20250626"/>
    <x v="15"/>
    <m/>
    <m/>
    <s v="D     - Dare"/>
    <n v="3075625.82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513"/>
    <s v="14"/>
    <s v="Operazione per conto di importo elevato per la causale ed il soggetto"/>
    <d v="2025-06-27T00:00:00"/>
    <n v="53850"/>
    <n v="105"/>
    <s v="053850_105"/>
    <s v="Discovery Day"/>
    <s v="Mai valutato"/>
    <m/>
    <s v="202506268702896L"/>
    <n v="1053306291443"/>
    <n v="20250626"/>
    <x v="0"/>
    <m/>
    <m/>
    <s v="D     - Dare"/>
    <n v="1890.42"/>
    <n v="0"/>
    <n v="473244"/>
    <s v="CSTMRA40D66E038R"/>
    <s v="CASTELLANETA MARI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11"/>
    <s v="14"/>
    <s v="Operazione per conto di importo elevato per la causale ed il soggetto"/>
    <d v="2025-06-27T00:00:00"/>
    <n v="53850"/>
    <n v="102"/>
    <s v="053850_102"/>
    <s v="Discovery Day"/>
    <s v="Mai valutato"/>
    <m/>
    <n v="202506268127426"/>
    <n v="1023306275300"/>
    <n v="20250626"/>
    <x v="0"/>
    <m/>
    <m/>
    <s v="D     - Dare"/>
    <n v="6580.25"/>
    <n v="0"/>
    <n v="564336"/>
    <s v="SQCNLN32A11A225Q"/>
    <s v="SQUICCIARINI ANGELANTONIO"/>
    <s v="600 - Famiglie consumatrici"/>
    <m/>
    <s v="086 - ITALIA"/>
    <n v="63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509"/>
    <s v="14"/>
    <s v="Operazione per conto di importo elevato per la causale ed il soggetto"/>
    <d v="2025-06-27T00:00:00"/>
    <n v="53850"/>
    <n v="182"/>
    <s v="053850_182"/>
    <s v="Discovery Day"/>
    <s v="Mai valutato"/>
    <m/>
    <n v="202506268125213"/>
    <n v="1823300058518"/>
    <n v="20250626"/>
    <x v="3"/>
    <m/>
    <s v="086 - ITALIA"/>
    <s v="D     - Dare"/>
    <n v="1053360.8400000001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507"/>
    <s v="14"/>
    <s v="Operazione per conto di importo elevato per la causale ed il soggetto"/>
    <d v="2025-06-27T00:00:00"/>
    <n v="53850"/>
    <n v="286"/>
    <s v="053850_286"/>
    <s v="Discovery Day"/>
    <s v="Mai valutato"/>
    <m/>
    <n v="202506268125791"/>
    <n v="2863300003269"/>
    <n v="20250626"/>
    <x v="1"/>
    <m/>
    <s v="086 - ITALIA"/>
    <s v="A     - Avere"/>
    <n v="116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05"/>
    <s v="14"/>
    <s v="Operazione per conto di importo elevato per la causale ed il soggetto"/>
    <d v="2025-06-27T00:00:00"/>
    <n v="53850"/>
    <n v="103"/>
    <s v="053850_103"/>
    <s v="Discovery Day"/>
    <s v="Mai valutato"/>
    <m/>
    <n v="202506268127438"/>
    <n v="1033306986134"/>
    <n v="20250626"/>
    <x v="3"/>
    <m/>
    <s v="086 - ITALIA"/>
    <s v="D     - Dare"/>
    <n v="100000"/>
    <n v="0"/>
    <n v="4100632"/>
    <s v="MNFNNA72H68Z614G"/>
    <s v="MANFREDI ANNA"/>
    <s v="615 - Altre famiglie produttrici"/>
    <s v="477 - COMMERCIO AL DETTAGLIO DI ALTRI PRODOTTI IN ESERCIZI SPECIALIZZATI"/>
    <s v="086 - ITALIA"/>
    <n v="995"/>
    <m/>
    <m/>
    <m/>
    <m/>
    <m/>
    <m/>
    <m/>
    <n v="0"/>
    <n v="202506"/>
    <s v="IN CARICO AL GESTORE"/>
    <x v="1"/>
    <n v="1"/>
    <m/>
    <m/>
    <n v="0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03"/>
    <s v="14"/>
    <s v="Operazione per conto di importo elevato per la causale ed il soggetto"/>
    <d v="2025-06-26T00:00:00"/>
    <n v="53850"/>
    <n v="108"/>
    <s v="053850_108"/>
    <s v="Discovery Day"/>
    <s v="Mai valutato"/>
    <m/>
    <n v="202506268124008"/>
    <n v="1085500039514"/>
    <n v="20250626"/>
    <x v="18"/>
    <m/>
    <m/>
    <s v="D     - Dare"/>
    <n v="198093.34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502"/>
    <s v="14"/>
    <s v="Operazione per conto di importo elevato per la causale ed il soggetto"/>
    <d v="2025-06-26T00:00:00"/>
    <n v="53850"/>
    <n v="108"/>
    <s v="053850_108"/>
    <s v="Discovery Day"/>
    <s v="Mai valutato"/>
    <m/>
    <n v="202506268124008"/>
    <n v="1085500039514"/>
    <n v="20250626"/>
    <x v="18"/>
    <m/>
    <m/>
    <s v="D     - Dare"/>
    <n v="198093.34"/>
    <n v="0"/>
    <n v="426147"/>
    <s v="MNSPDN34T55F915F"/>
    <s v="MANSUETO PRUDENZI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501"/>
    <s v="14"/>
    <s v="Operazione per conto di importo elevato per la causale ed il soggetto"/>
    <d v="2025-06-26T00:00:00"/>
    <n v="53850"/>
    <n v="188"/>
    <s v="053850_188"/>
    <s v="Discovery Day"/>
    <s v="Mai valutato"/>
    <m/>
    <s v="202506258689953L"/>
    <n v="1883300141277"/>
    <n v="20250625"/>
    <x v="0"/>
    <m/>
    <m/>
    <s v="D     - Dare"/>
    <n v="1078.94"/>
    <n v="1078.94"/>
    <n v="3185802"/>
    <s v="SPCDNL74P02E205N"/>
    <s v="SPECCHIA DANIELE"/>
    <s v="600 - Famiglie consumatrici"/>
    <m/>
    <s v="086 - ITALIA"/>
    <n v="424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00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6"/>
    <s v="ZNNRTI58P45E372D"/>
    <s v="ZINNI RIT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95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7"/>
    <s v="ZNNGPP53C59E372U"/>
    <s v="ZINNI GIUSEPPIN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92"/>
    <s v="14"/>
    <s v="Operazione per conto di importo elevato per la causale ed il soggetto"/>
    <d v="2025-06-26T00:00:00"/>
    <n v="53850"/>
    <n v="148"/>
    <s v="053850_148"/>
    <s v="Discovery Day"/>
    <s v="Mai valutato"/>
    <m/>
    <n v="202506258123636"/>
    <n v="1483300003701"/>
    <n v="20250625"/>
    <x v="1"/>
    <m/>
    <s v="086 - ITALIA"/>
    <s v="A     - Avere"/>
    <n v="1000000"/>
    <n v="0"/>
    <n v="2001293"/>
    <s v="BBTSVT57P28D386J"/>
    <s v="ABBATIELLO SALVATORE"/>
    <s v="600 - Famiglie consumatrici"/>
    <m/>
    <s v="086 - ITALIA"/>
    <n v="163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91"/>
    <s v="14"/>
    <s v="Operazione per conto di importo elevato per la causale ed il soggetto"/>
    <d v="2025-06-26T00:00:00"/>
    <n v="53850"/>
    <n v="286"/>
    <s v="053850_286"/>
    <s v="Discovery Day"/>
    <s v="Mai valutato"/>
    <m/>
    <n v="202506258124486"/>
    <n v="2863300003269"/>
    <n v="20250625"/>
    <x v="6"/>
    <m/>
    <m/>
    <s v="D     - Dare"/>
    <n v="310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490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67"/>
    <n v="2733300004001"/>
    <n v="20250625"/>
    <x v="0"/>
    <m/>
    <m/>
    <s v="D     - Dare"/>
    <n v="12697.28"/>
    <n v="0"/>
    <n v="1671175"/>
    <s v="TTVLTN40C41L459P"/>
    <s v="OTTAVIANO ELENTIN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89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9"/>
    <s v="ZNNMGR49R59E372T"/>
    <s v="ZINNI MARIA GRAZI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88"/>
    <s v="14"/>
    <s v="Operazione per conto di importo elevato per la causale ed il soggetto"/>
    <d v="2025-06-26T00:00:00"/>
    <n v="53850"/>
    <n v="261"/>
    <s v="053850_261"/>
    <s v="Discovery Day"/>
    <s v="Mai valutato"/>
    <m/>
    <s v="202506258689728L"/>
    <n v="2613300000293"/>
    <n v="20250625"/>
    <x v="0"/>
    <m/>
    <m/>
    <s v="A     - Avere"/>
    <n v="2315.1999999999998"/>
    <n v="0"/>
    <n v="1604757"/>
    <n v="81180945"/>
    <s v="DI IORIO SOCIETA' PER AZIONI"/>
    <s v="430 - Imprese produttive"/>
    <s v="110 - INDUSTRIA DELLE BEVANDE"/>
    <s v="086 - ITALIA"/>
    <n v="1856"/>
    <m/>
    <m/>
    <m/>
    <m/>
    <m/>
    <m/>
    <m/>
    <n v="0"/>
    <n v="202506"/>
    <s v="IN CARICO AL GESTORE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86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67"/>
    <n v="2733300004001"/>
    <n v="20250625"/>
    <x v="0"/>
    <m/>
    <m/>
    <s v="D     - Dare"/>
    <n v="12697.28"/>
    <n v="0"/>
    <n v="1625597"/>
    <s v="GSPLNZ71H19E372Q"/>
    <s v="GASPARI LORENZO"/>
    <s v="600 - Famiglie consumatrici"/>
    <m/>
    <s v="086 - ITALIA"/>
    <n v="1838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85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67"/>
    <n v="2733300004001"/>
    <n v="20250625"/>
    <x v="0"/>
    <m/>
    <m/>
    <s v="D     - Dare"/>
    <n v="12697.28"/>
    <n v="0"/>
    <n v="1674203"/>
    <s v="GSPNRT66M48E372F"/>
    <s v="GASPARI ANNA RIT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82"/>
    <s v="14"/>
    <s v="Operazione per conto di importo elevato per la causale ed il soggetto"/>
    <d v="2025-06-26T00:00:00"/>
    <n v="53850"/>
    <n v="261"/>
    <s v="053850_261"/>
    <s v="Discovery Day"/>
    <s v="Mai valutato"/>
    <m/>
    <s v="202506258689729L"/>
    <n v="2613300000293"/>
    <n v="20250625"/>
    <x v="0"/>
    <m/>
    <m/>
    <s v="A     - Avere"/>
    <n v="2938.17"/>
    <n v="0"/>
    <n v="1604757"/>
    <n v="81180945"/>
    <s v="DI IORIO SOCIETA' PER AZIONI"/>
    <s v="430 - Imprese produttive"/>
    <s v="110 - INDUSTRIA DELLE BEVANDE"/>
    <s v="086 - ITALIA"/>
    <n v="1856"/>
    <m/>
    <m/>
    <m/>
    <m/>
    <m/>
    <m/>
    <m/>
    <n v="0"/>
    <n v="202506"/>
    <s v="IN CARICO AL GESTORE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81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5"/>
    <s v="ZNNLNE47L49E372D"/>
    <s v="ZINNI ELEN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79"/>
    <s v="14"/>
    <s v="Operazione per conto di importo elevato per la causale ed il soggetto"/>
    <d v="2025-06-26T00:00:00"/>
    <n v="53850"/>
    <n v="286"/>
    <s v="053850_286"/>
    <s v="Discovery Day"/>
    <s v="Mai valutato"/>
    <m/>
    <n v="202506258123522"/>
    <n v="2863300010173"/>
    <n v="20250625"/>
    <x v="1"/>
    <m/>
    <s v="086 - ITALIA"/>
    <s v="A     - Avere"/>
    <n v="406362.91"/>
    <n v="0"/>
    <n v="4991163"/>
    <s v="DCCVCN32D23M022U"/>
    <s v="DI CICCO VINCENZO"/>
    <s v="600 - Famiglie consumatrici"/>
    <m/>
    <s v="086 - ITALIA"/>
    <n v="1848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76"/>
    <s v="14"/>
    <s v="Operazione per conto di importo elevato per la causale ed il soggetto"/>
    <d v="2025-06-26T00:00:00"/>
    <n v="53850"/>
    <n v="148"/>
    <s v="053850_148"/>
    <s v="Discovery Day"/>
    <s v="Mai valutato"/>
    <m/>
    <n v="202506258123250"/>
    <n v="1483300006143"/>
    <n v="20250625"/>
    <x v="10"/>
    <m/>
    <m/>
    <s v="A     - Avere"/>
    <n v="245703.4"/>
    <n v="0"/>
    <n v="3744528"/>
    <s v="CRFMRA69S59I233K"/>
    <s v="CARFORA MARIA"/>
    <s v="600 - Famiglie consumatrici"/>
    <m/>
    <s v="086 - ITALIA"/>
    <n v="1064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75"/>
    <s v="14"/>
    <s v="Operazione per conto di importo elevato per la causale ed il soggetto"/>
    <d v="2025-06-26T00:00:00"/>
    <n v="53850"/>
    <n v="182"/>
    <s v="053850_182"/>
    <s v="Discovery Day"/>
    <s v="Mai valutato"/>
    <m/>
    <n v="202506258123565"/>
    <n v="1823300072312"/>
    <n v="20250625"/>
    <x v="1"/>
    <m/>
    <s v="086 - ITALIA"/>
    <s v="A     - Avere"/>
    <n v="1121842.5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72"/>
    <s v="14"/>
    <s v="Operazione per conto di importo elevato per la causale ed il soggetto"/>
    <d v="2025-06-26T00:00:00"/>
    <n v="53850"/>
    <n v="274"/>
    <s v="053850_274"/>
    <s v="Discovery Day"/>
    <s v="Mai valutato"/>
    <m/>
    <n v="202506258124976"/>
    <n v="2743300001958"/>
    <n v="20250625"/>
    <x v="9"/>
    <m/>
    <m/>
    <s v="D     - Dare"/>
    <n v="233000"/>
    <n v="0"/>
    <n v="1624261"/>
    <s v="PTTNDR89S12C632O"/>
    <s v="PIATTELLI ANDREA"/>
    <s v="600 - Famiglie consumatrici"/>
    <m/>
    <s v="086 - ITALIA"/>
    <n v="1859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71"/>
    <s v="14"/>
    <s v="Operazione per conto di importo elevato per la causale ed il soggetto"/>
    <d v="2025-06-26T00:00:00"/>
    <n v="53850"/>
    <n v="103"/>
    <s v="053850_103"/>
    <s v="Discovery Day"/>
    <s v="Mai valutato"/>
    <m/>
    <s v="202506258683964L"/>
    <n v="1033306978965"/>
    <n v="20250625"/>
    <x v="0"/>
    <m/>
    <m/>
    <s v="D     - Dare"/>
    <n v="4500.3599999999997"/>
    <n v="0"/>
    <n v="4938377"/>
    <s v="LDDGNZ01M23A225K"/>
    <s v="LADDAGA IGNAZIO"/>
    <s v="600 - Famiglie consumatrici"/>
    <m/>
    <s v="086 - ITALIA"/>
    <n v="109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70"/>
    <s v="14"/>
    <s v="Operazione per conto di importo elevato per la causale ed il soggetto"/>
    <d v="2025-06-26T00:00:00"/>
    <n v="53850"/>
    <n v="286"/>
    <s v="053850_286"/>
    <s v="Discovery Day"/>
    <s v="Mai valutato"/>
    <m/>
    <n v="202506258123522"/>
    <n v="2863300010173"/>
    <n v="20250625"/>
    <x v="1"/>
    <m/>
    <s v="086 - ITALIA"/>
    <s v="A     - Avere"/>
    <n v="406362.91"/>
    <n v="0"/>
    <n v="4991167"/>
    <s v="GVNGNN38H63C632J"/>
    <s v="GIOVINE GIOVANNA"/>
    <s v="600 - Famiglie consumatrici"/>
    <m/>
    <s v="086 - ITALIA"/>
    <n v="1848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63"/>
    <s v="14"/>
    <s v="Operazione per conto di importo elevato per la causale ed il soggetto"/>
    <d v="2025-06-25T00:00:00"/>
    <n v="53850"/>
    <n v="149"/>
    <s v="053850_149"/>
    <s v="Discovery Day"/>
    <s v="Mai valutato"/>
    <m/>
    <n v="202506258121147"/>
    <n v="1490050026458"/>
    <n v="20250625"/>
    <x v="26"/>
    <m/>
    <m/>
    <s v="D     - Da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61"/>
    <s v="14"/>
    <s v="Operazione per conto di importo elevato per la causale ed il soggetto"/>
    <d v="2025-06-25T00:00:00"/>
    <n v="53850"/>
    <n v="109"/>
    <s v="053850_109"/>
    <s v="Discovery Day"/>
    <s v="Mai valutato"/>
    <m/>
    <s v="202506248613458L"/>
    <n v="1093306671600"/>
    <n v="20250624"/>
    <x v="0"/>
    <m/>
    <m/>
    <s v="D     - Dare"/>
    <n v="4104.33"/>
    <n v="0"/>
    <n v="4234577"/>
    <s v="MNTMSM63H23A662V"/>
    <s v="MONTAGNA MASSIMO"/>
    <s v="600 - Famiglie consumatrici"/>
    <m/>
    <s v="086 - ITALIA"/>
    <n v="92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58"/>
    <s v="14"/>
    <s v="Operazione per conto di importo elevato per la causale ed il soggetto"/>
    <d v="2025-06-25T00:00:00"/>
    <n v="53850"/>
    <n v="110"/>
    <s v="053850_110"/>
    <s v="Discovery Day"/>
    <s v="Mai valutato"/>
    <m/>
    <n v="202506248120533"/>
    <n v="1103306283873"/>
    <n v="20250624"/>
    <x v="1"/>
    <m/>
    <s v="086 - ITALIA"/>
    <s v="A     - Avere"/>
    <n v="251954.41"/>
    <n v="0"/>
    <n v="593634"/>
    <s v="PLLFNC61R19A669D"/>
    <s v="PALLADINO FRANCESCO"/>
    <s v="600 - Famiglie consumatrici"/>
    <m/>
    <s v="086 - ITALIA"/>
    <n v="190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455"/>
    <s v="14"/>
    <s v="Operazione per conto di importo elevato per la causale ed il soggetto"/>
    <d v="2025-06-25T00:00:00"/>
    <n v="53850"/>
    <n v="282"/>
    <s v="053850_282"/>
    <s v="Discovery Day"/>
    <s v="Mai valutato"/>
    <m/>
    <n v="202506248122205"/>
    <n v="2823300001940"/>
    <n v="20250624"/>
    <x v="9"/>
    <m/>
    <m/>
    <s v="D     - Dare"/>
    <n v="375000"/>
    <n v="0"/>
    <n v="1678407"/>
    <s v="SPNPPS69H21C632V"/>
    <s v="SPINELLI PAOLO PASQUALE ANGELO"/>
    <s v="600 - Famiglie consumatrici"/>
    <m/>
    <s v="086 - ITALIA"/>
    <n v="175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47"/>
    <s v="14"/>
    <s v="Operazione per conto di importo elevato per la causale ed il soggetto"/>
    <d v="2025-06-25T00:00:00"/>
    <n v="53850"/>
    <n v="114"/>
    <s v="053850_114"/>
    <s v="Discovery Day"/>
    <s v="Mai valutato"/>
    <m/>
    <s v="202506248613374L"/>
    <n v="1143306285236"/>
    <n v="20250624"/>
    <x v="0"/>
    <m/>
    <m/>
    <s v="D     - Dare"/>
    <n v="2061.9499999999998"/>
    <n v="0"/>
    <n v="3742678"/>
    <n v="3261830719"/>
    <s v="FALLIMENTO M.G.BRACCIA DI BRACCIA RAFFAELLA"/>
    <s v="501 - Istituzioni ed enti con finalita' di assistenza, beneficenza, istruzione, culturali, sindacali, politiche, sportive, ricreative e simili"/>
    <s v="473 - COMMERCIO AL DETTAGLIO DI CARBURANTE PER AUTOTRAZIONE IN ESERCIZI SPECIALIZZATI"/>
    <s v="086 - ITALIA"/>
    <m/>
    <m/>
    <m/>
    <m/>
    <m/>
    <m/>
    <m/>
    <m/>
    <n v="0"/>
    <n v="202506"/>
    <s v="ARCHIVIATA DA RPR"/>
    <x v="0"/>
    <n v="1"/>
    <m/>
    <m/>
    <n v="1"/>
    <n v="999"/>
    <n v="501"/>
    <n v="501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42"/>
    <s v="14"/>
    <s v="Operazione per conto di importo elevato per la causale ed il soggetto"/>
    <d v="2025-06-25T00:00:00"/>
    <n v="53850"/>
    <n v="102"/>
    <s v="053850_102"/>
    <s v="Discovery Day"/>
    <s v="Mai valutato"/>
    <m/>
    <n v="202506248120407"/>
    <n v="1023308719030"/>
    <n v="20250624"/>
    <x v="1"/>
    <m/>
    <s v="086 - ITALIA"/>
    <s v="A     - Avere"/>
    <n v="3752113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441"/>
    <s v="14"/>
    <s v="Operazione per conto di importo elevato per la causale ed il soggetto"/>
    <d v="2025-06-25T00:00:00"/>
    <n v="53850"/>
    <n v="147"/>
    <s v="053850_147"/>
    <s v="Discovery Day"/>
    <s v="Mai valutato"/>
    <m/>
    <n v="202506248121918"/>
    <n v="1473300000701"/>
    <n v="20250624"/>
    <x v="3"/>
    <m/>
    <s v="086 - ITALIA"/>
    <s v="D     - Dare"/>
    <n v="500000"/>
    <n v="0"/>
    <n v="4329128"/>
    <s v="SNTMNN64E54B963F"/>
    <s v="SANTORO MARIA ANNA"/>
    <s v="600 - Famiglie consumatrici"/>
    <m/>
    <s v="086 - ITALIA"/>
    <n v="142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40"/>
    <s v="14"/>
    <s v="Operazione per conto di importo elevato per la causale ed il soggetto"/>
    <d v="2025-06-25T00:00:00"/>
    <n v="53850"/>
    <n v="109"/>
    <s v="053850_109"/>
    <s v="Discovery Day"/>
    <s v="Mai valutato"/>
    <m/>
    <s v="202506248613458L"/>
    <n v="1093306671600"/>
    <n v="20250624"/>
    <x v="0"/>
    <m/>
    <m/>
    <s v="D     - Dare"/>
    <n v="4104.33"/>
    <n v="0"/>
    <n v="4482499"/>
    <s v="DDNLBA26M54E815R"/>
    <s v="DE DONNO ALBA"/>
    <s v="600 - Famiglie consumatrici"/>
    <m/>
    <s v="086 - ITALIA"/>
    <n v="1430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39"/>
    <s v="14"/>
    <s v="Operazione per conto di importo elevato per la causale ed il soggetto"/>
    <d v="2025-06-25T00:00:00"/>
    <n v="53850"/>
    <n v="147"/>
    <s v="053850_147"/>
    <s v="Discovery Day"/>
    <s v="Mai valutato"/>
    <m/>
    <n v="202506248121918"/>
    <n v="1473300000701"/>
    <n v="20250624"/>
    <x v="3"/>
    <m/>
    <s v="086 - ITALIA"/>
    <s v="D     - Dare"/>
    <n v="500000"/>
    <n v="0"/>
    <n v="4329168"/>
    <s v="MRTFNC66H27B963M"/>
    <s v="MARTUCCI FRANCESCO"/>
    <s v="600 - Famiglie consumatrici"/>
    <m/>
    <s v="086 - ITALIA"/>
    <n v="142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38"/>
    <s v="14"/>
    <s v="Operazione per conto di importo elevato per la causale ed il soggetto"/>
    <d v="2025-06-25T00:00:00"/>
    <n v="53850"/>
    <n v="286"/>
    <s v="053850_286"/>
    <s v="Discovery Day"/>
    <s v="Mai valutato"/>
    <m/>
    <n v="202506248120648"/>
    <n v="2863300013709"/>
    <n v="20250624"/>
    <x v="1"/>
    <m/>
    <s v="086 - ITALIA"/>
    <s v="A     - Avere"/>
    <n v="1664495.23"/>
    <n v="0"/>
    <n v="3740066"/>
    <n v="2140150687"/>
    <s v="ESA SERVICE 24H SRL"/>
    <s v="430 - Imprese produttive"/>
    <s v="432 - INSTALLAZIONE DI IMPIANTI ELETTRICI, IDRAULICI ED ALTRI LAVORI DI COSTRUZIONE E INSTALLAZIONE"/>
    <s v="086 - ITALIA"/>
    <n v="1877"/>
    <m/>
    <m/>
    <m/>
    <m/>
    <m/>
    <m/>
    <m/>
    <n v="0"/>
    <n v="202506"/>
    <s v="IN CARICO AL GESTORE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37"/>
    <s v="14"/>
    <s v="Operazione per conto di importo elevato per la causale ed il soggetto"/>
    <d v="2025-06-25T00:00:00"/>
    <n v="53850"/>
    <n v="105"/>
    <s v="053850_105"/>
    <s v="Discovery Day"/>
    <s v="Mai valutato"/>
    <m/>
    <n v="202506248119433"/>
    <n v="1053306287103"/>
    <n v="20250624"/>
    <x v="3"/>
    <m/>
    <s v="086 - ITALIA"/>
    <s v="D     - Dare"/>
    <n v="1700000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36"/>
    <s v="14"/>
    <s v="Operazione per conto di importo elevato per la causale ed il soggetto"/>
    <d v="2025-06-25T00:00:00"/>
    <n v="53850"/>
    <n v="286"/>
    <s v="053850_286"/>
    <s v="Discovery Day"/>
    <s v="Mai valutato"/>
    <m/>
    <n v="202506248119903"/>
    <n v="2863300013638"/>
    <n v="20250624"/>
    <x v="3"/>
    <m/>
    <s v="086 - ITALIA"/>
    <s v="D     - Dare"/>
    <n v="6460000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6"/>
    <s v="IN CARICO AL GESTORE"/>
    <x v="1"/>
    <n v="1"/>
    <m/>
    <m/>
    <n v="0"/>
    <n v="999"/>
    <n v="285"/>
    <n v="285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32"/>
    <s v="14"/>
    <s v="Operazione per conto di importo elevato per la causale ed il soggetto"/>
    <d v="2025-06-25T00:00:00"/>
    <n v="53850"/>
    <n v="116"/>
    <s v="053850_116"/>
    <s v="Discovery Day"/>
    <s v="Mai valutato"/>
    <m/>
    <s v="202506248613384L"/>
    <n v="1163300004979"/>
    <n v="20250624"/>
    <x v="0"/>
    <m/>
    <m/>
    <s v="D     - Dare"/>
    <n v="3558.69"/>
    <n v="0"/>
    <n v="4464119"/>
    <s v="CPRLCU41B68A662V"/>
    <s v="CAPRIATI LUCIA"/>
    <s v="600 - Famiglie consumatrici"/>
    <m/>
    <s v="086 - ITALIA"/>
    <n v="80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430"/>
    <s v="14"/>
    <s v="Operazione per conto di importo elevato per la causale ed il soggetto"/>
    <d v="2025-06-25T00:00:00"/>
    <n v="53850"/>
    <n v="271"/>
    <s v="053850_271"/>
    <s v="Discovery Day"/>
    <s v="Mai valutato"/>
    <m/>
    <n v="202506248122178"/>
    <n v="2713300000594"/>
    <n v="20250624"/>
    <x v="3"/>
    <m/>
    <s v="086 - ITALIA"/>
    <s v="D     - Dare"/>
    <n v="247500"/>
    <n v="0"/>
    <n v="1614121"/>
    <s v="DZITRP65D29G141X"/>
    <s v="DI ZIO ETTORE PAOLO"/>
    <s v="600 - Famiglie consumatrici"/>
    <m/>
    <s v="086 - ITALIA"/>
    <n v="1800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28"/>
    <s v="14"/>
    <s v="Operazione per conto di importo elevato per la causale ed il soggetto"/>
    <d v="2025-06-25T00:00:00"/>
    <n v="53850"/>
    <n v="198"/>
    <s v="053850_198"/>
    <s v="Discovery Day"/>
    <s v="Mai valutato"/>
    <m/>
    <n v="202506248122105"/>
    <n v="1983300003447"/>
    <n v="20250624"/>
    <x v="0"/>
    <m/>
    <m/>
    <s v="D     - Dare"/>
    <n v="10636.81"/>
    <n v="0"/>
    <n v="4988718"/>
    <s v="SIUDNC31S01I158J"/>
    <s v="IUSO DOMENICO"/>
    <s v="600 - Famiglie consumatrici"/>
    <m/>
    <s v="086 - ITALIA"/>
    <n v="171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27"/>
    <s v="14"/>
    <s v="Operazione per conto di importo elevato per la causale ed il soggetto"/>
    <d v="2025-06-25T00:00:00"/>
    <n v="53850"/>
    <n v="116"/>
    <s v="053850_116"/>
    <s v="Discovery Day"/>
    <s v="Mai valutato"/>
    <m/>
    <s v="202506248613384L"/>
    <n v="1163300004979"/>
    <n v="20250624"/>
    <x v="0"/>
    <m/>
    <m/>
    <s v="D     - Dare"/>
    <n v="3558.69"/>
    <n v="0"/>
    <n v="4221113"/>
    <s v="RBNVLR76L46E882X"/>
    <s v="URBANO VALERIA"/>
    <s v="600 - Famiglie consumatrici"/>
    <m/>
    <s v="086 - ITALIA"/>
    <n v="900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424"/>
    <s v="14"/>
    <s v="Operazione per conto di importo elevato per la causale ed il soggetto"/>
    <d v="2025-06-24T00:00:00"/>
    <n v="53850"/>
    <n v="268"/>
    <s v="053850_268"/>
    <s v="Discovery Day"/>
    <s v="Mai valutato"/>
    <m/>
    <n v="202506238119181"/>
    <n v="2683300002901"/>
    <n v="20250623"/>
    <x v="22"/>
    <m/>
    <m/>
    <s v="A     - Avere"/>
    <n v="180000"/>
    <n v="0"/>
    <n v="1639443"/>
    <s v="STNLBT35A71I350S"/>
    <s v="STINA' ELISABETTA"/>
    <s v="600 - Famiglie consumatrici"/>
    <m/>
    <s v="086 - ITALIA"/>
    <n v="175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23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9"/>
    <n v="2703300010948"/>
    <n v="20250623"/>
    <x v="3"/>
    <m/>
    <s v="086 - ITALIA"/>
    <s v="D     - Dare"/>
    <n v="202500"/>
    <n v="0"/>
    <n v="3742155"/>
    <s v="RVTCLD02H49G141D"/>
    <s v="ROVITO FORQUET FAMIGLIETTI CLAUDIA"/>
    <s v="600 - Famiglie consumatrici"/>
    <m/>
    <s v="086 - ITALIA"/>
    <n v="1875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16"/>
    <s v="14"/>
    <s v="Operazione per conto di importo elevato per la causale ed il soggetto"/>
    <d v="2025-06-24T00:00:00"/>
    <n v="53850"/>
    <n v="102"/>
    <s v="053850_102"/>
    <s v="Discovery Day"/>
    <s v="Mai valutato"/>
    <m/>
    <n v="202506238116309"/>
    <n v="1023304132020"/>
    <n v="20250623"/>
    <x v="3"/>
    <m/>
    <s v="086 - ITALIA"/>
    <s v="D     - Dare"/>
    <n v="603405.71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6"/>
    <s v="IN CARICO AL GESTORE"/>
    <x v="1"/>
    <n v="1"/>
    <m/>
    <m/>
    <n v="0"/>
    <n v="412"/>
    <n v="430"/>
    <n v="43041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15"/>
    <s v="14"/>
    <s v="Operazione per conto di importo elevato per la causale ed il soggetto"/>
    <d v="2025-06-24T00:00:00"/>
    <n v="53850"/>
    <n v="141"/>
    <s v="053850_141"/>
    <s v="Discovery Day"/>
    <s v="Mai valutato"/>
    <m/>
    <n v="202506238117465"/>
    <n v="1413300003985"/>
    <n v="20250623"/>
    <x v="1"/>
    <m/>
    <s v="086 - ITALIA"/>
    <s v="A     - Avere"/>
    <n v="2756426.06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14"/>
    <s v="14"/>
    <s v="Operazione per conto di importo elevato per la causale ed il soggetto"/>
    <d v="2025-06-24T00:00:00"/>
    <n v="53850"/>
    <n v="181"/>
    <s v="053850_181"/>
    <s v="Discovery Day"/>
    <s v="Mai valutato"/>
    <m/>
    <s v="202506238556055L"/>
    <n v="1813301029046"/>
    <n v="20250623"/>
    <x v="0"/>
    <m/>
    <m/>
    <s v="D     - Dare"/>
    <n v="1647.47"/>
    <n v="0"/>
    <n v="4057879"/>
    <s v="DLSNGL68R54D643N"/>
    <s v="D'ALESSANDRO ANGELA"/>
    <s v="600 - Famiglie consumatrici"/>
    <m/>
    <s v="086 - ITALIA"/>
    <n v="1624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412"/>
    <s v="14"/>
    <s v="Operazione per conto di importo elevato per la causale ed il soggetto"/>
    <d v="2025-06-24T00:00:00"/>
    <n v="53850"/>
    <n v="126"/>
    <s v="053850_126"/>
    <s v="Discovery Day"/>
    <s v="Mai valutato"/>
    <m/>
    <s v="202506238544969L"/>
    <n v="1263300002179"/>
    <n v="20250623"/>
    <x v="0"/>
    <m/>
    <m/>
    <s v="D     - Dare"/>
    <n v="1746.48"/>
    <n v="0"/>
    <n v="4555076"/>
    <s v="ZCCCMD49D15B619A"/>
    <s v="ZACCARO COSIMO DAMIANO"/>
    <s v="600 - Famiglie consumatrici"/>
    <m/>
    <s v="086 - ITALIA"/>
    <n v="142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411"/>
    <s v="14"/>
    <s v="Operazione per conto di importo elevato per la causale ed il soggetto"/>
    <d v="2025-06-24T00:00:00"/>
    <n v="53850"/>
    <n v="168"/>
    <s v="053850_168"/>
    <s v="Discovery Day"/>
    <s v="Mai valutato"/>
    <m/>
    <n v="202506238119002"/>
    <n v="1683306276854"/>
    <n v="20250623"/>
    <x v="0"/>
    <m/>
    <m/>
    <s v="D     - Dare"/>
    <n v="21701.17"/>
    <n v="0"/>
    <n v="589733"/>
    <s v="CLMVMR63B53Z133Z"/>
    <s v="COLAMONACO VITA MARIA"/>
    <s v="600 - Famiglie consumatrici"/>
    <m/>
    <s v="086 - ITALIA"/>
    <n v="131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410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9"/>
    <n v="2703300010948"/>
    <n v="20250623"/>
    <x v="3"/>
    <m/>
    <s v="086 - ITALIA"/>
    <s v="D     - Dare"/>
    <n v="202500"/>
    <n v="0"/>
    <n v="1611691"/>
    <s v="FRQLCU62P45F839B"/>
    <s v="FORQUET FAMIGLIETTI LUCIA"/>
    <s v="600 - Famiglie consumatrici"/>
    <m/>
    <s v="086 - ITALIA"/>
    <n v="1803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08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8"/>
    <n v="2703300010948"/>
    <n v="20250623"/>
    <x v="3"/>
    <m/>
    <s v="086 - ITALIA"/>
    <s v="D     - Dare"/>
    <n v="202500"/>
    <n v="0"/>
    <n v="3742155"/>
    <s v="RVTCLD02H49G141D"/>
    <s v="ROVITO FORQUET FAMIGLIETTI CLAUDIA"/>
    <s v="600 - Famiglie consumatrici"/>
    <m/>
    <s v="086 - ITALIA"/>
    <n v="1875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04"/>
    <s v="14"/>
    <s v="Operazione per conto di importo elevato per la causale ed il soggetto"/>
    <d v="2025-06-24T00:00:00"/>
    <n v="53850"/>
    <n v="132"/>
    <s v="053850_132"/>
    <s v="Discovery Day"/>
    <s v="Mai valutato"/>
    <m/>
    <n v="202506238118206"/>
    <n v="1323300001591"/>
    <n v="20250623"/>
    <x v="15"/>
    <m/>
    <m/>
    <s v="D     - Dare"/>
    <n v="160000"/>
    <n v="0"/>
    <n v="4325549"/>
    <s v="TFRFMN75H52A942M"/>
    <s v="TUFARO FILOMENA"/>
    <s v="600 - Famiglie consumatrici"/>
    <m/>
    <s v="086 - ITALIA"/>
    <n v="195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03"/>
    <s v="14"/>
    <s v="Operazione per conto di importo elevato per la causale ed il soggetto"/>
    <d v="2025-06-24T00:00:00"/>
    <n v="53850"/>
    <n v="266"/>
    <s v="053850_266"/>
    <s v="Discovery Day"/>
    <s v="Mai valutato"/>
    <m/>
    <n v="202506238118644"/>
    <n v="2663300000906"/>
    <n v="20250623"/>
    <x v="0"/>
    <m/>
    <m/>
    <s v="D     - Dare"/>
    <n v="9464.8799999999992"/>
    <n v="0"/>
    <n v="1704324"/>
    <s v="BRBGTN40P28B169H"/>
    <s v="BARBIERI GAETANO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01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9"/>
    <n v="2703300010948"/>
    <n v="20250623"/>
    <x v="3"/>
    <m/>
    <s v="086 - ITALIA"/>
    <s v="D     - Dare"/>
    <n v="202500"/>
    <n v="0"/>
    <n v="3742655"/>
    <s v="RVTLSN89D57G141Q"/>
    <s v="ROVITO ALESSANDRA"/>
    <s v="600 - Famiglie consumatrici"/>
    <m/>
    <s v="086 - ITALIA"/>
    <n v="1875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96"/>
    <s v="14"/>
    <s v="Operazione per conto di importo elevato per la causale ed il soggetto"/>
    <d v="2025-06-24T00:00:00"/>
    <n v="53850"/>
    <n v="114"/>
    <s v="053850_114"/>
    <s v="Discovery Day"/>
    <s v="Mai valutato"/>
    <m/>
    <n v="202506238118650"/>
    <n v="1143306282060"/>
    <n v="20250623"/>
    <x v="0"/>
    <m/>
    <m/>
    <s v="D     - Dare"/>
    <n v="7531.77"/>
    <n v="0"/>
    <n v="4917552"/>
    <s v="GHZMRA75C64D643G"/>
    <s v="GHEZZA MARA"/>
    <s v="615 - Altre famiglie produttrici"/>
    <s v="691 - ATTIVITÀ DEGLI STUDI LEGALI"/>
    <s v="086 - ITALIA"/>
    <n v="869"/>
    <m/>
    <m/>
    <m/>
    <m/>
    <m/>
    <m/>
    <m/>
    <n v="0"/>
    <n v="202506"/>
    <s v="ARCHIVIATA DA RPR"/>
    <x v="0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91"/>
    <s v="14"/>
    <s v="Operazione per conto di importo elevato per la causale ed il soggetto"/>
    <d v="2025-06-24T00:00:00"/>
    <n v="53850"/>
    <n v="141"/>
    <s v="053850_141"/>
    <s v="Discovery Day"/>
    <s v="Mai valutato"/>
    <m/>
    <n v="202506238117466"/>
    <n v="1413300003985"/>
    <n v="20250623"/>
    <x v="1"/>
    <m/>
    <s v="086 - ITALIA"/>
    <s v="A     - Avere"/>
    <n v="855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388"/>
    <s v="14"/>
    <s v="Operazione per conto di importo elevato per la causale ed il soggetto"/>
    <d v="2025-06-24T00:00:00"/>
    <n v="53850"/>
    <n v="141"/>
    <s v="053850_141"/>
    <s v="Discovery Day"/>
    <s v="Mai valutato"/>
    <m/>
    <n v="202506238116593"/>
    <n v="1413300003985"/>
    <n v="20250623"/>
    <x v="3"/>
    <m/>
    <s v="086 - ITALIA"/>
    <s v="D     - Dare"/>
    <n v="1395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385"/>
    <s v="14"/>
    <s v="Operazione per conto di importo elevato per la causale ed il soggetto"/>
    <d v="2025-06-24T00:00:00"/>
    <n v="53850"/>
    <n v="126"/>
    <s v="053850_126"/>
    <s v="Discovery Day"/>
    <s v="Mai valutato"/>
    <m/>
    <s v="202506238544969L"/>
    <n v="1263300002179"/>
    <n v="20250623"/>
    <x v="0"/>
    <m/>
    <m/>
    <s v="D     - Dare"/>
    <n v="1746.48"/>
    <n v="0"/>
    <n v="4555074"/>
    <s v="ZCCNZM82H70B619G"/>
    <s v="ZACCARO NUNZIA MICHELA"/>
    <s v="600 - Famiglie consumatrici"/>
    <m/>
    <s v="086 - ITALIA"/>
    <n v="142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83"/>
    <s v="14"/>
    <s v="Operazione per conto di importo elevato per la causale ed il soggetto"/>
    <d v="2025-06-24T00:00:00"/>
    <n v="53850"/>
    <n v="126"/>
    <s v="053850_126"/>
    <s v="Discovery Day"/>
    <s v="Mai valutato"/>
    <m/>
    <s v="202506238544969L"/>
    <n v="1263300002179"/>
    <n v="20250623"/>
    <x v="0"/>
    <m/>
    <m/>
    <s v="D     - Dare"/>
    <n v="1746.48"/>
    <n v="0"/>
    <n v="415885"/>
    <s v="TRRMRS54E69B619M"/>
    <s v="TERRIBILE MARIA ROSARIA"/>
    <s v="600 - Famiglie consumatrici"/>
    <m/>
    <s v="086 - ITALIA"/>
    <n v="142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80"/>
    <s v="14"/>
    <s v="Operazione per conto di importo elevato per la causale ed il soggetto"/>
    <d v="2025-06-24T00:00:00"/>
    <n v="53850"/>
    <n v="266"/>
    <s v="053850_266"/>
    <s v="Discovery Day"/>
    <s v="Mai valutato"/>
    <m/>
    <n v="202506238118644"/>
    <n v="2663300000906"/>
    <n v="20250623"/>
    <x v="0"/>
    <m/>
    <m/>
    <s v="D     - Dare"/>
    <n v="9464.8799999999992"/>
    <n v="0"/>
    <n v="1640587"/>
    <s v="VNTTRS52L43B169K"/>
    <s v="VENTRICE TERESA"/>
    <s v="600 - Famiglie consumatrici"/>
    <m/>
    <s v="086 - ITALIA"/>
    <n v="181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378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8"/>
    <n v="2703300010948"/>
    <n v="20250623"/>
    <x v="3"/>
    <m/>
    <s v="086 - ITALIA"/>
    <s v="D     - Dare"/>
    <n v="202500"/>
    <n v="0"/>
    <n v="1611691"/>
    <s v="FRQLCU62P45F839B"/>
    <s v="FORQUET FAMIGLIETTI LUCIA"/>
    <s v="600 - Famiglie consumatrici"/>
    <m/>
    <s v="086 - ITALIA"/>
    <n v="1803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75"/>
    <s v="14"/>
    <s v="Operazione per conto di importo elevato per la causale ed il soggetto"/>
    <d v="2025-06-24T00:00:00"/>
    <n v="53850"/>
    <n v="102"/>
    <s v="053850_102"/>
    <s v="Discovery Day"/>
    <s v="Mai valutato"/>
    <m/>
    <n v="202506238117549"/>
    <n v="1023308726073"/>
    <n v="20250623"/>
    <x v="1"/>
    <m/>
    <s v="086 - ITALIA"/>
    <s v="A     - Avere"/>
    <n v="1322385.95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374"/>
    <s v="14"/>
    <s v="Operazione per conto di importo elevato per la causale ed il soggetto"/>
    <d v="2025-06-24T00:00:00"/>
    <n v="53850"/>
    <n v="168"/>
    <s v="053850_168"/>
    <s v="Discovery Day"/>
    <s v="Mai valutato"/>
    <m/>
    <n v="202506238119002"/>
    <n v="1683306276854"/>
    <n v="20250623"/>
    <x v="0"/>
    <m/>
    <m/>
    <s v="D     - Dare"/>
    <n v="21701.17"/>
    <n v="0"/>
    <n v="597962"/>
    <s v="FRRGTN39L46I330Z"/>
    <s v="FERORELLI GIUSTINA"/>
    <s v="600 - Famiglie consumatrici"/>
    <m/>
    <s v="086 - ITALIA"/>
    <n v="131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71"/>
    <s v="14"/>
    <s v="Operazione per conto di importo elevato per la causale ed il soggetto"/>
    <d v="2025-06-24T00:00:00"/>
    <n v="53850"/>
    <n v="271"/>
    <s v="053850_271"/>
    <s v="Discovery Day"/>
    <s v="Mai valutato"/>
    <m/>
    <n v="202506238119217"/>
    <n v="2713300002679"/>
    <n v="20250623"/>
    <x v="0"/>
    <m/>
    <m/>
    <s v="D     - Dare"/>
    <n v="16652.68"/>
    <n v="0"/>
    <n v="1680750"/>
    <s v="CSTNLN34H62G141M"/>
    <s v="COSTANZO ANGIOLINA"/>
    <s v="600 - Famiglie consumatrici"/>
    <m/>
    <s v="086 - ITALIA"/>
    <n v="1800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66"/>
    <s v="14"/>
    <s v="Operazione per conto di importo elevato per la causale ed il soggetto"/>
    <d v="2025-06-24T00:00:00"/>
    <n v="53850"/>
    <n v="109"/>
    <s v="053850_109"/>
    <s v="Discovery Day"/>
    <s v="Mai valutato"/>
    <m/>
    <s v="202506238544743L"/>
    <n v="1093306673858"/>
    <n v="20250623"/>
    <x v="0"/>
    <m/>
    <m/>
    <s v="D     - Dare"/>
    <n v="3725.74"/>
    <n v="0"/>
    <n v="470718"/>
    <s v="MNTNTN37C70A669Y"/>
    <s v="MONTENEGRO ANTONIA"/>
    <s v="600 - Famiglie consumatrici"/>
    <m/>
    <s v="086 - ITALIA"/>
    <n v="92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65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8"/>
    <n v="2703300010948"/>
    <n v="20250623"/>
    <x v="3"/>
    <m/>
    <s v="086 - ITALIA"/>
    <s v="D     - Dare"/>
    <n v="202500"/>
    <n v="0"/>
    <n v="3742655"/>
    <s v="RVTLSN89D57G141Q"/>
    <s v="ROVITO ALESSANDRA"/>
    <s v="600 - Famiglie consumatrici"/>
    <m/>
    <s v="086 - ITALIA"/>
    <n v="1875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63"/>
    <s v="14"/>
    <s v="Operazione per conto di importo elevato per la causale ed il soggetto"/>
    <d v="2025-06-24T00:00:00"/>
    <n v="53850"/>
    <n v="109"/>
    <s v="053850_109"/>
    <s v="Discovery Day"/>
    <s v="Mai valutato"/>
    <m/>
    <s v="202506238544743L"/>
    <n v="1093306673858"/>
    <n v="20250623"/>
    <x v="0"/>
    <m/>
    <m/>
    <s v="D     - Dare"/>
    <n v="3725.74"/>
    <n v="0"/>
    <n v="4848147"/>
    <s v="LGLPRZ64H42A662D"/>
    <s v="LAGALANTE PATRIZIA"/>
    <s v="600 - Famiglie consumatrici"/>
    <m/>
    <s v="086 - ITALIA"/>
    <n v="92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50"/>
    <s v="14"/>
    <s v="Operazione per conto di importo elevato per la causale ed il soggetto"/>
    <d v="2025-06-21T00:00:00"/>
    <n v="53850"/>
    <n v="102"/>
    <s v="053850_102"/>
    <s v="Discovery Day"/>
    <s v="Mai valutato"/>
    <m/>
    <n v="202506208088143"/>
    <n v="1023308723775"/>
    <n v="20250620"/>
    <x v="33"/>
    <m/>
    <m/>
    <s v="A     - Avere"/>
    <n v="60562"/>
    <n v="0"/>
    <n v="200822"/>
    <s v="CRSMRA54P59A225Q"/>
    <s v="CRISTALLO MARIA"/>
    <s v="600 - Famiglie consumatrici"/>
    <m/>
    <s v="086 - ITALIA"/>
    <n v="51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49"/>
    <s v="14"/>
    <s v="Operazione per conto di importo elevato per la causale ed il soggetto"/>
    <d v="2025-06-21T00:00:00"/>
    <n v="53850"/>
    <n v="170"/>
    <s v="053850_170"/>
    <s v="Discovery Day"/>
    <s v="Mai valutato"/>
    <m/>
    <s v="202506208496514L"/>
    <n v="1703306290293"/>
    <n v="20250620"/>
    <x v="0"/>
    <m/>
    <m/>
    <s v="D     - Dare"/>
    <n v="2709.98"/>
    <n v="0"/>
    <n v="4101931"/>
    <s v="PCCMRN79L16A285L"/>
    <s v="PICCININNO MARINO"/>
    <s v="600 - Famiglie consumatrici"/>
    <m/>
    <s v="086 - ITALIA"/>
    <n v="1667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46"/>
    <s v="14"/>
    <s v="Operazione per conto di importo elevato per la causale ed il soggetto"/>
    <d v="2025-06-21T00:00:00"/>
    <n v="53850"/>
    <n v="102"/>
    <s v="053850_102"/>
    <s v="Discovery Day"/>
    <s v="Mai valutato"/>
    <m/>
    <n v="202506208088143"/>
    <n v="1023308723775"/>
    <n v="20250620"/>
    <x v="33"/>
    <m/>
    <m/>
    <s v="A     - Avere"/>
    <n v="60562"/>
    <n v="0"/>
    <n v="139602"/>
    <s v="LZZRCC52E11A225R"/>
    <s v="LOIZZO ROCCO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45"/>
    <s v="14"/>
    <s v="Operazione per conto di importo elevato per la causale ed il soggetto"/>
    <d v="2025-06-21T00:00:00"/>
    <n v="53850"/>
    <n v="226"/>
    <s v="053850_226"/>
    <s v="Discovery Day"/>
    <s v="Mai valutato"/>
    <m/>
    <n v="202506208087357"/>
    <n v="2263300011983"/>
    <n v="20250620"/>
    <x v="1"/>
    <m/>
    <s v="086 - ITALIA"/>
    <s v="A     - Avere"/>
    <n v="10000000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39"/>
    <s v="14"/>
    <s v="Operazione per conto di importo elevato per la causale ed il soggetto"/>
    <d v="2025-06-21T00:00:00"/>
    <n v="53850"/>
    <n v="274"/>
    <s v="053850_274"/>
    <s v="Discovery Day"/>
    <s v="Mai valutato"/>
    <m/>
    <n v="202506208089085"/>
    <n v="2743300000482"/>
    <n v="20250620"/>
    <x v="0"/>
    <m/>
    <m/>
    <s v="D     - Dare"/>
    <n v="49856.69"/>
    <n v="0"/>
    <n v="1631226"/>
    <s v="VRNMRA38E52G141H"/>
    <s v="VERNA MARIA"/>
    <s v="600 - Famiglie consumatrici"/>
    <m/>
    <s v="086 - ITALIA"/>
    <n v="1825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38"/>
    <s v="14"/>
    <s v="Operazione per conto di importo elevato per la causale ed il soggetto"/>
    <d v="2025-06-21T00:00:00"/>
    <n v="53850"/>
    <n v="182"/>
    <s v="053850_182"/>
    <s v="Discovery Day"/>
    <s v="Mai valutato"/>
    <m/>
    <s v="202506208502195L"/>
    <n v="1823300180217"/>
    <n v="20250620"/>
    <x v="0"/>
    <m/>
    <m/>
    <s v="D     - Dare"/>
    <n v="3844.51"/>
    <n v="0"/>
    <n v="3183061"/>
    <s v="GLLCSR75D28L049S"/>
    <s v="GALLITELLI CESARE"/>
    <s v="600 - Famiglie consumatrici"/>
    <m/>
    <s v="086 - ITALIA"/>
    <n v="61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35"/>
    <s v="14"/>
    <s v="Operazione per conto di importo elevato per la causale ed il soggetto"/>
    <d v="2025-06-21T00:00:00"/>
    <n v="53850"/>
    <n v="102"/>
    <s v="053850_102"/>
    <s v="Discovery Day"/>
    <s v="Mai valutato"/>
    <m/>
    <n v="202506208087628"/>
    <n v="1023308726073"/>
    <n v="20250620"/>
    <x v="1"/>
    <m/>
    <s v="086 - ITALIA"/>
    <s v="A     - Avere"/>
    <n v="1071607.46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334"/>
    <s v="14"/>
    <s v="Operazione per conto di importo elevato per la causale ed il soggetto"/>
    <d v="2025-06-21T00:00:00"/>
    <n v="53850"/>
    <n v="181"/>
    <s v="053850_181"/>
    <s v="Discovery Day"/>
    <s v="Mai valutato"/>
    <m/>
    <s v="202506208502229L"/>
    <n v="1813301030242"/>
    <n v="20250620"/>
    <x v="0"/>
    <m/>
    <m/>
    <s v="D     - Dare"/>
    <n v="1072.3"/>
    <n v="0"/>
    <n v="4984948"/>
    <s v="TMPRNN89A50L109Q"/>
    <s v="TEMPESTA ROSANNA"/>
    <s v="600 - Famiglie consumatrici"/>
    <m/>
    <s v="086 - ITALIA"/>
    <n v="85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25"/>
    <s v="14"/>
    <s v="Operazione per conto di importo elevato per la causale ed il soggetto"/>
    <d v="2025-06-21T00:00:00"/>
    <n v="53850"/>
    <n v="120"/>
    <s v="053850_120"/>
    <s v="Discovery Day"/>
    <s v="Mai valutato"/>
    <m/>
    <n v="202506208088733"/>
    <n v="1203300001673"/>
    <n v="20250620"/>
    <x v="0"/>
    <m/>
    <m/>
    <s v="D     - Dare"/>
    <n v="21884.77"/>
    <n v="0"/>
    <n v="83568"/>
    <s v="LZZLCU40C41A048A"/>
    <s v="LIUZZI LUCIA"/>
    <s v="600 - Famiglie consumatrici"/>
    <m/>
    <s v="086 - ITALIA"/>
    <n v="1640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23"/>
    <s v="14"/>
    <s v="Operazione per conto di importo elevato per la causale ed il soggetto"/>
    <d v="2025-06-21T00:00:00"/>
    <n v="53850"/>
    <n v="114"/>
    <s v="053850_114"/>
    <s v="Discovery Day"/>
    <s v="Mai valutato"/>
    <m/>
    <n v="202506208088701"/>
    <n v="1143306282252"/>
    <n v="20250620"/>
    <x v="0"/>
    <m/>
    <m/>
    <s v="D     - Dare"/>
    <n v="57963.27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6"/>
    <s v="IN CARICO AL GESTORE"/>
    <x v="1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321"/>
    <s v="14"/>
    <s v="Operazione per conto di importo elevato per la causale ed il soggetto"/>
    <d v="2025-06-21T00:00:00"/>
    <n v="53850"/>
    <n v="116"/>
    <s v="053850_116"/>
    <s v="Discovery Day"/>
    <s v="Mai valutato"/>
    <m/>
    <n v="202506208088711"/>
    <n v="1163307623083"/>
    <n v="20250620"/>
    <x v="0"/>
    <m/>
    <m/>
    <s v="D     - Dare"/>
    <n v="115315.71"/>
    <n v="0"/>
    <n v="466492"/>
    <s v="CZZNGL46S57A662L"/>
    <s v="COZZOLI POLI ANGELA"/>
    <s v="600 - Famiglie consumatrici"/>
    <m/>
    <s v="086 - ITALIA"/>
    <n v="73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316"/>
    <s v="14"/>
    <s v="Operazione per conto di importo elevato per la causale ed il soggetto"/>
    <d v="2025-06-21T00:00:00"/>
    <n v="53850"/>
    <n v="274"/>
    <s v="053850_274"/>
    <s v="Discovery Day"/>
    <s v="Mai valutato"/>
    <m/>
    <n v="202506208089085"/>
    <n v="2743300000482"/>
    <n v="20250620"/>
    <x v="0"/>
    <m/>
    <m/>
    <s v="D     - Dare"/>
    <n v="49856.69"/>
    <n v="0"/>
    <n v="1631225"/>
    <s v="PRRGNN37A04F196Q"/>
    <s v="PERRUCCI GIOVANNI"/>
    <s v="600 - Famiglie consumatrici"/>
    <m/>
    <s v="086 - ITALIA"/>
    <n v="1825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15"/>
    <s v="14"/>
    <s v="Operazione per conto di importo elevato per la causale ed il soggetto"/>
    <d v="2025-06-21T00:00:00"/>
    <n v="53850"/>
    <n v="102"/>
    <s v="053850_102"/>
    <s v="Discovery Day"/>
    <s v="Mai valutato"/>
    <m/>
    <n v="202506208088079"/>
    <n v="1023308725549"/>
    <n v="20250620"/>
    <x v="15"/>
    <m/>
    <m/>
    <s v="D     - Dare"/>
    <n v="528303.46"/>
    <n v="0"/>
    <n v="89612"/>
    <s v="VLPDNT55M17A225K"/>
    <s v="VULPIO DONATO"/>
    <s v="615 - Altre famiglie produttrici"/>
    <s v="711 - ATTIVITÀ DEGLI STUDI DI ARCHITETTURA, INGEGNERIA ED ALTRI STUDI TECNICI"/>
    <s v="086 - ITALIA"/>
    <n v="1306"/>
    <m/>
    <m/>
    <m/>
    <m/>
    <m/>
    <m/>
    <m/>
    <n v="0"/>
    <n v="202506"/>
    <s v="ARCHIVIATA"/>
    <x v="0"/>
    <n v="1"/>
    <m/>
    <m/>
    <n v="0"/>
    <n v="999"/>
    <n v="615"/>
    <n v="615999"/>
    <m/>
    <n v="1"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14"/>
    <s v="14"/>
    <s v="Operazione per conto di importo elevato per la causale ed il soggetto"/>
    <d v="2025-06-21T00:00:00"/>
    <n v="53850"/>
    <n v="170"/>
    <s v="053850_170"/>
    <s v="Discovery Day"/>
    <s v="Mai valutato"/>
    <m/>
    <s v="202506208496514L"/>
    <n v="1703306290293"/>
    <n v="20250620"/>
    <x v="0"/>
    <m/>
    <m/>
    <s v="D     - Dare"/>
    <n v="2709.98"/>
    <n v="0"/>
    <n v="4406751"/>
    <s v="SGRRCR83A68A662J"/>
    <s v="SGARRA RICCARDA DANIELA"/>
    <s v="600 - Famiglie consumatrici"/>
    <m/>
    <s v="086 - ITALIA"/>
    <n v="1667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07"/>
    <s v="14"/>
    <s v="Operazione per conto di importo elevato per la causale ed il soggetto"/>
    <d v="2025-06-20T00:00:00"/>
    <n v="53850"/>
    <n v="102"/>
    <s v="053850_102"/>
    <s v="Discovery Day"/>
    <s v="Mai valutato"/>
    <m/>
    <n v="202506208085363"/>
    <n v="1025507000167"/>
    <n v="20250620"/>
    <x v="19"/>
    <m/>
    <m/>
    <s v="A     - Avere"/>
    <n v="300431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306"/>
    <s v="14"/>
    <s v="Operazione per conto di importo elevato per la causale ed il soggetto"/>
    <d v="2025-06-20T00:00:00"/>
    <n v="53850"/>
    <n v="102"/>
    <s v="053850_102"/>
    <s v="Discovery Day"/>
    <s v="Mai valutato"/>
    <m/>
    <n v="202506208085364"/>
    <n v="1025507000167"/>
    <n v="20250620"/>
    <x v="31"/>
    <m/>
    <m/>
    <s v="A     - Avere"/>
    <n v="300431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303"/>
    <s v="14"/>
    <s v="Operazione per conto di importo elevato per la causale ed il soggetto"/>
    <d v="2025-06-20T00:00:00"/>
    <n v="53850"/>
    <n v="145"/>
    <s v="053850_145"/>
    <s v="Discovery Day"/>
    <s v="Mai valutato"/>
    <m/>
    <s v="202506198457437L"/>
    <n v="1453300001145"/>
    <n v="20250619"/>
    <x v="0"/>
    <m/>
    <m/>
    <s v="D     - Dare"/>
    <n v="3864.15"/>
    <n v="0"/>
    <n v="4019"/>
    <s v="DNGSLV38M62F839O"/>
    <s v="D'ANGELO SILVIA"/>
    <s v="600 - Famiglie consumatrici"/>
    <m/>
    <s v="086 - ITALIA"/>
    <n v="1222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96"/>
    <s v="14"/>
    <s v="Operazione per conto di importo elevato per la causale ed il soggetto"/>
    <d v="2025-06-20T00:00:00"/>
    <n v="53850"/>
    <n v="145"/>
    <s v="053850_145"/>
    <s v="Discovery Day"/>
    <s v="Mai valutato"/>
    <m/>
    <s v="202506198457437L"/>
    <n v="1453300001145"/>
    <n v="20250619"/>
    <x v="0"/>
    <m/>
    <m/>
    <s v="D     - Dare"/>
    <n v="3864.15"/>
    <n v="0"/>
    <n v="5170"/>
    <s v="MRCFNC36L11F839D"/>
    <s v="MERCADANTE FRANCESCO"/>
    <s v="600 - Famiglie consumatrici"/>
    <m/>
    <s v="086 - ITALIA"/>
    <n v="1222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95"/>
    <s v="14"/>
    <s v="Operazione per conto di importo elevato per la causale ed il soggetto"/>
    <d v="2025-06-20T00:00:00"/>
    <n v="53850"/>
    <n v="121"/>
    <s v="053850_121"/>
    <s v="Discovery Day"/>
    <s v="Mai valutato"/>
    <m/>
    <n v="202506198084101"/>
    <n v="1213300002600"/>
    <n v="20250619"/>
    <x v="3"/>
    <m/>
    <s v="086 - ITALIA"/>
    <s v="D     - Dare"/>
    <n v="1069910.22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1"/>
    <n v="1"/>
    <m/>
    <m/>
    <n v="0"/>
    <n v="463"/>
    <n v="430"/>
    <n v="430463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292"/>
    <s v="14"/>
    <s v="Operazione per conto di importo elevato per la causale ed il soggetto"/>
    <d v="2025-06-20T00:00:00"/>
    <n v="53850"/>
    <n v="282"/>
    <s v="053850_282"/>
    <s v="Discovery Day"/>
    <s v="Mai valutato"/>
    <m/>
    <n v="202506198085851"/>
    <n v="2823300002468"/>
    <n v="20250619"/>
    <x v="0"/>
    <m/>
    <m/>
    <s v="D     - Dare"/>
    <n v="30423.34"/>
    <n v="0"/>
    <n v="1627137"/>
    <s v="CVLKTA84D50E435P"/>
    <s v="CAVALIERE KATIA"/>
    <s v="600 - Famiglie consumatrici"/>
    <m/>
    <s v="086 - ITALIA"/>
    <n v="1802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286"/>
    <s v="14"/>
    <s v="Operazione per conto di importo elevato per la causale ed il soggetto"/>
    <d v="2025-06-20T00:00:00"/>
    <n v="53850"/>
    <n v="122"/>
    <s v="053850_122"/>
    <s v="Discovery Day"/>
    <s v="Mai valutato"/>
    <m/>
    <n v="202506198084762"/>
    <n v="1223300001682"/>
    <n v="20250619"/>
    <x v="1"/>
    <m/>
    <s v="086 - ITALIA"/>
    <s v="A     - Avere"/>
    <n v="888195.8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81"/>
    <s v="14"/>
    <s v="Operazione per conto di importo elevato per la causale ed il soggetto"/>
    <d v="2025-06-20T00:00:00"/>
    <n v="53850"/>
    <n v="187"/>
    <s v="053850_187"/>
    <s v="Discovery Day"/>
    <s v="Mai valutato"/>
    <m/>
    <n v="202506198084382"/>
    <n v="1873300106975"/>
    <n v="20250619"/>
    <x v="1"/>
    <m/>
    <s v="086 - ITALIA"/>
    <s v="A     - Avere"/>
    <n v="220000"/>
    <n v="0"/>
    <n v="4487788"/>
    <s v="CTTNDR88H03D643Z"/>
    <s v="CUTTANO ANDREA"/>
    <s v="600 - Famiglie consumatrici"/>
    <m/>
    <s v="086 - ITALIA"/>
    <n v="116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277"/>
    <s v="14"/>
    <s v="Operazione per conto di importo elevato per la causale ed il soggetto"/>
    <d v="2025-06-20T00:00:00"/>
    <n v="53850"/>
    <n v="282"/>
    <s v="053850_282"/>
    <s v="Discovery Day"/>
    <s v="Mai valutato"/>
    <m/>
    <n v="202506198085851"/>
    <n v="2823300002468"/>
    <n v="20250619"/>
    <x v="0"/>
    <m/>
    <m/>
    <s v="D     - Dare"/>
    <n v="30423.34"/>
    <n v="0"/>
    <n v="1681594"/>
    <s v="DLRPQL74T13A485B"/>
    <s v="DI LORETO PASQUALE"/>
    <s v="600 - Famiglie consumatrici"/>
    <m/>
    <s v="086 - ITALIA"/>
    <n v="1802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276"/>
    <s v="14"/>
    <s v="Operazione per conto di importo elevato per la causale ed il soggetto"/>
    <d v="2025-06-20T00:00:00"/>
    <n v="53850"/>
    <n v="174"/>
    <s v="053850_174"/>
    <s v="Discovery Day"/>
    <s v="Mai valutato"/>
    <m/>
    <n v="202506198086111"/>
    <n v="1743302881057"/>
    <n v="20250619"/>
    <x v="0"/>
    <m/>
    <m/>
    <s v="D     - Dare"/>
    <n v="13074.56"/>
    <n v="0"/>
    <n v="610011"/>
    <s v="CMPRNZ67L07F376D"/>
    <s v="CAMPANELLI ORONZO"/>
    <s v="615 - Altre famiglie produttrici"/>
    <s v="477 - COMMERCIO AL DETTAGLIO DI ALTRI PRODOTTI IN ESERCIZI SPECIALIZZATI"/>
    <s v="086 - ITALIA"/>
    <n v="720"/>
    <m/>
    <m/>
    <m/>
    <m/>
    <m/>
    <m/>
    <m/>
    <n v="0"/>
    <n v="202506"/>
    <s v="IN VALUTAZIONE RPR"/>
    <x v="1"/>
    <n v="1"/>
    <m/>
    <m/>
    <n v="1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73"/>
    <s v="14"/>
    <s v="Operazione per conto di importo elevato per la causale ed il soggetto"/>
    <d v="2025-06-20T00:00:00"/>
    <n v="53850"/>
    <n v="102"/>
    <s v="053850_102"/>
    <s v="Discovery Day"/>
    <s v="Mai valutato"/>
    <m/>
    <n v="202506198085865"/>
    <n v="1023308724399"/>
    <n v="20250619"/>
    <x v="22"/>
    <m/>
    <m/>
    <s v="A     - Avere"/>
    <n v="200000"/>
    <n v="0"/>
    <n v="116692"/>
    <s v="GDUSVR49L03A225Y"/>
    <s v="GUIDA SAVERIO"/>
    <s v="600 - Famiglie consumatrici"/>
    <m/>
    <s v="086 - ITALIA"/>
    <n v="1335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271"/>
    <s v="14"/>
    <s v="Operazione per conto di importo elevato per la causale ed il soggetto"/>
    <d v="2025-06-19T00:00:00"/>
    <n v="53850"/>
    <n v="120"/>
    <s v="053850_120"/>
    <s v="Discovery Day"/>
    <s v="Mai valutato"/>
    <m/>
    <n v="202506188082748"/>
    <n v="1203300002958"/>
    <n v="20250618"/>
    <x v="15"/>
    <m/>
    <m/>
    <s v="D     - Dare"/>
    <n v="789550.6"/>
    <n v="0"/>
    <n v="4589937"/>
    <n v="503900771"/>
    <s v="MV EXTRUSION S.P.A."/>
    <s v="430 - Imprese produttive"/>
    <s v="162 - FABBRICAZIONE DI PRODOTTI IN LEGNO, SUGHERO, PAGLIA E MATERIALI DA INTRECCIO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65"/>
    <s v="14"/>
    <s v="Operazione per conto di importo elevato per la causale ed il soggetto"/>
    <d v="2025-06-19T00:00:00"/>
    <n v="53850"/>
    <n v="153"/>
    <s v="053850_153"/>
    <s v="Discovery Day"/>
    <s v="Mai valutato"/>
    <m/>
    <n v="202506188081647"/>
    <n v="1533300663155"/>
    <n v="20250618"/>
    <x v="1"/>
    <m/>
    <s v="086 - ITALIA"/>
    <s v="A     - Avere"/>
    <n v="655478.15"/>
    <n v="0"/>
    <n v="4847459"/>
    <n v="12699191008"/>
    <s v="PE. FIN S.P.A."/>
    <s v="430 - Imprese produttive"/>
    <s v="412 - COSTRUZIONE DI EDIFICI RESIDENZIALI E NON RESIDENZIALI"/>
    <s v="086 - ITALIA"/>
    <n v="1256"/>
    <m/>
    <m/>
    <m/>
    <m/>
    <m/>
    <m/>
    <m/>
    <n v="0"/>
    <n v="202506"/>
    <s v="IN CARICO AL GESTORE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62"/>
    <s v="14"/>
    <s v="Operazione per conto di importo elevato per la causale ed il soggetto"/>
    <d v="2025-06-19T00:00:00"/>
    <n v="53850"/>
    <n v="120"/>
    <s v="053850_120"/>
    <s v="Discovery Day"/>
    <s v="Mai valutato"/>
    <m/>
    <n v="202506188082674"/>
    <n v="1203300004162"/>
    <n v="20250618"/>
    <x v="15"/>
    <m/>
    <m/>
    <s v="D     - Dare"/>
    <n v="828630.56"/>
    <n v="0"/>
    <n v="3740500"/>
    <n v="337000947"/>
    <s v="E.T.A. SPA"/>
    <s v="430 - Imprese produttive"/>
    <s v="244 - PRODUZIONE DI METALLI DI BASE PREZIOSI E ALTRI METALLI NON FERROSI, TRATTAMENTO DEI COMBUSTIBILI NUCLEAR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61"/>
    <s v="14"/>
    <s v="Operazione per conto di importo elevato per la causale ed il soggetto"/>
    <d v="2025-06-19T00:00:00"/>
    <n v="53850"/>
    <n v="109"/>
    <s v="053850_109"/>
    <s v="Discovery Day"/>
    <s v="Mai valutato"/>
    <m/>
    <n v="202506188083380"/>
    <n v="1093304728910"/>
    <n v="20250618"/>
    <x v="9"/>
    <m/>
    <m/>
    <s v="D     - Dare"/>
    <n v="258000"/>
    <n v="0"/>
    <n v="472891"/>
    <s v="LRCGCH48P15A662A"/>
    <s v="LARICCHIUTA GIOACCHINO"/>
    <s v="600 - Famiglie consumatrici"/>
    <m/>
    <s v="086 - ITALIA"/>
    <n v="77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255"/>
    <s v="14"/>
    <s v="Operazione per conto di importo elevato per la causale ed il soggetto"/>
    <d v="2025-06-19T00:00:00"/>
    <n v="53850"/>
    <n v="109"/>
    <s v="053850_109"/>
    <s v="Discovery Day"/>
    <s v="Mai valutato"/>
    <m/>
    <n v="202506188083383"/>
    <n v="1093306673740"/>
    <n v="20250618"/>
    <x v="11"/>
    <m/>
    <m/>
    <s v="D     - Dare"/>
    <n v="806087.88"/>
    <n v="0"/>
    <n v="4536482"/>
    <n v="268480720"/>
    <s v="RENAUTO SOCIETA' PER AZIONI"/>
    <s v="430 - Imprese produttive"/>
    <s v="451 - COMMERCIO DI AUTOVEICOLI"/>
    <s v="086 - ITALIA"/>
    <n v="1919"/>
    <m/>
    <m/>
    <m/>
    <m/>
    <m/>
    <m/>
    <m/>
    <n v="0"/>
    <n v="202506"/>
    <s v="IN VALUTAZIONE RPR"/>
    <x v="1"/>
    <n v="1"/>
    <m/>
    <m/>
    <n v="0"/>
    <n v="451"/>
    <n v="430"/>
    <n v="430451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52"/>
    <s v="14"/>
    <s v="Operazione per conto di importo elevato per la causale ed il soggetto"/>
    <d v="2025-06-19T00:00:00"/>
    <n v="53850"/>
    <n v="161"/>
    <s v="053850_161"/>
    <s v="Discovery Day"/>
    <s v="Mai valutato"/>
    <m/>
    <n v="202506188083491"/>
    <n v="1613300029995"/>
    <n v="20250618"/>
    <x v="0"/>
    <m/>
    <m/>
    <s v="D     - Dare"/>
    <n v="69564.13"/>
    <n v="0"/>
    <n v="513170"/>
    <s v="MRCDNT45M54A225S"/>
    <s v="MERCADANTE DONATA"/>
    <s v="600 - Famiglie consumatrici"/>
    <m/>
    <s v="086 - ITALIA"/>
    <n v="8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49"/>
    <s v="14"/>
    <s v="Operazione per conto di importo elevato per la causale ed il soggetto"/>
    <d v="2025-06-19T00:00:00"/>
    <n v="53850"/>
    <n v="161"/>
    <s v="053850_161"/>
    <s v="Discovery Day"/>
    <s v="Mai valutato"/>
    <m/>
    <n v="202506188083491"/>
    <n v="1613300029995"/>
    <n v="20250618"/>
    <x v="0"/>
    <m/>
    <m/>
    <s v="D     - Dare"/>
    <n v="69564.13"/>
    <n v="0"/>
    <n v="4131274"/>
    <s v="RMNFNC44H30H096D"/>
    <s v="ROMANO FRANCESCO"/>
    <s v="600 - Famiglie consumatrici"/>
    <m/>
    <s v="086 - ITALIA"/>
    <n v="8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38"/>
    <s v="14"/>
    <s v="Operazione per conto di importo elevato per la causale ed il soggetto"/>
    <d v="2025-06-18T00:00:00"/>
    <n v="53850"/>
    <n v="153"/>
    <s v="053850_153"/>
    <s v="Discovery Day"/>
    <s v="Mai valutato"/>
    <m/>
    <s v="202506178352100L"/>
    <n v="1533300661079"/>
    <n v="20250617"/>
    <x v="0"/>
    <m/>
    <m/>
    <s v="D     - Dare"/>
    <n v="3578.04"/>
    <n v="0"/>
    <n v="2012658"/>
    <s v="LMNNNA36C43F506B"/>
    <s v="LIMONE ANNA"/>
    <s v="600 - Famiglie consumatrici"/>
    <m/>
    <s v="086 - ITALIA"/>
    <n v="105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226"/>
    <s v="14"/>
    <s v="Operazione per conto di importo elevato per la causale ed il soggetto"/>
    <d v="2025-06-18T00:00:00"/>
    <n v="53850"/>
    <n v="286"/>
    <s v="053850_286"/>
    <s v="Discovery Day"/>
    <s v="Mai valutato"/>
    <m/>
    <n v="202506178080414"/>
    <n v="2863300010203"/>
    <n v="20250617"/>
    <x v="0"/>
    <m/>
    <m/>
    <s v="D     - Dare"/>
    <n v="99775.63"/>
    <n v="0"/>
    <n v="1655834"/>
    <s v="FDRLNI36L56H501Q"/>
    <s v="FEDERICI LINA"/>
    <s v="600 - Famiglie consumatrici"/>
    <m/>
    <s v="086 - ITALIA"/>
    <n v="1837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17"/>
    <s v="14"/>
    <s v="Operazione per conto di importo elevato per la causale ed il soggetto"/>
    <d v="2025-06-18T00:00:00"/>
    <n v="53850"/>
    <n v="182"/>
    <s v="053850_182"/>
    <s v="Discovery Day"/>
    <s v="Mai valutato"/>
    <m/>
    <n v="202506178078572"/>
    <n v="1823300058518"/>
    <n v="20250617"/>
    <x v="1"/>
    <m/>
    <s v="086 - ITALIA"/>
    <s v="A     - Avere"/>
    <n v="4000000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11"/>
    <s v="14"/>
    <s v="Operazione per conto di importo elevato per la causale ed il soggetto"/>
    <d v="2025-06-18T00:00:00"/>
    <n v="53850"/>
    <n v="145"/>
    <s v="053850_145"/>
    <s v="Discovery Day"/>
    <s v="Mai valutato"/>
    <m/>
    <n v="202506178080127"/>
    <n v="1453300003728"/>
    <n v="20250617"/>
    <x v="0"/>
    <m/>
    <m/>
    <s v="D     - Dare"/>
    <n v="67272.490000000005"/>
    <n v="0"/>
    <n v="4019"/>
    <s v="DNGSLV38M62F839O"/>
    <s v="D'ANGELO SILVIA"/>
    <s v="600 - Famiglie consumatrici"/>
    <m/>
    <s v="086 - ITALIA"/>
    <n v="1222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10"/>
    <s v="14"/>
    <s v="Operazione per conto di importo elevato per la causale ed il soggetto"/>
    <d v="2025-06-18T00:00:00"/>
    <n v="53850"/>
    <n v="105"/>
    <s v="053850_105"/>
    <s v="Discovery Day"/>
    <s v="Mai valutato"/>
    <m/>
    <n v="202506178078195"/>
    <n v="1053306287103"/>
    <n v="20250617"/>
    <x v="1"/>
    <m/>
    <s v="086 - ITALIA"/>
    <s v="A     - Avere"/>
    <n v="2704796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07"/>
    <s v="14"/>
    <s v="Operazione per conto di importo elevato per la causale ed il soggetto"/>
    <d v="2025-06-18T00:00:00"/>
    <n v="53850"/>
    <n v="286"/>
    <s v="053850_286"/>
    <s v="Discovery Day"/>
    <s v="Mai valutato"/>
    <m/>
    <n v="202506178080414"/>
    <n v="2863300010203"/>
    <n v="20250617"/>
    <x v="0"/>
    <m/>
    <m/>
    <s v="D     - Dare"/>
    <n v="99775.63"/>
    <n v="0"/>
    <n v="4995327"/>
    <s v="BDNSDR62P03C632N"/>
    <s v="BIDINELLI SANDRO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05"/>
    <s v="14"/>
    <s v="Operazione per conto di importo elevato per la causale ed il soggetto"/>
    <d v="2025-06-18T00:00:00"/>
    <n v="53850"/>
    <n v="286"/>
    <s v="053850_286"/>
    <s v="Discovery Day"/>
    <s v="Mai valutato"/>
    <m/>
    <n v="202506178080414"/>
    <n v="2863300010203"/>
    <n v="20250617"/>
    <x v="0"/>
    <m/>
    <m/>
    <s v="D     - Dare"/>
    <n v="99775.63"/>
    <n v="0"/>
    <n v="1688503"/>
    <s v="BDNRRT60B08C632W"/>
    <s v="BIDINELLI ROBERTO"/>
    <s v="600 - Famiglie consumatrici"/>
    <m/>
    <s v="086 - ITALIA"/>
    <n v="1798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03"/>
    <s v="14"/>
    <s v="Operazione per conto di importo elevato per la causale ed il soggetto"/>
    <d v="2025-06-18T00:00:00"/>
    <n v="53850"/>
    <n v="273"/>
    <s v="053850_273"/>
    <s v="Discovery Day"/>
    <s v="Mai valutato"/>
    <m/>
    <n v="202506178079863"/>
    <n v="2733300000026"/>
    <n v="20250617"/>
    <x v="6"/>
    <m/>
    <m/>
    <s v="D     - Dare"/>
    <n v="334000"/>
    <n v="0"/>
    <n v="1601535"/>
    <s v="TRVGNN30R22I936T"/>
    <s v="TRIVERI GIOVANNI"/>
    <s v="600 - Famiglie consumatrici"/>
    <m/>
    <s v="086 - ITALIA"/>
    <n v="129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194"/>
    <s v="14"/>
    <s v="Operazione per conto di importo elevato per la causale ed il soggetto"/>
    <d v="2025-06-18T00:00:00"/>
    <n v="53850"/>
    <n v="102"/>
    <s v="053850_102"/>
    <s v="Discovery Day"/>
    <s v="Mai valutato"/>
    <m/>
    <n v="202506168075337"/>
    <n v="1023300113820"/>
    <n v="20250616"/>
    <x v="11"/>
    <m/>
    <m/>
    <s v="D     - Dare"/>
    <n v="1173658.6100000001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191"/>
    <s v="14"/>
    <s v="Operazione per conto di importo elevato per la causale ed il soggetto"/>
    <d v="2025-06-18T00:00:00"/>
    <n v="53850"/>
    <n v="102"/>
    <s v="053850_102"/>
    <s v="Discovery Day"/>
    <s v="Mai valutato"/>
    <m/>
    <n v="202506168073579"/>
    <n v="1023308726073"/>
    <n v="20250616"/>
    <x v="1"/>
    <m/>
    <s v="086 - ITALIA"/>
    <s v="A     - Avere"/>
    <n v="1055576.55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189"/>
    <s v="14"/>
    <s v="Operazione per conto di importo elevato per la causale ed il soggetto"/>
    <d v="2025-06-18T00:00:00"/>
    <n v="53850"/>
    <n v="192"/>
    <s v="053850_192"/>
    <s v="Discovery Day"/>
    <s v="Mai valutato"/>
    <m/>
    <n v="202506168076721"/>
    <n v="1923300180425"/>
    <n v="20250616"/>
    <x v="0"/>
    <m/>
    <m/>
    <s v="D     - Dare"/>
    <n v="43636.14"/>
    <n v="0"/>
    <n v="4374507"/>
    <s v="LNVMHL32E24E986O"/>
    <s v="LANEVE MICHELE"/>
    <s v="615 - Altre famiglie produttrici"/>
    <s v="329 - INDUSTRIE MANIFATTURIERE NCA"/>
    <s v="086 - ITALIA"/>
    <n v="1907"/>
    <m/>
    <m/>
    <m/>
    <m/>
    <m/>
    <m/>
    <m/>
    <n v="0"/>
    <n v="202506"/>
    <s v="IN CARICO AL GESTORE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179"/>
    <s v="14"/>
    <s v="Operazione per conto di importo elevato per la causale ed il soggetto"/>
    <d v="2025-06-18T00:00:00"/>
    <n v="53850"/>
    <n v="182"/>
    <s v="053850_182"/>
    <s v="Discovery Day"/>
    <s v="Mai valutato"/>
    <m/>
    <n v="202506168076694"/>
    <n v="1823300174068"/>
    <n v="20250616"/>
    <x v="22"/>
    <m/>
    <m/>
    <s v="A     - Avere"/>
    <n v="180000"/>
    <n v="0"/>
    <n v="4957173"/>
    <s v="NTTFBA68S11L049B"/>
    <s v="NITTI FABIO"/>
    <s v="773 - Famiglie consumatrici dei paesi UE membri dell'area dell'euro"/>
    <m/>
    <s v="094 - GERMANIA"/>
    <n v="616"/>
    <m/>
    <m/>
    <m/>
    <m/>
    <m/>
    <m/>
    <m/>
    <n v="0"/>
    <n v="202506"/>
    <s v="IN VALUTAZIONE RPR"/>
    <x v="1"/>
    <n v="1"/>
    <m/>
    <m/>
    <n v="0"/>
    <n v="999"/>
    <n v="773"/>
    <n v="773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76"/>
    <s v="14"/>
    <s v="Operazione per conto di importo elevato per la causale ed il soggetto"/>
    <d v="2025-06-18T00:00:00"/>
    <n v="53850"/>
    <n v="192"/>
    <s v="053850_192"/>
    <s v="Discovery Day"/>
    <s v="Mai valutato"/>
    <m/>
    <n v="202506168076721"/>
    <n v="1923300180425"/>
    <n v="20250616"/>
    <x v="0"/>
    <m/>
    <m/>
    <s v="D     - Dare"/>
    <n v="43636.14"/>
    <n v="0"/>
    <n v="4374509"/>
    <s v="MSTNTN45C62E986M"/>
    <s v="MASTROVITO ANTONIA"/>
    <s v="600 - Famiglie consumatrici"/>
    <m/>
    <s v="086 - ITALIA"/>
    <n v="3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175"/>
    <s v="14"/>
    <s v="Operazione per conto di importo elevato per la causale ed il soggetto"/>
    <d v="2025-06-18T00:00:00"/>
    <n v="53850"/>
    <n v="120"/>
    <s v="053850_120"/>
    <s v="Discovery Day"/>
    <s v="Mai valutato"/>
    <m/>
    <n v="202506168074882"/>
    <n v="1203300002852"/>
    <n v="20250616"/>
    <x v="15"/>
    <m/>
    <m/>
    <s v="D     - Dare"/>
    <n v="748118.96"/>
    <n v="0"/>
    <n v="4078085"/>
    <n v="4806600724"/>
    <s v="MV LINE S.P.A."/>
    <s v="430 - Imprese produttive"/>
    <s v="259 - FABBRICAZIONE DI ALTRI PRODOTTI IN METALLO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171"/>
    <s v="14"/>
    <s v="Operazione per conto di importo elevato per la causale ed il soggetto"/>
    <d v="2025-06-18T00:00:00"/>
    <n v="53850"/>
    <n v="170"/>
    <s v="053850_170"/>
    <s v="Discovery Day"/>
    <s v="Mai valutato"/>
    <m/>
    <n v="202506168072803"/>
    <n v="1703306290830"/>
    <n v="20250616"/>
    <x v="8"/>
    <m/>
    <m/>
    <s v="D     - Dare"/>
    <n v="778325.33"/>
    <n v="0"/>
    <n v="4934769"/>
    <n v="2791590728"/>
    <s v="LA PULITA &amp; SERVICE S.C.R.L. COOPERATIVA DI"/>
    <s v="430 - Imprese produttive"/>
    <s v="812 - ATTIVITÀ DI PULIZIA E DISINFESTAZIONE"/>
    <s v="086 - ITALIA"/>
    <n v="1919"/>
    <m/>
    <m/>
    <m/>
    <m/>
    <m/>
    <m/>
    <m/>
    <n v="0"/>
    <n v="202506"/>
    <s v="IN VALUTAZIONE RPR"/>
    <x v="1"/>
    <n v="1"/>
    <m/>
    <m/>
    <n v="0"/>
    <n v="812"/>
    <n v="430"/>
    <n v="4308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70"/>
    <s v="14"/>
    <s v="Operazione per conto di importo elevato per la causale ed il soggetto"/>
    <d v="2025-06-18T00:00:00"/>
    <n v="53850"/>
    <n v="102"/>
    <s v="053850_102"/>
    <s v="Discovery Day"/>
    <s v="Mai valutato"/>
    <m/>
    <n v="202506168073611"/>
    <n v="1023308719190"/>
    <n v="20250616"/>
    <x v="1"/>
    <m/>
    <s v="086 - ITALIA"/>
    <s v="A     - Avere"/>
    <n v="1601412.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6"/>
    <s v="IN VALUTAZIONE RPR"/>
    <x v="1"/>
    <n v="1"/>
    <m/>
    <m/>
    <n v="0"/>
    <n v="999"/>
    <n v="248"/>
    <n v="24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167"/>
    <s v="14"/>
    <s v="Operazione per conto di importo elevato per la causale ed il soggetto"/>
    <d v="2025-06-18T00:00:00"/>
    <n v="53850"/>
    <n v="141"/>
    <s v="053850_141"/>
    <s v="Discovery Day"/>
    <s v="Mai valutato"/>
    <m/>
    <n v="202506168075148"/>
    <n v="1413300003749"/>
    <n v="20250616"/>
    <x v="15"/>
    <m/>
    <m/>
    <s v="D     - Dare"/>
    <n v="862601.61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6"/>
    <s v="ARCHIVIATA"/>
    <x v="0"/>
    <n v="1"/>
    <m/>
    <m/>
    <n v="0"/>
    <n v="620"/>
    <n v="430"/>
    <n v="430620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165"/>
    <s v="14"/>
    <s v="Operazione per conto di importo elevato per la causale ed il soggetto"/>
    <d v="2025-06-18T00:00:00"/>
    <n v="53850"/>
    <n v="273"/>
    <s v="053850_273"/>
    <s v="Discovery Day"/>
    <s v="Mai valutato"/>
    <m/>
    <n v="202506168075284"/>
    <n v="2733300010399"/>
    <n v="20250616"/>
    <x v="15"/>
    <m/>
    <m/>
    <s v="D     - Dare"/>
    <n v="703898.06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6"/>
    <s v="ARCHIVIATA DA RPR"/>
    <x v="0"/>
    <n v="1"/>
    <m/>
    <m/>
    <n v="0"/>
    <n v="412"/>
    <n v="430"/>
    <n v="430412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162"/>
    <s v="14"/>
    <s v="Operazione per conto di importo elevato per la causale ed il soggetto"/>
    <d v="2025-06-18T00:00:00"/>
    <n v="53850"/>
    <n v="182"/>
    <s v="053850_182"/>
    <s v="Discovery Day"/>
    <s v="Mai valutato"/>
    <m/>
    <n v="202506168073882"/>
    <n v="1823300072312"/>
    <n v="20250616"/>
    <x v="1"/>
    <m/>
    <s v="086 - ITALIA"/>
    <s v="A     - Avere"/>
    <n v="1326792.8700000001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155"/>
    <s v="14"/>
    <s v="Operazione per conto di importo elevato per la causale ed il soggetto"/>
    <d v="2025-06-18T00:00:00"/>
    <n v="53850"/>
    <n v="102"/>
    <s v="053850_102"/>
    <s v="Discovery Day"/>
    <s v="Mai valutato"/>
    <m/>
    <n v="202506168075393"/>
    <n v="1023308719190"/>
    <n v="20250616"/>
    <x v="15"/>
    <m/>
    <m/>
    <s v="D     - Dare"/>
    <n v="1639507.11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6"/>
    <s v="IN VALUTAZIONE RPR"/>
    <x v="1"/>
    <n v="1"/>
    <m/>
    <m/>
    <n v="0"/>
    <n v="999"/>
    <n v="248"/>
    <n v="248999"/>
    <m/>
    <n v="1"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982"/>
    <s v="14"/>
    <s v="Operazione per conto di importo elevato per la causale ed il soggetto"/>
    <d v="2025-06-14T00:00:00"/>
    <n v="53850"/>
    <n v="109"/>
    <s v="053850_109"/>
    <s v="Discovery Day"/>
    <s v="Mai valutato"/>
    <m/>
    <n v="202506138067916"/>
    <n v="1093306673740"/>
    <n v="20250613"/>
    <x v="11"/>
    <m/>
    <m/>
    <s v="D     - Dare"/>
    <n v="342784.79"/>
    <n v="0"/>
    <n v="4536482"/>
    <n v="268480720"/>
    <s v="RENAUTO SOCIETA' PER AZIONI"/>
    <s v="430 - Imprese produttive"/>
    <s v="451 - COMMERCIO DI AUTOVEICOLI"/>
    <s v="086 - ITALIA"/>
    <n v="1919"/>
    <m/>
    <m/>
    <m/>
    <m/>
    <m/>
    <m/>
    <m/>
    <n v="0"/>
    <n v="202506"/>
    <s v="IN VALUTAZIONE RPR"/>
    <x v="1"/>
    <n v="1"/>
    <m/>
    <m/>
    <n v="0"/>
    <n v="451"/>
    <n v="430"/>
    <n v="430451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81"/>
    <s v="14"/>
    <s v="Operazione per conto di importo elevato per la causale ed il soggetto"/>
    <d v="2025-06-14T00:00:00"/>
    <n v="53850"/>
    <n v="102"/>
    <s v="053850_102"/>
    <s v="Discovery Day"/>
    <s v="Mai valutato"/>
    <m/>
    <n v="202506138067809"/>
    <n v="1023308725616"/>
    <n v="20250613"/>
    <x v="0"/>
    <m/>
    <m/>
    <s v="D     - Dare"/>
    <n v="77170.3"/>
    <n v="0"/>
    <n v="72722"/>
    <s v="CLMRSO39A68A225J"/>
    <s v="CALEMMA ROSA"/>
    <s v="600 - Famiglie consumatrici"/>
    <m/>
    <s v="086 - ITALIA"/>
    <n v="1335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977"/>
    <s v="14"/>
    <s v="Operazione per conto di importo elevato per la causale ed il soggetto"/>
    <d v="2025-06-14T00:00:00"/>
    <n v="53850"/>
    <n v="149"/>
    <s v="053850_149"/>
    <s v="Discovery Day"/>
    <s v="Mai valutato"/>
    <m/>
    <n v="202506138066117"/>
    <n v="1493300665012"/>
    <n v="20250613"/>
    <x v="1"/>
    <m/>
    <s v="086 - ITALIA"/>
    <s v="A     - Avere"/>
    <n v="1186083.8799999999"/>
    <n v="0"/>
    <n v="3711346"/>
    <n v="9125231218"/>
    <s v="MOLISSO S.R.L."/>
    <s v="430 - Imprese produttive"/>
    <s v="494 - TRASPORTO DI MERCI SU STRADA E SERVIZI DI TRASLOCO"/>
    <s v="086 - ITALIA"/>
    <n v="1910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976"/>
    <s v="14"/>
    <s v="Operazione per conto di importo elevato per la causale ed il soggetto"/>
    <d v="2025-06-14T00:00:00"/>
    <n v="53850"/>
    <n v="102"/>
    <s v="053850_102"/>
    <s v="Discovery Day"/>
    <s v="Mai valutato"/>
    <m/>
    <n v="202506138067807"/>
    <n v="1023308723080"/>
    <n v="20250613"/>
    <x v="0"/>
    <m/>
    <m/>
    <s v="D     - Dare"/>
    <n v="7502.77"/>
    <n v="0"/>
    <n v="4856954"/>
    <s v="PCRMNL92L71A225G"/>
    <s v="PICERNO MANUELA"/>
    <s v="600 - Famiglie consumatrici"/>
    <m/>
    <s v="086 - ITALIA"/>
    <n v="63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975"/>
    <s v="14"/>
    <s v="Operazione per conto di importo elevato per la causale ed il soggetto"/>
    <d v="2025-06-14T00:00:00"/>
    <n v="53850"/>
    <n v="102"/>
    <s v="053850_102"/>
    <s v="Discovery Day"/>
    <s v="Mai valutato"/>
    <m/>
    <n v="202506138066969"/>
    <n v="1023308719287"/>
    <n v="20250613"/>
    <x v="1"/>
    <m/>
    <s v="086 - ITALIA"/>
    <s v="A     - Avere"/>
    <n v="1000000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6"/>
    <s v="IN VALUTAZIONE RPR"/>
    <x v="1"/>
    <n v="1"/>
    <m/>
    <m/>
    <n v="0"/>
    <n v="462"/>
    <n v="430"/>
    <n v="43046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971"/>
    <s v="14"/>
    <s v="Operazione per conto di importo elevato per la causale ed il soggetto"/>
    <d v="2025-06-14T00:00:00"/>
    <n v="53850"/>
    <n v="102"/>
    <s v="053850_102"/>
    <s v="Discovery Day"/>
    <s v="Mai valutato"/>
    <m/>
    <n v="202506138067362"/>
    <n v="1023300722320"/>
    <n v="20250613"/>
    <x v="6"/>
    <m/>
    <m/>
    <s v="D     - Dare"/>
    <n v="220000"/>
    <n v="0"/>
    <n v="72232"/>
    <s v="TRCMRA43M58A225A"/>
    <s v="TRICARICO MARIA"/>
    <s v="600 - Famiglie consumatrici"/>
    <m/>
    <s v="086 - ITALIA"/>
    <n v="133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66"/>
    <s v="14"/>
    <s v="Operazione per conto di importo elevato per la causale ed il soggetto"/>
    <d v="2025-06-14T00:00:00"/>
    <n v="53850"/>
    <n v="170"/>
    <s v="053850_170"/>
    <s v="Discovery Day"/>
    <s v="Mai valutato"/>
    <m/>
    <n v="202506138067021"/>
    <n v="1703306289070"/>
    <n v="20250613"/>
    <x v="1"/>
    <m/>
    <s v="086 - ITALIA"/>
    <s v="A     - Avere"/>
    <n v="246593.07"/>
    <n v="0"/>
    <n v="4423910"/>
    <s v="FGLRCR69H28A285U"/>
    <s v="FIGLIOLIA RICCARDO"/>
    <s v="600 - Famiglie consumatrici"/>
    <m/>
    <s v="086 - ITALIA"/>
    <n v="1476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964"/>
    <s v="14"/>
    <s v="Operazione per conto di importo elevato per la causale ed il soggetto"/>
    <d v="2025-06-14T00:00:00"/>
    <n v="53850"/>
    <n v="141"/>
    <s v="053850_141"/>
    <s v="Discovery Day"/>
    <s v="Mai valutato"/>
    <m/>
    <n v="202506138065787"/>
    <n v="1413300003855"/>
    <n v="20250613"/>
    <x v="3"/>
    <m/>
    <s v="086 - ITALIA"/>
    <s v="D     - Dare"/>
    <n v="1500000"/>
    <n v="0"/>
    <n v="4968719"/>
    <n v="5154150758"/>
    <s v="DFX S.R.L."/>
    <s v="430 - Imprese produttive"/>
    <s v="244 - PRODUZIONE DI METALLI DI BASE PREZIOSI E ALTRI METALLI NON FERROSI, TRATTAMENTO DEI COMBUSTIBILI NUCLEARI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960"/>
    <s v="14"/>
    <s v="Operazione per conto di importo elevato per la causale ed il soggetto"/>
    <d v="2025-06-14T00:00:00"/>
    <n v="53850"/>
    <n v="273"/>
    <s v="053850_273"/>
    <s v="Discovery Day"/>
    <s v="Mai valutato"/>
    <m/>
    <n v="202506138068322"/>
    <n v="2733300002819"/>
    <n v="20250613"/>
    <x v="0"/>
    <m/>
    <m/>
    <s v="D     - Dare"/>
    <n v="11675.26"/>
    <n v="0"/>
    <n v="1681969"/>
    <s v="BZZRMR44C53F839W"/>
    <s v="BOZZELLI ROSAMARIA"/>
    <s v="600 - Famiglie consumatrici"/>
    <m/>
    <s v="086 - ITALIA"/>
    <n v="1752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53"/>
    <s v="14"/>
    <s v="Operazione per conto di importo elevato per la causale ed il soggetto"/>
    <d v="2025-06-14T00:00:00"/>
    <n v="53850"/>
    <n v="170"/>
    <s v="053850_170"/>
    <s v="Discovery Day"/>
    <s v="Mai valutato"/>
    <m/>
    <n v="202506138066990"/>
    <n v="1703306289070"/>
    <n v="20250613"/>
    <x v="1"/>
    <m/>
    <s v="086 - ITALIA"/>
    <s v="A     - Avere"/>
    <n v="246375.52"/>
    <n v="0"/>
    <n v="4423910"/>
    <s v="FGLRCR69H28A285U"/>
    <s v="FIGLIOLIA RICCARDO"/>
    <s v="600 - Famiglie consumatrici"/>
    <m/>
    <s v="086 - ITALIA"/>
    <n v="1476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950"/>
    <s v="14"/>
    <s v="Operazione per conto di importo elevato per la causale ed il soggetto"/>
    <d v="2025-06-13T00:00:00"/>
    <n v="53850"/>
    <n v="175"/>
    <s v="053850_175"/>
    <s v="Discovery Day"/>
    <s v="Mai valutato"/>
    <m/>
    <n v="202506128065123"/>
    <n v="1753302205244"/>
    <n v="20250612"/>
    <x v="15"/>
    <m/>
    <m/>
    <s v="D     - Dare"/>
    <n v="165984.04"/>
    <n v="0"/>
    <n v="4284103"/>
    <s v="CSNRNI78C71F052L"/>
    <s v="COSENTINO IRENE"/>
    <s v="600 - Famiglie consumatrici"/>
    <m/>
    <s v="086 - ITALIA"/>
    <n v="109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46"/>
    <s v="14"/>
    <s v="Operazione per conto di importo elevato per la causale ed il soggetto"/>
    <d v="2025-06-13T00:00:00"/>
    <n v="53850"/>
    <n v="125"/>
    <s v="053850_125"/>
    <s v="Discovery Day"/>
    <s v="Mai valutato"/>
    <m/>
    <n v="202506128062688"/>
    <n v="1253300010173"/>
    <n v="20250612"/>
    <x v="3"/>
    <m/>
    <s v="086 - ITALIA"/>
    <s v="D     - Dare"/>
    <n v="820180.79"/>
    <n v="0"/>
    <n v="4209453"/>
    <n v="448310615"/>
    <s v="SO.FARMA.MORRA S.P.A.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941"/>
    <s v="14"/>
    <s v="Operazione per conto di importo elevato per la causale ed il soggetto"/>
    <d v="2025-06-13T00:00:00"/>
    <n v="53850"/>
    <n v="226"/>
    <s v="053850_226"/>
    <s v="Discovery Day"/>
    <s v="Mai valutato"/>
    <m/>
    <n v="202506128062973"/>
    <n v="2263300011983"/>
    <n v="20250612"/>
    <x v="1"/>
    <m/>
    <s v="086 - ITALIA"/>
    <s v="A     - Avere"/>
    <n v="14500000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938"/>
    <s v="14"/>
    <s v="Operazione per conto di importo elevato per la causale ed il soggetto"/>
    <d v="2025-06-13T00:00:00"/>
    <n v="53850"/>
    <n v="226"/>
    <s v="053850_226"/>
    <s v="Discovery Day"/>
    <s v="Mai valutato"/>
    <m/>
    <n v="202506128062193"/>
    <n v="2263300011983"/>
    <n v="20250612"/>
    <x v="3"/>
    <m/>
    <s v="086 - ITALIA"/>
    <s v="D     - Dare"/>
    <n v="2111394.35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937"/>
    <s v="14"/>
    <s v="Operazione per conto di importo elevato per la causale ed il soggetto"/>
    <d v="2025-06-13T00:00:00"/>
    <n v="53850"/>
    <n v="125"/>
    <s v="053850_125"/>
    <s v="Discovery Day"/>
    <s v="Mai valutato"/>
    <m/>
    <n v="202506128062689"/>
    <n v="1253300010173"/>
    <n v="20250612"/>
    <x v="3"/>
    <m/>
    <s v="086 - ITALIA"/>
    <s v="D     - Dare"/>
    <n v="541148.47"/>
    <n v="0"/>
    <n v="4209453"/>
    <n v="448310615"/>
    <s v="SO.FARMA.MORRA S.P.A.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30"/>
    <s v="14"/>
    <s v="Operazione per conto di importo elevato per la causale ed il soggetto"/>
    <d v="2025-06-13T00:00:00"/>
    <n v="53850"/>
    <n v="121"/>
    <s v="053850_121"/>
    <s v="Discovery Day"/>
    <s v="Mai valutato"/>
    <m/>
    <n v="202506128063030"/>
    <n v="1213300003612"/>
    <n v="20250612"/>
    <x v="1"/>
    <m/>
    <s v="086 - ITALIA"/>
    <s v="A     - Avere"/>
    <n v="115366.42"/>
    <n v="0"/>
    <n v="3745029"/>
    <s v="CRSCML62C41F839J"/>
    <s v="CRISCUOLO CARMELA"/>
    <s v="615 - Altre famiglie produttrici"/>
    <s v="477 - COMMERCIO AL DETTAGLIO DI ALTRI PRODOTTI IN ESERCIZI SPECIALIZZATI"/>
    <s v="086 - ITALIA"/>
    <n v="928"/>
    <m/>
    <m/>
    <m/>
    <m/>
    <m/>
    <m/>
    <m/>
    <n v="0"/>
    <n v="202506"/>
    <s v="IN VALUTAZIONE RPR"/>
    <x v="1"/>
    <n v="1"/>
    <m/>
    <m/>
    <n v="0"/>
    <n v="477"/>
    <n v="615"/>
    <n v="615477"/>
    <s v="Classe di rischio 6"/>
    <m/>
    <x v="6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921"/>
    <s v="14"/>
    <s v="Operazione per conto di importo elevato per la causale ed il soggetto"/>
    <d v="2025-06-12T00:00:00"/>
    <n v="53850"/>
    <n v="102"/>
    <s v="053850_102"/>
    <s v="Discovery Day"/>
    <s v="Mai valutato"/>
    <m/>
    <n v="202506118059615"/>
    <n v="1503300003188"/>
    <n v="20250611"/>
    <x v="3"/>
    <m/>
    <s v="086 - ITALIA"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919"/>
    <s v="14"/>
    <s v="Operazione per conto di importo elevato per la causale ed il soggetto"/>
    <d v="2025-06-12T00:00:00"/>
    <n v="53850"/>
    <n v="149"/>
    <s v="053850_149"/>
    <s v="Discovery Day"/>
    <s v="Mai valutato"/>
    <m/>
    <n v="202506118061013"/>
    <n v="1490050026458"/>
    <n v="20250611"/>
    <x v="27"/>
    <m/>
    <m/>
    <s v="A     - Ave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19879.73199999999"/>
    <n v="239759.46400000001"/>
    <n v="259639.196"/>
    <n v="279518.92800000001"/>
    <n v="299398.65999999997"/>
    <n v="319278.39199999999"/>
    <n v="339158.12400000001"/>
    <n v="359037.85600000003"/>
    <n v="378917.58799999999"/>
    <n v="398797.32"/>
    <n v="398797.32"/>
    <n v="398797.32"/>
    <n v="398797.32"/>
    <n v="398797.32"/>
    <n v="398797.32"/>
    <n v="398797.32"/>
    <n v="398797.32"/>
    <n v="398797.32"/>
    <n v="398797.32"/>
    <n v="398797.3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16"/>
    <s v="14"/>
    <s v="Operazione per conto di importo elevato per la causale ed il soggetto"/>
    <d v="2025-06-12T00:00:00"/>
    <n v="53850"/>
    <n v="182"/>
    <s v="053850_182"/>
    <s v="Discovery Day"/>
    <s v="Mai valutato"/>
    <m/>
    <n v="202506118061965"/>
    <n v="1823300170963"/>
    <n v="20250611"/>
    <x v="22"/>
    <m/>
    <m/>
    <s v="A     - Avere"/>
    <n v="210000"/>
    <n v="0"/>
    <n v="3001452"/>
    <s v="QRULND54E46L049Z"/>
    <s v="QUERO LINDA"/>
    <s v="600 - Famiglie consumatrici"/>
    <m/>
    <s v="086 - ITALIA"/>
    <n v="61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913"/>
    <s v="14"/>
    <s v="Operazione per conto di importo elevato per la causale ed il soggetto"/>
    <d v="2025-06-12T00:00:00"/>
    <n v="53850"/>
    <n v="200"/>
    <s v="053850_200"/>
    <s v="Discovery Day"/>
    <s v="Mai valutato"/>
    <m/>
    <n v="202506118062007"/>
    <n v="2003300003846"/>
    <n v="20250611"/>
    <x v="9"/>
    <m/>
    <m/>
    <s v="D     - Dare"/>
    <n v="295000"/>
    <n v="0"/>
    <n v="3742853"/>
    <s v="FNCTNA71L63Z614Z"/>
    <s v="FINOCCHIO TANIA"/>
    <s v="600 - Famiglie consumatrici"/>
    <m/>
    <s v="086 - ITALIA"/>
    <n v="1837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10"/>
    <s v="14"/>
    <s v="Operazione per conto di importo elevato per la causale ed il soggetto"/>
    <d v="2025-06-12T00:00:00"/>
    <n v="53850"/>
    <n v="105"/>
    <s v="053850_105"/>
    <s v="Discovery Day"/>
    <s v="Mai valutato"/>
    <m/>
    <n v="202506118060359"/>
    <n v="1053300516650"/>
    <n v="20250611"/>
    <x v="1"/>
    <m/>
    <s v="086 - ITALIA"/>
    <s v="A     - Avere"/>
    <n v="225092.72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909"/>
    <s v="14"/>
    <s v="Operazione per conto di importo elevato per la causale ed il soggetto"/>
    <d v="2025-06-12T00:00:00"/>
    <n v="53850"/>
    <n v="200"/>
    <s v="053850_200"/>
    <s v="Discovery Day"/>
    <s v="Mai valutato"/>
    <m/>
    <n v="202506118062007"/>
    <n v="2003300003846"/>
    <n v="20250611"/>
    <x v="9"/>
    <m/>
    <m/>
    <s v="D     - Dare"/>
    <n v="295000"/>
    <n v="0"/>
    <n v="3742834"/>
    <s v="MRNFBN76S13E058P"/>
    <s v="MARINI FABIANO"/>
    <s v="600 - Famiglie consumatrici"/>
    <m/>
    <s v="086 - ITALIA"/>
    <n v="1837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05"/>
    <s v="14"/>
    <s v="Operazione per conto di importo elevato per la causale ed il soggetto"/>
    <d v="2025-06-12T00:00:00"/>
    <n v="53850"/>
    <n v="182"/>
    <s v="053850_182"/>
    <s v="Discovery Day"/>
    <s v="Mai valutato"/>
    <m/>
    <n v="202506118061965"/>
    <n v="1823300170963"/>
    <n v="20250611"/>
    <x v="22"/>
    <m/>
    <m/>
    <s v="A     - Avere"/>
    <n v="210000"/>
    <n v="0"/>
    <n v="3066145"/>
    <s v="LNCGPP50B01L294P"/>
    <s v="LONOCE GIUSEPPE"/>
    <s v="600 - Famiglie consumatrici"/>
    <m/>
    <s v="086 - ITALIA"/>
    <n v="61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902"/>
    <s v="14"/>
    <s v="Operazione per conto di importo elevato per la causale ed il soggetto"/>
    <d v="2025-06-12T00:00:00"/>
    <n v="53850"/>
    <n v="173"/>
    <s v="053850_173"/>
    <s v="Discovery Day"/>
    <s v="Mai valutato"/>
    <m/>
    <n v="202506118061920"/>
    <n v="1733302704363"/>
    <n v="20250611"/>
    <x v="0"/>
    <m/>
    <m/>
    <s v="D     - Dare"/>
    <n v="70990.02"/>
    <n v="0"/>
    <n v="4418266"/>
    <s v="VRNNCL42P19L425R"/>
    <s v="VERONICO NICOLA"/>
    <s v="600 - Famiglie consumatrici"/>
    <m/>
    <s v="086 - ITALIA"/>
    <n v="117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900"/>
    <s v="14"/>
    <s v="Operazione per conto di importo elevato per la causale ed il soggetto"/>
    <d v="2025-06-12T00:00:00"/>
    <n v="53850"/>
    <n v="102"/>
    <s v="053850_102"/>
    <s v="Discovery Day"/>
    <s v="Mai valutato"/>
    <m/>
    <n v="202506118061275"/>
    <n v="1503300003188"/>
    <n v="20250611"/>
    <x v="5"/>
    <m/>
    <m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m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98"/>
    <s v="14"/>
    <s v="Operazione per conto di importo elevato per la causale ed il soggetto"/>
    <d v="2025-06-12T00:00:00"/>
    <n v="53850"/>
    <n v="102"/>
    <s v="053850_102"/>
    <s v="Discovery Day"/>
    <s v="Mai valutato"/>
    <m/>
    <n v="202506118058928"/>
    <n v="1023302279020"/>
    <n v="20250611"/>
    <x v="8"/>
    <m/>
    <m/>
    <s v="D     - Dare"/>
    <n v="469991.14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6"/>
    <s v="IN VALUTAZIONE RPR"/>
    <x v="1"/>
    <n v="1"/>
    <m/>
    <m/>
    <n v="0"/>
    <n v="493"/>
    <n v="430"/>
    <n v="430493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95"/>
    <s v="14"/>
    <s v="Operazione per conto di importo elevato per la causale ed il soggetto"/>
    <d v="2025-06-12T00:00:00"/>
    <n v="53850"/>
    <n v="171"/>
    <s v="053850_171"/>
    <s v="Discovery Day"/>
    <s v="Mai valutato"/>
    <m/>
    <n v="202506118061914"/>
    <n v="1713302219286"/>
    <n v="20250611"/>
    <x v="3"/>
    <m/>
    <s v="086 - ITALIA"/>
    <s v="D     - Dare"/>
    <n v="257000"/>
    <n v="0"/>
    <n v="4928601"/>
    <s v="MDGCMN86M64A662X"/>
    <s v="MODUGNO CARMEN"/>
    <s v="600 - Famiglie consumatrici"/>
    <m/>
    <s v="086 - ITALIA"/>
    <n v="856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891"/>
    <s v="14"/>
    <s v="Operazione per conto di importo elevato per la causale ed il soggetto"/>
    <d v="2025-06-12T00:00:00"/>
    <n v="53850"/>
    <n v="286"/>
    <s v="053850_286"/>
    <s v="Discovery Day"/>
    <s v="Mai valutato"/>
    <m/>
    <n v="202506118059843"/>
    <n v="2863300003269"/>
    <n v="20250611"/>
    <x v="1"/>
    <m/>
    <s v="086 - ITALIA"/>
    <s v="A     - Avere"/>
    <n v="1093229.97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90"/>
    <s v="14"/>
    <s v="Operazione per conto di importo elevato per la causale ed il soggetto"/>
    <d v="2025-06-12T00:00:00"/>
    <n v="53850"/>
    <n v="102"/>
    <s v="053850_102"/>
    <s v="Discovery Day"/>
    <s v="Mai valutato"/>
    <m/>
    <n v="202506118060223"/>
    <n v="1023302279020"/>
    <n v="20250611"/>
    <x v="30"/>
    <m/>
    <s v="094 - GERMANIA"/>
    <s v="A     - Avere"/>
    <n v="700000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6"/>
    <s v="IN VALUTAZIONE RPR"/>
    <x v="1"/>
    <n v="1"/>
    <m/>
    <m/>
    <n v="0"/>
    <n v="493"/>
    <n v="430"/>
    <n v="430493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88"/>
    <s v="14"/>
    <s v="Operazione per conto di importo elevato per la causale ed il soggetto"/>
    <d v="2025-06-12T00:00:00"/>
    <n v="53850"/>
    <n v="149"/>
    <s v="053850_149"/>
    <s v="Discovery Day"/>
    <s v="Mai valutato"/>
    <m/>
    <n v="202506118061012"/>
    <n v="1490060046823"/>
    <n v="20250611"/>
    <x v="32"/>
    <m/>
    <m/>
    <s v="D     - Da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5"/>
    <s v="14"/>
    <s v="Operazione per conto di importo elevato per la causale ed il soggetto"/>
    <d v="2025-06-12T00:00:00"/>
    <n v="53850"/>
    <n v="102"/>
    <s v="053850_102"/>
    <s v="Discovery Day"/>
    <s v="Mai valutato"/>
    <m/>
    <n v="202506118061628"/>
    <n v="1603300002981"/>
    <n v="20250611"/>
    <x v="15"/>
    <m/>
    <m/>
    <s v="D     - Dare"/>
    <n v="75195700.159999996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6"/>
    <s v="IN VALUTAZIONE RPR"/>
    <x v="1"/>
    <n v="1"/>
    <m/>
    <m/>
    <n v="0"/>
    <n v="999"/>
    <n v="475"/>
    <n v="475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4"/>
    <s v="14"/>
    <s v="Operazione per conto di importo elevato per la causale ed il soggetto"/>
    <d v="2025-06-12T00:00:00"/>
    <n v="53850"/>
    <n v="136"/>
    <s v="053850_136"/>
    <s v="Discovery Day"/>
    <s v="Mai valutato"/>
    <m/>
    <n v="202506118060772"/>
    <n v="1361147800126"/>
    <n v="20250611"/>
    <x v="30"/>
    <m/>
    <s v="238 - ABU DHABI"/>
    <s v="D     - Dare"/>
    <n v="1149602.8999999999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1"/>
    <s v="14"/>
    <s v="Operazione per conto di importo elevato per la causale ed il soggetto"/>
    <d v="2025-06-12T00:00:00"/>
    <n v="53850"/>
    <n v="118"/>
    <s v="053850_118"/>
    <s v="Discovery Day"/>
    <s v="Mai valutato"/>
    <m/>
    <s v="202506118125074L"/>
    <n v="1183306278085"/>
    <n v="20250611"/>
    <x v="0"/>
    <m/>
    <m/>
    <s v="D     - Dare"/>
    <n v="1787.56"/>
    <n v="0"/>
    <n v="196672"/>
    <s v="CRLCRN38P48A225G"/>
    <s v="CARLUCCI CATERINA MARI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879"/>
    <s v="14"/>
    <s v="Operazione per conto di importo elevato per la causale ed il soggetto"/>
    <d v="2025-06-11T00:00:00"/>
    <n v="53850"/>
    <n v="103"/>
    <s v="053850_103"/>
    <s v="Discovery Day"/>
    <s v="Mai valutato"/>
    <m/>
    <n v="202506108056981"/>
    <n v="1033306974262"/>
    <n v="20250610"/>
    <x v="1"/>
    <m/>
    <s v="086 - ITALIA"/>
    <s v="A     - Avere"/>
    <n v="800000"/>
    <n v="0"/>
    <n v="4679373"/>
    <n v="3294040724"/>
    <s v="CEREAL - FER SEMENTI DI PANTONE DOMENICO&amp; C. S.N.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6"/>
    <s v="IN VALUTAZIONE RPR"/>
    <x v="1"/>
    <n v="1"/>
    <m/>
    <m/>
    <n v="0"/>
    <n v="999"/>
    <n v="492"/>
    <n v="492999"/>
    <m/>
    <n v="1"/>
    <x v="5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78"/>
    <s v="14"/>
    <s v="Operazione per conto di importo elevato per la causale ed il soggetto"/>
    <d v="2025-06-11T00:00:00"/>
    <n v="53850"/>
    <n v="279"/>
    <s v="053850_279"/>
    <s v="Discovery Day"/>
    <s v="Mai valutato"/>
    <m/>
    <s v="202506108062576L"/>
    <n v="2793300010143"/>
    <n v="20250610"/>
    <x v="0"/>
    <m/>
    <m/>
    <s v="D     - Dare"/>
    <n v="1256.45"/>
    <n v="0"/>
    <n v="4995791"/>
    <n v="17098181005"/>
    <s v="NAZIONALE 82 SOCIETA' A RESPONSABILITA' LIMITATA"/>
    <s v="430 - Imprese produttive"/>
    <s v="551 - ALBERGHI E STRUTTURE SIMILI"/>
    <s v="086 - ITALIA"/>
    <n v="1786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77"/>
    <s v="14"/>
    <s v="Operazione per conto di importo elevato per la causale ed il soggetto"/>
    <d v="2025-06-11T00:00:00"/>
    <n v="53850"/>
    <n v="102"/>
    <s v="053850_102"/>
    <s v="Discovery Day"/>
    <s v="Mai valutato"/>
    <m/>
    <n v="202506108057024"/>
    <n v="1603300002981"/>
    <n v="20250610"/>
    <x v="1"/>
    <m/>
    <s v="086 - ITALIA"/>
    <s v="A     - Avere"/>
    <n v="75195700.159999996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6"/>
    <s v="IN VALUTAZIONE RPR"/>
    <x v="1"/>
    <n v="1"/>
    <m/>
    <m/>
    <n v="0"/>
    <n v="999"/>
    <n v="475"/>
    <n v="475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72"/>
    <s v="14"/>
    <s v="Operazione per conto di importo elevato per la causale ed il soggetto"/>
    <d v="2025-06-11T00:00:00"/>
    <n v="53850"/>
    <n v="105"/>
    <s v="053850_105"/>
    <s v="Discovery Day"/>
    <s v="Mai valutato"/>
    <m/>
    <n v="202506108058130"/>
    <n v="1053300336450"/>
    <n v="20250610"/>
    <x v="22"/>
    <m/>
    <m/>
    <s v="A     - Avere"/>
    <n v="158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71"/>
    <s v="14"/>
    <s v="Operazione per conto di importo elevato per la causale ed il soggetto"/>
    <d v="2025-06-11T00:00:00"/>
    <n v="53850"/>
    <n v="149"/>
    <s v="053850_149"/>
    <s v="Discovery Day"/>
    <s v="Mai valutato"/>
    <m/>
    <s v="202506108063495L"/>
    <n v="1493300664043"/>
    <n v="20250610"/>
    <x v="0"/>
    <m/>
    <m/>
    <s v="D     - Dare"/>
    <n v="3216.9"/>
    <n v="0"/>
    <n v="2012794"/>
    <s v="SNTCLG51T41F205C"/>
    <s v="SANTANDREA CARLA GRAZIELLA"/>
    <s v="600 - Famiglie consumatrici"/>
    <m/>
    <s v="086 - ITALIA"/>
    <n v="104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66"/>
    <s v="14"/>
    <s v="Operazione per conto di importo elevato per la causale ed il soggetto"/>
    <d v="2025-06-11T00:00:00"/>
    <n v="53850"/>
    <n v="195"/>
    <s v="053850_195"/>
    <s v="Discovery Day"/>
    <s v="Mai valutato"/>
    <m/>
    <n v="202506108058045"/>
    <n v="1953300019387"/>
    <n v="20250610"/>
    <x v="0"/>
    <m/>
    <m/>
    <s v="D     - Dare"/>
    <n v="9833.6"/>
    <n v="0"/>
    <n v="3006477"/>
    <s v="MPPGFR64S11G252V"/>
    <s v="MAPPA GIANFRANCO"/>
    <s v="600 - Famiglie consumatrici"/>
    <m/>
    <s v="086 - ITALIA"/>
    <n v="14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63"/>
    <s v="14"/>
    <s v="Operazione per conto di importo elevato per la causale ed il soggetto"/>
    <d v="2025-06-11T00:00:00"/>
    <n v="53850"/>
    <n v="116"/>
    <s v="053850_116"/>
    <s v="Discovery Day"/>
    <s v="Mai valutato"/>
    <m/>
    <n v="202506108055575"/>
    <n v="2173300010307"/>
    <n v="20250610"/>
    <x v="3"/>
    <m/>
    <s v="086 - ITALIA"/>
    <s v="D     - Dare"/>
    <n v="123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861"/>
    <s v="14"/>
    <s v="Operazione per conto di importo elevato per la causale ed il soggetto"/>
    <d v="2025-06-11T00:00:00"/>
    <n v="53850"/>
    <n v="187"/>
    <s v="053850_187"/>
    <s v="Discovery Day"/>
    <s v="Mai valutato"/>
    <m/>
    <n v="202506108055638"/>
    <n v="999361870311"/>
    <n v="20250610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58"/>
    <s v="14"/>
    <s v="Operazione per conto di importo elevato per la causale ed il soggetto"/>
    <d v="2025-06-11T00:00:00"/>
    <n v="53850"/>
    <n v="259"/>
    <s v="053850_259"/>
    <s v="Discovery Day"/>
    <s v="Mai valutato"/>
    <m/>
    <n v="202506108056982"/>
    <n v="2593300001020"/>
    <n v="20250610"/>
    <x v="1"/>
    <m/>
    <s v="086 - ITALIA"/>
    <s v="A     - Avere"/>
    <n v="14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857"/>
    <s v="14"/>
    <s v="Operazione per conto di importo elevato per la causale ed il soggetto"/>
    <d v="2025-06-11T00:00:00"/>
    <n v="53850"/>
    <n v="149"/>
    <s v="053850_149"/>
    <s v="Discovery Day"/>
    <s v="Mai valutato"/>
    <m/>
    <s v="202506108063495L"/>
    <n v="1493300664043"/>
    <n v="20250610"/>
    <x v="0"/>
    <m/>
    <m/>
    <s v="D     - Dare"/>
    <n v="3216.9"/>
    <n v="0"/>
    <n v="4383917"/>
    <s v="SNTRRT56L29F205W"/>
    <s v="SANTANDREA ROBERTO"/>
    <s v="600 - Famiglie consumatrici"/>
    <m/>
    <s v="086 - ITALIA"/>
    <n v="104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56"/>
    <s v="14"/>
    <s v="Operazione per conto di importo elevato per la causale ed il soggetto"/>
    <d v="2025-06-11T00:00:00"/>
    <n v="53850"/>
    <n v="125"/>
    <s v="053850_125"/>
    <s v="Discovery Day"/>
    <s v="Mai valutato"/>
    <m/>
    <s v="202506108065837L"/>
    <n v="1253300002492"/>
    <n v="20250610"/>
    <x v="0"/>
    <m/>
    <m/>
    <s v="D     - Dare"/>
    <n v="1472.6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54"/>
    <s v="14"/>
    <s v="Operazione per conto di importo elevato per la causale ed il soggetto"/>
    <d v="2025-06-11T00:00:00"/>
    <n v="53850"/>
    <n v="196"/>
    <s v="053850_196"/>
    <s v="Discovery Day"/>
    <s v="Mai valutato"/>
    <m/>
    <s v="202506108062826L"/>
    <n v="1963302354339"/>
    <n v="20250610"/>
    <x v="0"/>
    <m/>
    <m/>
    <s v="D     - Dare"/>
    <n v="1095.5999999999999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6"/>
    <s v="IN VALUTAZIONE RPR"/>
    <x v="1"/>
    <n v="1"/>
    <m/>
    <m/>
    <n v="1"/>
    <n v="999"/>
    <n v="480"/>
    <n v="480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52"/>
    <s v="14"/>
    <s v="Operazione per conto di importo elevato per la causale ed il soggetto"/>
    <d v="2025-06-11T00:00:00"/>
    <n v="53850"/>
    <n v="147"/>
    <s v="053850_147"/>
    <s v="Discovery Day"/>
    <s v="Mai valutato"/>
    <m/>
    <n v="202506108058305"/>
    <n v="1473300001779"/>
    <n v="20250610"/>
    <x v="0"/>
    <m/>
    <m/>
    <s v="D     - Dare"/>
    <n v="5331.37"/>
    <n v="0"/>
    <n v="4609332"/>
    <s v="LPZFNC93A41I234T"/>
    <s v="LOPEZ FRANCESC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851"/>
    <s v="14"/>
    <s v="Operazione per conto di importo elevato per la causale ed il soggetto"/>
    <d v="2025-06-11T00:00:00"/>
    <n v="53850"/>
    <n v="149"/>
    <s v="053850_149"/>
    <s v="Discovery Day"/>
    <s v="Mai valutato"/>
    <m/>
    <s v="202506108063495L"/>
    <n v="1493300664043"/>
    <n v="20250610"/>
    <x v="0"/>
    <m/>
    <m/>
    <s v="D     - Dare"/>
    <n v="3216.9"/>
    <n v="0"/>
    <n v="4230775"/>
    <s v="RSSLND30A58L665T"/>
    <s v="ROSSETTI IOLANDA"/>
    <s v="600 - Famiglie consumatrici"/>
    <m/>
    <s v="086 - ITALIA"/>
    <n v="104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48"/>
    <s v="14"/>
    <s v="Operazione per conto di importo elevato per la causale ed il soggetto"/>
    <d v="2025-06-11T00:00:00"/>
    <n v="53850"/>
    <n v="109"/>
    <s v="053850_109"/>
    <s v="Discovery Day"/>
    <s v="Mai valutato"/>
    <m/>
    <s v="202506108066031L"/>
    <n v="1093306674452"/>
    <n v="20250610"/>
    <x v="0"/>
    <m/>
    <m/>
    <s v="D     - Dare"/>
    <n v="2616.7199999999998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846"/>
    <s v="14"/>
    <s v="Operazione per conto di importo elevato per la causale ed il soggetto"/>
    <d v="2025-06-11T00:00:00"/>
    <n v="53850"/>
    <n v="164"/>
    <s v="053850_164"/>
    <s v="Discovery Day"/>
    <s v="Mai valutato"/>
    <m/>
    <n v="202506108058364"/>
    <n v="1643300370057"/>
    <n v="20250610"/>
    <x v="0"/>
    <m/>
    <m/>
    <s v="D     - Dare"/>
    <n v="13210.56"/>
    <n v="0"/>
    <n v="816125"/>
    <s v="TDSFNC88R45H926X"/>
    <s v="TEDESCO FRANCESCA"/>
    <s v="600 - Famiglie consumatrici"/>
    <m/>
    <s v="086 - ITALIA"/>
    <n v="79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840"/>
    <s v="14"/>
    <s v="Operazione per conto di importo elevato per la causale ed il soggetto"/>
    <d v="2025-06-11T00:00:00"/>
    <n v="53850"/>
    <n v="109"/>
    <s v="053850_109"/>
    <s v="Discovery Day"/>
    <s v="Mai valutato"/>
    <m/>
    <s v="202506108066023L"/>
    <n v="1093306672791"/>
    <n v="20250610"/>
    <x v="0"/>
    <m/>
    <m/>
    <s v="D     - Dare"/>
    <n v="1248.1500000000001"/>
    <n v="0"/>
    <n v="4711527"/>
    <n v="6286800724"/>
    <s v="MERCANTILE SOCIETA' A RESPONSABILITA'LIMITATA"/>
    <s v="430 - Imprese produttive"/>
    <s v="561 - RISTORANTI E ATTIVITÀ DI RISTORAZIONE MOBILE"/>
    <s v="086 - ITALIA"/>
    <n v="502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39"/>
    <s v="14"/>
    <s v="Operazione per conto di importo elevato per la causale ed il soggetto"/>
    <d v="2025-06-11T00:00:00"/>
    <n v="53850"/>
    <n v="110"/>
    <s v="053850_110"/>
    <s v="Discovery Day"/>
    <s v="Mai valutato"/>
    <m/>
    <n v="202506108058174"/>
    <n v="1103306284439"/>
    <n v="20250610"/>
    <x v="0"/>
    <m/>
    <m/>
    <s v="D     - Dare"/>
    <n v="35138.76"/>
    <n v="0"/>
    <n v="548785"/>
    <s v="VLNLRD36H46A669Y"/>
    <s v="VIOLANTE ALFREDINA"/>
    <s v="600 - Famiglie consumatrici"/>
    <m/>
    <s v="086 - ITALIA"/>
    <n v="1072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827"/>
    <s v="14"/>
    <s v="Operazione per conto di importo elevato per la causale ed il soggetto"/>
    <d v="2025-06-10T00:00:00"/>
    <n v="53850"/>
    <n v="274"/>
    <s v="053850_274"/>
    <s v="Discovery Day"/>
    <s v="Mai valutato"/>
    <m/>
    <n v="202506098055200"/>
    <n v="2743300000954"/>
    <n v="20250609"/>
    <x v="0"/>
    <m/>
    <m/>
    <s v="D     - Dare"/>
    <n v="5555.95"/>
    <n v="0"/>
    <n v="1666695"/>
    <s v="CCCBNC46D59F196I"/>
    <s v="CICCHITELLI BIANCA"/>
    <s v="600 - Famiglie consumatrici"/>
    <m/>
    <s v="086 - ITALIA"/>
    <n v="1751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21"/>
    <s v="14"/>
    <s v="Operazione per conto di importo elevato per la causale ed il soggetto"/>
    <d v="2025-06-10T00:00:00"/>
    <n v="53850"/>
    <n v="279"/>
    <s v="053850_279"/>
    <s v="Discovery Day"/>
    <s v="Mai valutato"/>
    <m/>
    <s v="202506097977510L"/>
    <n v="2793300001520"/>
    <n v="20250609"/>
    <x v="0"/>
    <m/>
    <m/>
    <s v="D     - Dare"/>
    <n v="1399.88"/>
    <n v="0"/>
    <n v="1693372"/>
    <s v="FRNLDM61E48I526K"/>
    <s v="FRANCESCHELLI IOLANDA MATILDE"/>
    <s v="615 - Altre famiglie produttrici"/>
    <s v="471 - COMMERCIO AL DETTAGLIO IN ESERCIZI NON SPECIALIZZATI"/>
    <s v="086 - ITALIA"/>
    <n v="1786"/>
    <m/>
    <m/>
    <m/>
    <m/>
    <m/>
    <m/>
    <m/>
    <n v="0"/>
    <n v="202506"/>
    <s v="IN CARICO AL RESPONSABILE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20"/>
    <s v="14"/>
    <s v="Operazione per conto di importo elevato per la causale ed il soggetto"/>
    <d v="2025-06-10T00:00:00"/>
    <n v="53850"/>
    <n v="136"/>
    <s v="053850_136"/>
    <s v="Discovery Day"/>
    <s v="Mai valutato"/>
    <m/>
    <n v="202506098053697"/>
    <n v="1363300003325"/>
    <n v="20250609"/>
    <x v="16"/>
    <m/>
    <m/>
    <s v="D     - Dare"/>
    <n v="1156392.72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08"/>
    <s v="14"/>
    <s v="Operazione per conto di importo elevato per la causale ed il soggetto"/>
    <d v="2025-06-10T00:00:00"/>
    <n v="53850"/>
    <n v="192"/>
    <s v="053850_192"/>
    <s v="Discovery Day"/>
    <s v="Mai valutato"/>
    <m/>
    <n v="202506098055085"/>
    <n v="1923300181649"/>
    <n v="20250609"/>
    <x v="0"/>
    <m/>
    <m/>
    <s v="D     - Dare"/>
    <n v="11906.71"/>
    <n v="0"/>
    <n v="4717312"/>
    <s v="FNLLRA70D42E986A"/>
    <s v="FANELLI LAURA"/>
    <s v="600 - Famiglie consumatrici"/>
    <m/>
    <s v="086 - ITALIA"/>
    <n v="3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06"/>
    <s v="14"/>
    <s v="Operazione per conto di importo elevato per la causale ed il soggetto"/>
    <d v="2025-06-10T00:00:00"/>
    <n v="53850"/>
    <n v="109"/>
    <s v="053850_109"/>
    <s v="Discovery Day"/>
    <s v="Mai valutato"/>
    <m/>
    <s v="202506097973994L"/>
    <n v="1093300221090"/>
    <n v="20250609"/>
    <x v="0"/>
    <m/>
    <m/>
    <s v="D     - Dare"/>
    <n v="1399.42"/>
    <n v="0"/>
    <n v="4861802"/>
    <n v="3811090723"/>
    <s v="SANTA MARIA S.R.L."/>
    <s v="430 - Imprese produttive"/>
    <s v="861 - SERVIZI OSPEDALIERI"/>
    <s v="086 - ITALIA"/>
    <n v="1919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97"/>
    <s v="14"/>
    <s v="Operazione per conto di importo elevato per la causale ed il soggetto"/>
    <d v="2025-06-10T00:00:00"/>
    <n v="53850"/>
    <n v="136"/>
    <s v="053850_136"/>
    <s v="Discovery Day"/>
    <s v="Mai valutato"/>
    <m/>
    <n v="202506098053696"/>
    <n v="1361147800126"/>
    <n v="20250609"/>
    <x v="17"/>
    <m/>
    <m/>
    <s v="A     - Avere"/>
    <n v="1156392.72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92"/>
    <s v="14"/>
    <s v="Operazione per conto di importo elevato per la causale ed il soggetto"/>
    <d v="2025-06-10T00:00:00"/>
    <n v="53850"/>
    <n v="137"/>
    <s v="053850_137"/>
    <s v="Discovery Day"/>
    <s v="Mai valutato"/>
    <m/>
    <s v="202506097974596L"/>
    <n v="1373300005221"/>
    <n v="20250609"/>
    <x v="0"/>
    <m/>
    <m/>
    <s v="D     - Dare"/>
    <n v="1025.6600000000001"/>
    <n v="0"/>
    <n v="4896820"/>
    <n v="1790220709"/>
    <s v="ACCADEMIA BRITANNICA SERVICES S.R.L."/>
    <s v="430 - Imprese produttive"/>
    <s v="791 - ATTIVITÀ DELLE AGENZIE DI VIAGGIO E DEI TOUR OPERATOR"/>
    <s v="086 - ITALIA"/>
    <n v="1856"/>
    <m/>
    <m/>
    <m/>
    <m/>
    <m/>
    <m/>
    <m/>
    <n v="0"/>
    <n v="202506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91"/>
    <s v="14"/>
    <s v="Operazione per conto di importo elevato per la causale ed il soggetto"/>
    <d v="2025-06-10T00:00:00"/>
    <n v="53850"/>
    <n v="192"/>
    <s v="053850_192"/>
    <s v="Discovery Day"/>
    <s v="Mai valutato"/>
    <m/>
    <n v="202506098055085"/>
    <n v="1923300181649"/>
    <n v="20250609"/>
    <x v="0"/>
    <m/>
    <m/>
    <s v="D     - Dare"/>
    <n v="11906.71"/>
    <n v="0"/>
    <n v="4306613"/>
    <s v="CNSNGL37M52E986D"/>
    <s v="CONSERVA ANGEL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789"/>
    <s v="14"/>
    <s v="Operazione per conto di importo elevato per la causale ed il soggetto"/>
    <d v="2025-06-10T00:00:00"/>
    <n v="53850"/>
    <n v="105"/>
    <s v="053850_105"/>
    <s v="Discovery Day"/>
    <s v="Mai valutato"/>
    <m/>
    <n v="202506098052986"/>
    <n v="1053306287103"/>
    <n v="20250609"/>
    <x v="1"/>
    <m/>
    <s v="086 - ITALIA"/>
    <s v="A     - Avere"/>
    <n v="3816880.07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787"/>
    <s v="14"/>
    <s v="Operazione per conto di importo elevato per la causale ed il soggetto"/>
    <d v="2025-06-10T00:00:00"/>
    <n v="53850"/>
    <n v="109"/>
    <s v="053850_109"/>
    <s v="Discovery Day"/>
    <s v="Mai valutato"/>
    <m/>
    <s v="202506097974370L"/>
    <n v="1093306677028"/>
    <n v="20250609"/>
    <x v="0"/>
    <m/>
    <m/>
    <s v="D     - Dare"/>
    <n v="2669.27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784"/>
    <s v="14"/>
    <s v="Operazione per conto di importo elevato per la causale ed il soggetto"/>
    <d v="2025-06-10T00:00:00"/>
    <n v="53850"/>
    <n v="284"/>
    <s v="053850_284"/>
    <s v="Discovery Day"/>
    <s v="Mai valutato"/>
    <m/>
    <s v="202506097977438L"/>
    <n v="2843300001336"/>
    <n v="20250609"/>
    <x v="0"/>
    <m/>
    <m/>
    <s v="D     - Dare"/>
    <n v="1620.54"/>
    <n v="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6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783"/>
    <s v="14"/>
    <s v="Operazione per conto di importo elevato per la causale ed il soggetto"/>
    <d v="2025-06-10T00:00:00"/>
    <n v="53850"/>
    <n v="169"/>
    <s v="053850_169"/>
    <s v="Discovery Day"/>
    <s v="Mai valutato"/>
    <m/>
    <n v="202506098054318"/>
    <n v="1693302224337"/>
    <n v="20250609"/>
    <x v="6"/>
    <m/>
    <m/>
    <s v="D     - Dare"/>
    <n v="240000"/>
    <n v="0"/>
    <n v="4566922"/>
    <s v="CNTFNC90R31A883V"/>
    <s v="CONTO' FRANCESCO PAOLO"/>
    <s v="600 - Famiglie consumatrici"/>
    <m/>
    <s v="086 - ITALIA"/>
    <n v="126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82"/>
    <s v="14"/>
    <s v="Operazione per conto di importo elevato per la causale ed il soggetto"/>
    <d v="2025-06-10T00:00:00"/>
    <n v="53850"/>
    <n v="216"/>
    <s v="053850_216"/>
    <s v="Discovery Day"/>
    <s v="Mai valutato"/>
    <m/>
    <s v="202506097977664L"/>
    <n v="2163300012270"/>
    <n v="20250609"/>
    <x v="0"/>
    <m/>
    <m/>
    <s v="D     - Dare"/>
    <n v="1140.96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6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81"/>
    <s v="14"/>
    <s v="Operazione per conto di importo elevato per la causale ed il soggetto"/>
    <d v="2025-06-10T00:00:00"/>
    <n v="53850"/>
    <n v="175"/>
    <s v="053850_175"/>
    <s v="Discovery Day"/>
    <s v="Mai valutato"/>
    <m/>
    <s v="202506097978446L"/>
    <n v="1753302203838"/>
    <n v="20250609"/>
    <x v="0"/>
    <m/>
    <m/>
    <s v="D     - Dare"/>
    <n v="1189.71"/>
    <n v="0"/>
    <n v="4913064"/>
    <n v="1222420778"/>
    <s v="TRATTORIA DEL CAVEOSO S.R.L."/>
    <s v="430 - Imprese produttive"/>
    <s v="561 - RISTORANTI E ATTIVITÀ DI RISTORAZIONE MOBILE"/>
    <s v="086 - ITALIA"/>
    <n v="1110"/>
    <m/>
    <m/>
    <m/>
    <m/>
    <m/>
    <m/>
    <m/>
    <n v="0"/>
    <n v="202506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775"/>
    <s v="14"/>
    <s v="Operazione per conto di importo elevato per la causale ed il soggetto"/>
    <d v="2025-06-10T00:00:00"/>
    <n v="53850"/>
    <n v="274"/>
    <s v="053850_274"/>
    <s v="Discovery Day"/>
    <s v="Mai valutato"/>
    <m/>
    <n v="202506098055200"/>
    <n v="2743300000954"/>
    <n v="20250609"/>
    <x v="0"/>
    <m/>
    <m/>
    <s v="D     - Dare"/>
    <n v="5555.95"/>
    <n v="0"/>
    <n v="1666696"/>
    <s v="RMNMRM64H66F196C"/>
    <s v="RIMANO MARIA ROMANA"/>
    <s v="600 - Famiglie consumatrici"/>
    <m/>
    <s v="086 - ITALIA"/>
    <n v="1751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769"/>
    <s v="14"/>
    <s v="Operazione per conto di importo elevato per la causale ed il soggetto"/>
    <d v="2025-06-10T00:00:00"/>
    <n v="53850"/>
    <n v="141"/>
    <s v="053850_141"/>
    <s v="Discovery Day"/>
    <s v="Mai valutato"/>
    <m/>
    <n v="202506098052815"/>
    <n v="1413300003855"/>
    <n v="20250609"/>
    <x v="1"/>
    <m/>
    <s v="086 - ITALIA"/>
    <s v="A     - Avere"/>
    <n v="1500000"/>
    <n v="0"/>
    <n v="4968719"/>
    <n v="5154150758"/>
    <s v="DFX S.R.L."/>
    <s v="430 - Imprese produttive"/>
    <s v="244 - PRODUZIONE DI METALLI DI BASE PREZIOSI E ALTRI METALLI NON FERROSI, TRATTAMENTO DEI COMBUSTIBILI NUCLEARI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768"/>
    <s v="14"/>
    <s v="Operazione per conto di importo elevato per la causale ed il soggetto"/>
    <d v="2025-06-10T00:00:00"/>
    <n v="53850"/>
    <n v="109"/>
    <s v="053850_109"/>
    <s v="Discovery Day"/>
    <s v="Mai valutato"/>
    <m/>
    <s v="202506097974409L"/>
    <n v="1093306674566"/>
    <n v="20250609"/>
    <x v="0"/>
    <m/>
    <m/>
    <s v="D     - Dare"/>
    <n v="2718.95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761"/>
    <s v="14"/>
    <s v="Operazione per conto di importo elevato per la causale ed il soggetto"/>
    <d v="2025-06-10T00:00:00"/>
    <n v="53850"/>
    <n v="136"/>
    <s v="053850_136"/>
    <s v="Discovery Day"/>
    <s v="Mai valutato"/>
    <m/>
    <n v="202506098053698"/>
    <n v="1363300003325"/>
    <n v="20250609"/>
    <x v="24"/>
    <m/>
    <m/>
    <s v="A     - Avere"/>
    <n v="999996.13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699996.13"/>
    <n v="714996.13"/>
    <n v="729996.13"/>
    <n v="744996.13"/>
    <n v="759996.13"/>
    <n v="774996.13"/>
    <n v="789996.13"/>
    <n v="804996.13"/>
    <n v="819996.13"/>
    <n v="834996.13"/>
    <n v="849996.13"/>
    <n v="864996.13"/>
    <n v="879996.13"/>
    <n v="894996.13"/>
    <n v="909996.13"/>
    <n v="924996.13"/>
    <n v="939996.13"/>
    <n v="954996.13"/>
    <n v="969996.13"/>
    <n v="984996.13"/>
    <n v="999996.1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58"/>
    <s v="14"/>
    <s v="Operazione per conto di importo elevato per la causale ed il soggetto"/>
    <d v="2025-06-07T00:00:00"/>
    <n v="53850"/>
    <n v="147"/>
    <s v="053850_147"/>
    <s v="Discovery Day"/>
    <s v="Mai valutato"/>
    <m/>
    <n v="202506068048398"/>
    <n v="1473300001691"/>
    <n v="20250606"/>
    <x v="0"/>
    <m/>
    <m/>
    <s v="D     - Dare"/>
    <n v="22560.58"/>
    <n v="0"/>
    <n v="4420547"/>
    <s v="STLTRS90S53E791Z"/>
    <s v="STELLATO TERESA"/>
    <s v="600 - Famiglie consumatrici"/>
    <m/>
    <s v="086 - ITALIA"/>
    <n v="142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752"/>
    <s v="14"/>
    <s v="Operazione per conto di importo elevato per la causale ed il soggetto"/>
    <d v="2025-06-07T00:00:00"/>
    <n v="53850"/>
    <n v="173"/>
    <s v="053850_173"/>
    <s v="Discovery Day"/>
    <s v="Mai valutato"/>
    <m/>
    <s v="202506067923458L"/>
    <n v="1733302703033"/>
    <n v="20250606"/>
    <x v="0"/>
    <m/>
    <m/>
    <s v="D     - Dare"/>
    <n v="3970.27"/>
    <n v="0"/>
    <n v="496541"/>
    <s v="DZNPRP58E10L425B"/>
    <s v="DI ZONNO PIETRO PAOLO"/>
    <s v="600 - Famiglie consumatrici"/>
    <m/>
    <s v="086 - ITALIA"/>
    <n v="1470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39"/>
    <s v="14"/>
    <s v="Operazione per conto di importo elevato per la causale ed il soggetto"/>
    <d v="2025-06-07T00:00:00"/>
    <n v="53850"/>
    <n v="102"/>
    <s v="053850_102"/>
    <s v="Discovery Day"/>
    <s v="Mai valutato"/>
    <m/>
    <n v="202506068046908"/>
    <n v="1023308719030"/>
    <n v="20250606"/>
    <x v="1"/>
    <m/>
    <s v="086 - ITALIA"/>
    <s v="A     - Avere"/>
    <n v="1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738"/>
    <s v="14"/>
    <s v="Operazione per conto di importo elevato per la causale ed il soggetto"/>
    <d v="2025-06-07T00:00:00"/>
    <n v="53850"/>
    <n v="105"/>
    <s v="053850_105"/>
    <s v="Discovery Day"/>
    <s v="Mai valutato"/>
    <m/>
    <s v="202506067915968L"/>
    <n v="1053306286975"/>
    <n v="20250606"/>
    <x v="0"/>
    <m/>
    <m/>
    <s v="D     - Dare"/>
    <n v="1184.79"/>
    <n v="0"/>
    <n v="434072"/>
    <s v="PRFVRN32P14L472Z"/>
    <s v="PERFIDO VITO ORONZO"/>
    <s v="600 - Famiglie consumatrici"/>
    <m/>
    <s v="086 - ITALIA"/>
    <n v="833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36"/>
    <s v="14"/>
    <s v="Operazione per conto di importo elevato per la causale ed il soggetto"/>
    <d v="2025-06-07T00:00:00"/>
    <n v="53850"/>
    <n v="173"/>
    <s v="053850_173"/>
    <s v="Discovery Day"/>
    <s v="Mai valutato"/>
    <m/>
    <s v="202506067923458L"/>
    <n v="1733302703033"/>
    <n v="20250606"/>
    <x v="0"/>
    <m/>
    <m/>
    <s v="D     - Dare"/>
    <n v="3970.27"/>
    <n v="0"/>
    <n v="571081"/>
    <s v="DZNNLP33L01F923D"/>
    <s v="DI ZONNO NICOLA PIETRO"/>
    <s v="600 - Famiglie consumatrici"/>
    <m/>
    <s v="086 - ITALIA"/>
    <n v="117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34"/>
    <s v="14"/>
    <s v="Operazione per conto di importo elevato per la causale ed il soggetto"/>
    <d v="2025-06-07T00:00:00"/>
    <n v="53850"/>
    <n v="134"/>
    <s v="053850_134"/>
    <s v="Discovery Day"/>
    <s v="Mai valutato"/>
    <m/>
    <n v="202506068048357"/>
    <n v="1303300001226"/>
    <n v="20250606"/>
    <x v="0"/>
    <m/>
    <m/>
    <s v="D     - Dare"/>
    <n v="26834.720000000001"/>
    <n v="0"/>
    <n v="4005229"/>
    <s v="DNDMRA44C63A020E"/>
    <s v="D'ANDRIA MARIA"/>
    <s v="600 - Famiglie consumatrici"/>
    <m/>
    <s v="086 - ITALIA"/>
    <n v="80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733"/>
    <s v="14"/>
    <s v="Operazione per conto di importo elevato per la causale ed il soggetto"/>
    <d v="2025-06-07T00:00:00"/>
    <n v="53850"/>
    <n v="181"/>
    <s v="053850_181"/>
    <s v="Discovery Day"/>
    <s v="Mai valutato"/>
    <m/>
    <n v="202506068048512"/>
    <n v="1813300010594"/>
    <n v="20250606"/>
    <x v="0"/>
    <m/>
    <m/>
    <s v="D     - Dare"/>
    <n v="18063.330000000002"/>
    <n v="0"/>
    <n v="601835"/>
    <n v="83003310725"/>
    <s v="TRIBUNALE DI TRANI"/>
    <s v="102 - Amministrazione Statale e Organi Costituzionali"/>
    <m/>
    <s v="086 - ITALIA"/>
    <n v="1401"/>
    <m/>
    <m/>
    <m/>
    <m/>
    <m/>
    <m/>
    <m/>
    <n v="0"/>
    <n v="202506"/>
    <s v="IN VALUTAZIONE RPR"/>
    <x v="1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30"/>
    <s v="14"/>
    <s v="Operazione per conto di importo elevato per la causale ed il soggetto"/>
    <d v="2025-06-07T00:00:00"/>
    <n v="53850"/>
    <n v="105"/>
    <s v="053850_105"/>
    <s v="Discovery Day"/>
    <s v="Mai valutato"/>
    <m/>
    <n v="202506068048227"/>
    <n v="1053305150380"/>
    <n v="20250606"/>
    <x v="9"/>
    <m/>
    <m/>
    <s v="D     - Dare"/>
    <n v="200200"/>
    <n v="0"/>
    <n v="515038"/>
    <s v="SNSCMD63T11B619B"/>
    <s v="SINESI COSIMO DAMIANO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28"/>
    <s v="14"/>
    <s v="Operazione per conto di importo elevato per la causale ed il soggetto"/>
    <d v="2025-06-07T00:00:00"/>
    <n v="53850"/>
    <n v="173"/>
    <s v="053850_173"/>
    <s v="Discovery Day"/>
    <s v="Mai valutato"/>
    <m/>
    <s v="202506067923458L"/>
    <n v="1733302703033"/>
    <n v="20250606"/>
    <x v="0"/>
    <m/>
    <m/>
    <s v="D     - Dare"/>
    <n v="3970.27"/>
    <n v="0"/>
    <n v="571084"/>
    <s v="TTLGVN32H43L425I"/>
    <s v="OTTOLINO GIOVIN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27"/>
    <s v="14"/>
    <s v="Operazione per conto di importo elevato per la causale ed il soggetto"/>
    <d v="2025-06-07T00:00:00"/>
    <n v="53850"/>
    <n v="274"/>
    <s v="053850_274"/>
    <s v="Discovery Day"/>
    <s v="Mai valutato"/>
    <m/>
    <n v="202506068048663"/>
    <n v="2743300010228"/>
    <n v="20250606"/>
    <x v="0"/>
    <m/>
    <m/>
    <s v="D     - Dare"/>
    <n v="8000.27"/>
    <n v="0"/>
    <n v="1665626"/>
    <s v="BSNLVI26R17F196D"/>
    <s v="BIASONE LIVIO"/>
    <s v="600 - Famiglie consumatrici"/>
    <m/>
    <s v="086 - ITALIA"/>
    <n v="1751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726"/>
    <s v="14"/>
    <s v="Operazione per conto di importo elevato per la causale ed il soggetto"/>
    <d v="2025-06-07T00:00:00"/>
    <n v="53850"/>
    <n v="192"/>
    <s v="053850_192"/>
    <s v="Discovery Day"/>
    <s v="Mai valutato"/>
    <m/>
    <n v="202506068046636"/>
    <n v="1923300182666"/>
    <n v="20250606"/>
    <x v="1"/>
    <m/>
    <s v="086 - ITALIA"/>
    <s v="A     - Avere"/>
    <n v="500000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25"/>
    <s v="14"/>
    <s v="Operazione per conto di importo elevato per la causale ed il soggetto"/>
    <d v="2025-06-07T00:00:00"/>
    <n v="53850"/>
    <n v="268"/>
    <s v="053850_268"/>
    <s v="Discovery Day"/>
    <s v="Mai valutato"/>
    <m/>
    <n v="202506068048083"/>
    <n v="2683300000171"/>
    <n v="20250606"/>
    <x v="11"/>
    <m/>
    <m/>
    <s v="D     - Dare"/>
    <n v="1424724.92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21"/>
    <s v="14"/>
    <s v="Operazione per conto di importo elevato per la causale ed il soggetto"/>
    <d v="2025-06-07T00:00:00"/>
    <n v="53850"/>
    <n v="174"/>
    <s v="053850_174"/>
    <s v="Discovery Day"/>
    <s v="Mai valutato"/>
    <m/>
    <n v="202506058047514"/>
    <n v="1740050064849"/>
    <n v="20250605"/>
    <x v="32"/>
    <m/>
    <m/>
    <s v="D     - Dare"/>
    <n v="238758.39999999999"/>
    <n v="0"/>
    <n v="4060269"/>
    <s v="DMRVTI73M03F376T"/>
    <s v="DE MARTINO VITO"/>
    <s v="600 - Famiglie consumatrici"/>
    <m/>
    <s v="086 - ITALIA"/>
    <n v="44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18"/>
    <s v="14"/>
    <s v="Operazione per conto di importo elevato per la causale ed il soggetto"/>
    <d v="2025-06-06T00:00:00"/>
    <n v="53850"/>
    <n v="192"/>
    <s v="053850_192"/>
    <s v="Discovery Day"/>
    <s v="Mai valutato"/>
    <m/>
    <n v="202506058044158"/>
    <n v="1923300182666"/>
    <n v="20250605"/>
    <x v="1"/>
    <m/>
    <s v="086 - ITALIA"/>
    <s v="A     - Avere"/>
    <n v="640000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15"/>
    <s v="14"/>
    <s v="Operazione per conto di importo elevato per la causale ed il soggetto"/>
    <d v="2025-06-06T00:00:00"/>
    <n v="53850"/>
    <n v="102"/>
    <s v="053850_102"/>
    <s v="Discovery Day"/>
    <s v="Mai valutato"/>
    <m/>
    <n v="202506058043310"/>
    <n v="1023308719030"/>
    <n v="20250605"/>
    <x v="1"/>
    <m/>
    <s v="086 - ITALIA"/>
    <s v="A     - Avere"/>
    <n v="10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11"/>
    <s v="14"/>
    <s v="Operazione per conto di importo elevato per la causale ed il soggetto"/>
    <d v="2025-06-06T00:00:00"/>
    <n v="53850"/>
    <n v="102"/>
    <s v="053850_102"/>
    <s v="Discovery Day"/>
    <s v="Mai valutato"/>
    <m/>
    <s v="202506057868829L"/>
    <n v="2333300010665"/>
    <n v="20250605"/>
    <x v="0"/>
    <m/>
    <m/>
    <s v="D     - Dare"/>
    <n v="2929.56"/>
    <n v="0"/>
    <n v="4731205"/>
    <s v="CRQJSC89P61D810I"/>
    <s v="CERQUOZZI JESSIC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706"/>
    <s v="14"/>
    <s v="Operazione per conto di importo elevato per la causale ed il soggetto"/>
    <d v="2025-06-06T00:00:00"/>
    <n v="53850"/>
    <n v="175"/>
    <s v="053850_175"/>
    <s v="Discovery Day"/>
    <s v="Mai valutato"/>
    <m/>
    <n v="202506058042566"/>
    <n v="1753305636160"/>
    <n v="20250605"/>
    <x v="3"/>
    <m/>
    <s v="086 - ITALIA"/>
    <s v="D     - Dare"/>
    <n v="306431.34999999998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6"/>
    <s v="IN CARICO AL RESPONSABILE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04"/>
    <s v="14"/>
    <s v="Operazione per conto di importo elevato per la causale ed il soggetto"/>
    <d v="2025-06-06T00:00:00"/>
    <n v="53850"/>
    <n v="108"/>
    <s v="053850_108"/>
    <s v="Discovery Day"/>
    <s v="Mai valutato"/>
    <m/>
    <n v="202506058044562"/>
    <n v="1083306290997"/>
    <n v="20250605"/>
    <x v="6"/>
    <m/>
    <m/>
    <s v="D     - Dare"/>
    <n v="238000"/>
    <n v="0"/>
    <n v="487505"/>
    <s v="RCCLGU50P09F915I"/>
    <s v="RICCIARDI LUIGI"/>
    <s v="600 - Famiglie consumatrici"/>
    <m/>
    <s v="086 - ITALIA"/>
    <n v="66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02"/>
    <s v="14"/>
    <s v="Operazione per conto di importo elevato per la causale ed il soggetto"/>
    <d v="2025-06-06T00:00:00"/>
    <n v="53850"/>
    <n v="109"/>
    <s v="053850_109"/>
    <s v="Discovery Day"/>
    <s v="Mai valutato"/>
    <m/>
    <n v="202506058044566"/>
    <n v="1093304102436"/>
    <n v="20250605"/>
    <x v="4"/>
    <m/>
    <m/>
    <s v="D     - Dare"/>
    <n v="345635.16"/>
    <n v="0"/>
    <n v="4142804"/>
    <n v="4794510729"/>
    <s v="ACMEI SUD SPA"/>
    <s v="430 - Imprese produttive"/>
    <s v="464 - COMMERCIO ALL'INGROSSO DI BENI DI CONSUMO FINALE"/>
    <s v="086 - ITALIA"/>
    <n v="1919"/>
    <m/>
    <m/>
    <m/>
    <m/>
    <m/>
    <m/>
    <m/>
    <n v="0"/>
    <n v="202506"/>
    <s v="ARCHIVIATA"/>
    <x v="0"/>
    <n v="1"/>
    <m/>
    <m/>
    <n v="0"/>
    <n v="464"/>
    <n v="430"/>
    <n v="430464"/>
    <s v="Classe di rischio 4"/>
    <m/>
    <x v="2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699"/>
    <s v="14"/>
    <s v="Operazione per conto di importo elevato per la causale ed il soggetto"/>
    <d v="2025-06-06T00:00:00"/>
    <n v="53850"/>
    <n v="147"/>
    <s v="053850_147"/>
    <s v="Discovery Day"/>
    <s v="Mai valutato"/>
    <m/>
    <s v="202506057876360L"/>
    <n v="1473300002811"/>
    <n v="20250605"/>
    <x v="0"/>
    <m/>
    <m/>
    <s v="D     - Dare"/>
    <n v="4754.72"/>
    <n v="0"/>
    <n v="4921138"/>
    <n v="92008910637"/>
    <s v="TRIBUNALE DI NOLA"/>
    <s v="102 - Amministrazione Statale e Organi Costituzionali"/>
    <m/>
    <s v="086 - ITALIA"/>
    <n v="1356"/>
    <m/>
    <m/>
    <m/>
    <m/>
    <m/>
    <m/>
    <m/>
    <n v="0"/>
    <n v="202506"/>
    <s v="IN VALUTAZIONE RPR"/>
    <x v="1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95"/>
    <s v="14"/>
    <s v="Operazione per conto di importo elevato per la causale ed il soggetto"/>
    <d v="2025-06-06T00:00:00"/>
    <n v="53850"/>
    <n v="102"/>
    <s v="053850_102"/>
    <s v="Discovery Day"/>
    <s v="Mai valutato"/>
    <m/>
    <s v="202506057868829L"/>
    <n v="2333300010665"/>
    <n v="20250605"/>
    <x v="0"/>
    <m/>
    <m/>
    <s v="D     - Dare"/>
    <n v="2929.56"/>
    <n v="0"/>
    <n v="4731171"/>
    <s v="VNDNNA63H53A720A"/>
    <s v="VENDITTI ANN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693"/>
    <s v="14"/>
    <s v="Operazione per conto di importo elevato per la causale ed il soggetto"/>
    <d v="2025-06-06T00:00:00"/>
    <n v="53850"/>
    <n v="109"/>
    <s v="053850_109"/>
    <s v="Discovery Day"/>
    <s v="Mai valutato"/>
    <m/>
    <n v="202506058045164"/>
    <n v="1093306671972"/>
    <n v="20250605"/>
    <x v="0"/>
    <m/>
    <m/>
    <s v="D     - Dare"/>
    <n v="13670.64"/>
    <n v="0"/>
    <n v="4565764"/>
    <s v="MTRMRS45L60A662E"/>
    <s v="MATERA MARISA"/>
    <s v="600 - Famiglie consumatrici"/>
    <m/>
    <s v="086 - ITALIA"/>
    <n v="191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90"/>
    <s v="14"/>
    <s v="Operazione per conto di importo elevato per la causale ed il soggetto"/>
    <d v="2025-06-06T00:00:00"/>
    <n v="53850"/>
    <n v="102"/>
    <s v="053850_102"/>
    <s v="Discovery Day"/>
    <s v="Mai valutato"/>
    <m/>
    <n v="202506058043120"/>
    <n v="1023308727640"/>
    <n v="20250605"/>
    <x v="1"/>
    <m/>
    <s v="086 - ITALIA"/>
    <s v="A     - Avere"/>
    <n v="1025000"/>
    <n v="0"/>
    <n v="3728814"/>
    <n v="5509200720"/>
    <s v="LOIUDICED S.R.L."/>
    <s v="430 - Imprese produttive"/>
    <s v="310 - FABBRICAZIONE DI MOBILI"/>
    <s v="086 - ITALIA"/>
    <n v="73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88"/>
    <s v="14"/>
    <s v="Operazione per conto di importo elevato per la causale ed il soggetto"/>
    <d v="2025-06-06T00:00:00"/>
    <n v="53850"/>
    <n v="109"/>
    <s v="053850_109"/>
    <s v="Discovery Day"/>
    <s v="Mai valutato"/>
    <m/>
    <n v="202506058045164"/>
    <n v="1093306671972"/>
    <n v="20250605"/>
    <x v="0"/>
    <m/>
    <m/>
    <s v="D     - Dare"/>
    <n v="13670.64"/>
    <n v="0"/>
    <n v="4565769"/>
    <s v="MRNNNN28S21H501S"/>
    <s v="MARINO ANTONINO"/>
    <s v="600 - Famiglie consumatrici"/>
    <m/>
    <s v="086 - ITALIA"/>
    <n v="191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87"/>
    <s v="14"/>
    <s v="Operazione per conto di importo elevato per la causale ed il soggetto"/>
    <d v="2025-06-06T00:00:00"/>
    <n v="53850"/>
    <n v="105"/>
    <s v="053850_105"/>
    <s v="Discovery Day"/>
    <s v="Mai valutato"/>
    <m/>
    <n v="202506058045139"/>
    <n v="1053300516650"/>
    <n v="20250605"/>
    <x v="22"/>
    <m/>
    <m/>
    <s v="A     - Avere"/>
    <n v="225000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682"/>
    <s v="14"/>
    <s v="Operazione per conto di importo elevato per la causale ed il soggetto"/>
    <d v="2025-06-06T00:00:00"/>
    <n v="53850"/>
    <n v="116"/>
    <s v="053850_116"/>
    <s v="Discovery Day"/>
    <s v="Mai valutato"/>
    <m/>
    <n v="202506058042478"/>
    <n v="2173300010307"/>
    <n v="20250605"/>
    <x v="3"/>
    <m/>
    <s v="086 - ITALIA"/>
    <s v="D     - Dare"/>
    <n v="12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678"/>
    <s v="14"/>
    <s v="Operazione per conto di importo elevato per la causale ed il soggetto"/>
    <d v="2025-06-06T00:00:00"/>
    <n v="53850"/>
    <n v="182"/>
    <s v="053850_182"/>
    <s v="Discovery Day"/>
    <s v="Mai valutato"/>
    <m/>
    <n v="202506058044831"/>
    <n v="1823300072312"/>
    <n v="20250605"/>
    <x v="6"/>
    <m/>
    <m/>
    <s v="D     - Dare"/>
    <n v="950000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76"/>
    <s v="14"/>
    <s v="Operazione per conto di importo elevato per la causale ed il soggetto"/>
    <d v="2025-06-05T00:00:00"/>
    <n v="53850"/>
    <n v="108"/>
    <s v="053850_108"/>
    <s v="Discovery Day"/>
    <s v="Mai valutato"/>
    <m/>
    <n v="202506058040544"/>
    <n v="1085500039514"/>
    <n v="20250605"/>
    <x v="19"/>
    <m/>
    <m/>
    <s v="A     - Avere"/>
    <n v="196195.76"/>
    <n v="0"/>
    <n v="426147"/>
    <s v="MNSPDN34T55F915F"/>
    <s v="MANSUETO PRUDENZI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75"/>
    <s v="14"/>
    <s v="Operazione per conto di importo elevato per la causale ed il soggetto"/>
    <d v="2025-06-05T00:00:00"/>
    <n v="53850"/>
    <n v="108"/>
    <s v="053850_108"/>
    <s v="Discovery Day"/>
    <s v="Mai valutato"/>
    <m/>
    <n v="202506058040544"/>
    <n v="1085500039514"/>
    <n v="20250605"/>
    <x v="19"/>
    <m/>
    <m/>
    <s v="A     - Avere"/>
    <n v="196195.76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72"/>
    <s v="14"/>
    <s v="Operazione per conto di importo elevato per la causale ed il soggetto"/>
    <d v="2025-06-05T00:00:00"/>
    <n v="53850"/>
    <n v="102"/>
    <s v="053850_102"/>
    <s v="Discovery Day"/>
    <s v="Mai valutato"/>
    <m/>
    <n v="202506048041695"/>
    <n v="1023308725736"/>
    <n v="20250604"/>
    <x v="0"/>
    <m/>
    <m/>
    <s v="D     - Dare"/>
    <n v="5726.29"/>
    <n v="0"/>
    <n v="83832"/>
    <s v="MTRCRN33B62A225F"/>
    <s v="MATERA CATERINA"/>
    <s v="600 - Famiglie consumatrici"/>
    <m/>
    <s v="086 - ITALIA"/>
    <n v="84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670"/>
    <s v="14"/>
    <s v="Operazione per conto di importo elevato per la causale ed il soggetto"/>
    <d v="2025-06-05T00:00:00"/>
    <n v="53850"/>
    <n v="137"/>
    <s v="053850_137"/>
    <s v="Discovery Day"/>
    <s v="Mai valutato"/>
    <m/>
    <n v="202506048040108"/>
    <n v="1373300005928"/>
    <n v="20250604"/>
    <x v="1"/>
    <m/>
    <s v="086 - ITALIA"/>
    <s v="A     - Avere"/>
    <n v="1173554.6599999999"/>
    <n v="0"/>
    <n v="4229326"/>
    <n v="70190707"/>
    <s v="FRATELLI FERRO - SEMOLERIE MOLISANE S.R.L."/>
    <s v="430 - Imprese produttive"/>
    <s v="106 - LAVORAZIONE DELLE GRANAGLIE, PRODUZIONE DI AMIDI E DI PRODOTTI AMIDACEI"/>
    <s v="086 - ITALIA"/>
    <n v="185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666"/>
    <s v="14"/>
    <s v="Operazione per conto di importo elevato per la causale ed il soggetto"/>
    <d v="2025-06-05T00:00:00"/>
    <n v="53850"/>
    <n v="273"/>
    <s v="053850_273"/>
    <s v="Discovery Day"/>
    <s v="Mai valutato"/>
    <m/>
    <n v="202506048041603"/>
    <n v="2733300000142"/>
    <n v="20250604"/>
    <x v="15"/>
    <m/>
    <m/>
    <s v="D     - Dare"/>
    <n v="513150.03"/>
    <n v="0"/>
    <n v="1604768"/>
    <n v="1425470695"/>
    <s v="PASQUARELLI AUTO SOCIETA' PER AZIONI"/>
    <s v="430 - Imprese produttive"/>
    <s v="451 - COMMERCIO DI AUTOVEICOLI"/>
    <s v="086 - ITALIA"/>
    <n v="1856"/>
    <m/>
    <m/>
    <m/>
    <m/>
    <m/>
    <m/>
    <m/>
    <n v="0"/>
    <n v="202506"/>
    <s v="IN VALUTAZIONE RPR"/>
    <x v="1"/>
    <n v="1"/>
    <m/>
    <m/>
    <n v="0"/>
    <n v="451"/>
    <n v="430"/>
    <n v="430451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52"/>
    <s v="14"/>
    <s v="Operazione per conto di importo elevato per la causale ed il soggetto"/>
    <d v="2025-06-05T00:00:00"/>
    <n v="53850"/>
    <n v="141"/>
    <s v="053850_141"/>
    <s v="Discovery Day"/>
    <s v="Mai valutato"/>
    <m/>
    <n v="202506048040361"/>
    <n v="1413300003749"/>
    <n v="20250604"/>
    <x v="1"/>
    <m/>
    <s v="086 - ITALIA"/>
    <s v="A     - Avere"/>
    <n v="1015378.22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6"/>
    <s v="ARCHIVIATA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644"/>
    <s v="14"/>
    <s v="Operazione per conto di importo elevato per la causale ed il soggetto"/>
    <d v="2025-06-05T00:00:00"/>
    <n v="53850"/>
    <n v="136"/>
    <s v="053850_136"/>
    <s v="Discovery Day"/>
    <s v="Mai valutato"/>
    <m/>
    <n v="202506048040454"/>
    <n v="1363300003325"/>
    <n v="20250604"/>
    <x v="12"/>
    <m/>
    <m/>
    <s v="D     - Dare"/>
    <n v="7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700000"/>
    <n v="730000"/>
    <n v="760000"/>
    <n v="790000"/>
    <n v="820000"/>
    <n v="850000"/>
    <n v="880000"/>
    <n v="910000"/>
    <n v="940000"/>
    <n v="970000"/>
    <n v="1000000"/>
    <n v="1120000"/>
    <n v="1240000"/>
    <n v="1360000"/>
    <n v="1480000"/>
    <n v="1600000"/>
    <n v="1720000"/>
    <n v="1840000"/>
    <n v="1960000"/>
    <n v="2080000"/>
    <n v="22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43"/>
    <s v="14"/>
    <s v="Operazione per conto di importo elevato per la causale ed il soggetto"/>
    <d v="2025-06-05T00:00:00"/>
    <n v="53850"/>
    <n v="170"/>
    <s v="053850_170"/>
    <s v="Discovery Day"/>
    <s v="Mai valutato"/>
    <m/>
    <n v="202506048041179"/>
    <n v="1703306288195"/>
    <n v="20250604"/>
    <x v="28"/>
    <m/>
    <m/>
    <s v="A     - Avere"/>
    <n v="2268731.63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42"/>
    <s v="14"/>
    <s v="Operazione per conto di importo elevato per la causale ed il soggetto"/>
    <d v="2025-06-05T00:00:00"/>
    <n v="53850"/>
    <n v="182"/>
    <s v="053850_182"/>
    <s v="Discovery Day"/>
    <s v="Mai valutato"/>
    <m/>
    <n v="202506048039695"/>
    <n v="1823300152957"/>
    <n v="20250604"/>
    <x v="1"/>
    <m/>
    <s v="086 - ITALIA"/>
    <s v="A     - Avere"/>
    <n v="300000"/>
    <n v="0"/>
    <n v="3006585"/>
    <s v="MGNNTN49M69L049C"/>
    <s v="MIGNOGNA ANTONIA"/>
    <s v="600 - Famiglie consumatrici"/>
    <m/>
    <s v="086 - ITALIA"/>
    <n v="61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637"/>
    <s v="14"/>
    <s v="Operazione per conto di importo elevato per la causale ed il soggetto"/>
    <d v="2025-06-05T00:00:00"/>
    <n v="53850"/>
    <n v="145"/>
    <s v="053850_145"/>
    <s v="Discovery Day"/>
    <s v="Mai valutato"/>
    <m/>
    <n v="202506048040341"/>
    <n v="1453300003755"/>
    <n v="20250604"/>
    <x v="1"/>
    <m/>
    <s v="086 - ITALIA"/>
    <s v="A     - Avere"/>
    <n v="1269710.27"/>
    <n v="0"/>
    <n v="4991602"/>
    <n v="80153690633"/>
    <s v="FALLIMENTO N. 99 2022 CENTRO ESTER ASSOCIAZIONE IN PARTECIPAZIONE"/>
    <s v="615 - Altre famiglie produttrici"/>
    <s v="85 - ISTRUZIONE"/>
    <s v="086 - ITALIA"/>
    <n v="1222"/>
    <m/>
    <m/>
    <m/>
    <m/>
    <m/>
    <m/>
    <m/>
    <n v="0"/>
    <n v="202506"/>
    <s v="IN VALUTAZIONE RPR"/>
    <x v="1"/>
    <n v="1"/>
    <m/>
    <m/>
    <n v="0"/>
    <n v="999"/>
    <n v="615"/>
    <n v="615999"/>
    <m/>
    <n v="1"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36"/>
    <s v="14"/>
    <s v="Operazione per conto di importo elevato per la causale ed il soggetto"/>
    <d v="2025-06-05T00:00:00"/>
    <n v="53850"/>
    <n v="141"/>
    <s v="053850_141"/>
    <s v="Discovery Day"/>
    <s v="Mai valutato"/>
    <m/>
    <n v="202506048040270"/>
    <n v="1413300004417"/>
    <n v="20250604"/>
    <x v="1"/>
    <m/>
    <s v="086 - ITALIA"/>
    <s v="A     - Avere"/>
    <n v="3070000"/>
    <n v="0"/>
    <n v="4329517"/>
    <n v="1146860752"/>
    <s v="SINT.EL. SRL"/>
    <s v="430 - Imprese produttive"/>
    <s v="861 - SERVIZI OSPEDALIERI"/>
    <s v="086 - ITALIA"/>
    <n v="1940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633"/>
    <s v="14"/>
    <s v="Operazione per conto di importo elevato per la causale ed il soggetto"/>
    <d v="2025-06-04T00:00:00"/>
    <n v="53850"/>
    <n v="114"/>
    <s v="053850_114"/>
    <s v="Discovery Day"/>
    <s v="Mai valutato"/>
    <m/>
    <n v="202506048034485"/>
    <n v="1143306278589"/>
    <n v="20250604"/>
    <x v="7"/>
    <m/>
    <m/>
    <s v="D     - Dare"/>
    <n v="2100000"/>
    <n v="0"/>
    <n v="4096156"/>
    <s v="TRLMTT49B09I054M"/>
    <s v="TORELLI MATTEO"/>
    <s v="600 - Famiglie consumatrici"/>
    <m/>
    <s v="086 - ITALIA"/>
    <n v="804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32"/>
    <s v="14"/>
    <s v="Operazione per conto di importo elevato per la causale ed il soggetto"/>
    <d v="2025-06-04T00:00:00"/>
    <n v="53850"/>
    <n v="114"/>
    <s v="053850_114"/>
    <s v="Discovery Day"/>
    <s v="Mai valutato"/>
    <m/>
    <n v="202506048034485"/>
    <n v="1143306278589"/>
    <n v="20250604"/>
    <x v="7"/>
    <m/>
    <m/>
    <s v="D     - Dare"/>
    <n v="2100000"/>
    <n v="0"/>
    <n v="4175755"/>
    <s v="PTTLMP50S41I158L"/>
    <s v="PETITTI OLIMPIA"/>
    <s v="600 - Famiglie consumatrici"/>
    <m/>
    <s v="086 - ITALIA"/>
    <n v="804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27"/>
    <s v="14"/>
    <s v="Operazione per conto di importo elevato per la causale ed il soggetto"/>
    <d v="2025-06-04T00:00:00"/>
    <n v="53850"/>
    <n v="132"/>
    <s v="053850_132"/>
    <s v="Discovery Day"/>
    <s v="Mai valutato"/>
    <m/>
    <n v="202506038037960"/>
    <n v="1323300002559"/>
    <n v="20250603"/>
    <x v="3"/>
    <m/>
    <s v="086 - ITALIA"/>
    <s v="D     - Dare"/>
    <n v="221000"/>
    <n v="0"/>
    <n v="4875371"/>
    <s v="LLTRCL59E07B743J"/>
    <s v="LAULETTA ERCOLE"/>
    <s v="600 - Famiglie consumatrici"/>
    <m/>
    <s v="086 - ITALIA"/>
    <n v="195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622"/>
    <s v="14"/>
    <s v="Operazione per conto di importo elevato per la causale ed il soggetto"/>
    <d v="2025-06-04T00:00:00"/>
    <n v="53850"/>
    <n v="171"/>
    <s v="053850_171"/>
    <s v="Discovery Day"/>
    <s v="Mai valutato"/>
    <m/>
    <n v="202506038036505"/>
    <n v="1713302213842"/>
    <n v="20250603"/>
    <x v="6"/>
    <m/>
    <m/>
    <s v="D     - Dare"/>
    <n v="2743358.23"/>
    <n v="0"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620"/>
    <s v="14"/>
    <s v="Operazione per conto di importo elevato per la causale ed il soggetto"/>
    <d v="2025-06-04T00:00:00"/>
    <n v="53850"/>
    <n v="185"/>
    <s v="053850_185"/>
    <s v="Discovery Day"/>
    <s v="Mai valutato"/>
    <m/>
    <s v="202506037704161L"/>
    <n v="1853300026668"/>
    <n v="20250603"/>
    <x v="0"/>
    <m/>
    <m/>
    <s v="D     - Dare"/>
    <n v="1596.63"/>
    <n v="0"/>
    <n v="3044870"/>
    <s v="CRRMRA48E70L049R"/>
    <s v="CARRIERO MARIA"/>
    <s v="600 - Famiglie consumatrici"/>
    <m/>
    <s v="086 - ITALIA"/>
    <n v="135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16"/>
    <s v="14"/>
    <s v="Operazione per conto di importo elevato per la causale ed il soggetto"/>
    <d v="2025-06-04T00:00:00"/>
    <n v="53850"/>
    <n v="125"/>
    <s v="053850_125"/>
    <s v="Discovery Day"/>
    <s v="Mai valutato"/>
    <m/>
    <n v="202506038035852"/>
    <n v="1253300010013"/>
    <n v="20250603"/>
    <x v="4"/>
    <m/>
    <m/>
    <s v="D     - Dare"/>
    <n v="315913.33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07"/>
    <s v="14"/>
    <s v="Operazione per conto di importo elevato per la causale ed il soggetto"/>
    <d v="2025-06-04T00:00:00"/>
    <n v="53850"/>
    <n v="102"/>
    <s v="053850_102"/>
    <s v="Discovery Day"/>
    <s v="Mai valutato"/>
    <m/>
    <n v="202506038037724"/>
    <n v="2583302251708"/>
    <n v="20250603"/>
    <x v="0"/>
    <m/>
    <m/>
    <s v="D     - Dare"/>
    <n v="10083.49"/>
    <n v="0"/>
    <n v="69892"/>
    <s v="LRDVCR42B06L477L"/>
    <s v="LARDO VITO CARMINE"/>
    <s v="600 - Famiglie consumatrici"/>
    <m/>
    <s v="086 - ITALIA"/>
    <n v="145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604"/>
    <s v="14"/>
    <s v="Operazione per conto di importo elevato per la causale ed il soggetto"/>
    <d v="2025-06-04T00:00:00"/>
    <n v="53850"/>
    <n v="116"/>
    <s v="053850_116"/>
    <s v="Discovery Day"/>
    <s v="Mai valutato"/>
    <m/>
    <n v="202506038037044"/>
    <n v="2173300010307"/>
    <n v="20250603"/>
    <x v="5"/>
    <m/>
    <m/>
    <s v="A     - Avere"/>
    <n v="10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02"/>
    <s v="14"/>
    <s v="Operazione per conto di importo elevato per la causale ed il soggetto"/>
    <d v="2025-06-04T00:00:00"/>
    <n v="53850"/>
    <n v="105"/>
    <s v="053850_105"/>
    <s v="Discovery Day"/>
    <s v="Mai valutato"/>
    <m/>
    <n v="202506038033825"/>
    <n v="1053300516650"/>
    <n v="20250603"/>
    <x v="1"/>
    <m/>
    <s v="086 - ITALIA"/>
    <s v="A     - Avere"/>
    <n v="225042.07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601"/>
    <s v="14"/>
    <s v="Operazione per conto di importo elevato per la causale ed il soggetto"/>
    <d v="2025-06-04T00:00:00"/>
    <n v="53850"/>
    <n v="103"/>
    <s v="053850_103"/>
    <s v="Discovery Day"/>
    <s v="Mai valutato"/>
    <m/>
    <n v="202506038033238"/>
    <n v="1033306985513"/>
    <n v="20250603"/>
    <x v="1"/>
    <m/>
    <s v="086 - ITALIA"/>
    <s v="A     - Avere"/>
    <n v="431436.56"/>
    <n v="0"/>
    <n v="439797"/>
    <s v="SNGMRA45E68E155A"/>
    <s v="SANGIRARDI MARI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597"/>
    <s v="14"/>
    <s v="Operazione per conto di importo elevato per la causale ed il soggetto"/>
    <d v="2025-06-04T00:00:00"/>
    <n v="53850"/>
    <n v="132"/>
    <s v="053850_132"/>
    <s v="Discovery Day"/>
    <s v="Mai valutato"/>
    <m/>
    <n v="202506038037960"/>
    <n v="1323300002559"/>
    <n v="20250603"/>
    <x v="3"/>
    <m/>
    <s v="086 - ITALIA"/>
    <s v="D     - Dare"/>
    <n v="221000"/>
    <n v="0"/>
    <n v="4875374"/>
    <s v="CNGLRA67P50H501Z"/>
    <s v="CANGIOLI LAURA"/>
    <s v="600 - Famiglie consumatrici"/>
    <m/>
    <s v="086 - ITALIA"/>
    <n v="195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96"/>
    <s v="14"/>
    <s v="Operazione per conto di importo elevato per la causale ed il soggetto"/>
    <d v="2025-06-04T00:00:00"/>
    <n v="53850"/>
    <n v="170"/>
    <s v="053850_170"/>
    <s v="Discovery Day"/>
    <s v="Mai valutato"/>
    <m/>
    <n v="202506038038127"/>
    <n v="1703306290701"/>
    <n v="20250603"/>
    <x v="0"/>
    <m/>
    <m/>
    <s v="D     - Dare"/>
    <n v="53329.599999999999"/>
    <n v="0"/>
    <n v="4104070"/>
    <s v="PLLGPP67A15A285B"/>
    <s v="PELLEGRINO GIUSEPPE"/>
    <s v="615 - Altre famiglie produttrici"/>
    <s v="012 - COLTIVAZIONE DI COLTURE PERMANENTI"/>
    <s v="086 - ITALIA"/>
    <n v="1920"/>
    <m/>
    <m/>
    <m/>
    <m/>
    <m/>
    <m/>
    <m/>
    <n v="0"/>
    <n v="202506"/>
    <s v="IN VALUTAZIONE RPR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95"/>
    <s v="14"/>
    <s v="Operazione per conto di importo elevato per la causale ed il soggetto"/>
    <d v="2025-06-04T00:00:00"/>
    <n v="53850"/>
    <n v="171"/>
    <s v="053850_171"/>
    <s v="Discovery Day"/>
    <s v="Mai valutato"/>
    <m/>
    <n v="202506038033055"/>
    <n v="1713302217591"/>
    <n v="20250603"/>
    <x v="1"/>
    <m/>
    <s v="086 - ITALIA"/>
    <s v="A     - Avere"/>
    <n v="664021.56999999995"/>
    <n v="0"/>
    <n v="4805735"/>
    <n v="5001120723"/>
    <s v="AGRIDE' S.R.L."/>
    <s v="430 - Imprese produttive"/>
    <s v="463 - COMMERCIO ALL'INGROSSO DI PRODOTTI ALIMENTARI, BEVANDE E PRODOTTI DEL TABACCO"/>
    <s v="086 - ITALIA"/>
    <n v="1903"/>
    <m/>
    <m/>
    <m/>
    <m/>
    <m/>
    <m/>
    <m/>
    <n v="0"/>
    <n v="202506"/>
    <s v="IN VALUTAZIONE RPR"/>
    <x v="1"/>
    <n v="1"/>
    <m/>
    <m/>
    <n v="0"/>
    <n v="463"/>
    <n v="430"/>
    <n v="430463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94"/>
    <s v="14"/>
    <s v="Operazione per conto di importo elevato per la causale ed il soggetto"/>
    <d v="2025-06-04T00:00:00"/>
    <n v="53850"/>
    <n v="266"/>
    <s v="053850_266"/>
    <s v="Discovery Day"/>
    <s v="Mai valutato"/>
    <m/>
    <n v="202506038033449"/>
    <n v="2663300000205"/>
    <n v="20250603"/>
    <x v="1"/>
    <m/>
    <s v="086 - ITALIA"/>
    <s v="A     - Avere"/>
    <n v="320642.14"/>
    <n v="0"/>
    <n v="1627776"/>
    <s v="BCCGNN82H46F537L"/>
    <s v="BUCCINNA' GIOVANNA"/>
    <s v="600 - Famiglie consumatrici"/>
    <m/>
    <s v="086 - ITALIA"/>
    <n v="178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92"/>
    <s v="14"/>
    <s v="Operazione per conto di importo elevato per la causale ed il soggetto"/>
    <d v="2025-06-04T00:00:00"/>
    <n v="53850"/>
    <n v="266"/>
    <s v="053850_266"/>
    <s v="Discovery Day"/>
    <s v="Mai valutato"/>
    <m/>
    <n v="202506038033452"/>
    <n v="2663300001623"/>
    <n v="20250603"/>
    <x v="1"/>
    <m/>
    <s v="086 - ITALIA"/>
    <s v="A     - Avere"/>
    <n v="311736.65999999997"/>
    <n v="0"/>
    <n v="1698772"/>
    <s v="RCRDNC80L21F537C"/>
    <s v="ARACRI DOMENICO"/>
    <s v="600 - Famiglie consumatrici"/>
    <m/>
    <s v="086 - ITALIA"/>
    <n v="178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87"/>
    <s v="14"/>
    <s v="Operazione per conto di importo elevato per la causale ed il soggetto"/>
    <d v="2025-06-04T00:00:00"/>
    <n v="53850"/>
    <n v="102"/>
    <s v="053850_102"/>
    <s v="Discovery Day"/>
    <s v="Mai valutato"/>
    <m/>
    <n v="202506038034129"/>
    <n v="1023308719030"/>
    <n v="20250603"/>
    <x v="1"/>
    <m/>
    <s v="086 - ITALIA"/>
    <s v="A     - Avere"/>
    <n v="4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80"/>
    <s v="14"/>
    <s v="Operazione per conto di importo elevato per la causale ed il soggetto"/>
    <d v="2025-06-04T00:00:00"/>
    <n v="53850"/>
    <n v="102"/>
    <s v="053850_102"/>
    <s v="Discovery Day"/>
    <s v="Mai valutato"/>
    <m/>
    <n v="202506038036202"/>
    <n v="1503300003188"/>
    <n v="20250603"/>
    <x v="2"/>
    <m/>
    <m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m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72"/>
    <s v="14"/>
    <s v="Operazione per conto di importo elevato per la causale ed il soggetto"/>
    <d v="2025-06-04T00:00:00"/>
    <n v="53850"/>
    <n v="102"/>
    <s v="053850_102"/>
    <s v="Discovery Day"/>
    <s v="Mai valutato"/>
    <m/>
    <n v="202506038033985"/>
    <n v="1503300003188"/>
    <n v="20250603"/>
    <x v="1"/>
    <m/>
    <s v="086 - ITALIA"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m/>
    <n v="0"/>
    <n v="999"/>
    <n v="259"/>
    <n v="259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67"/>
    <s v="14"/>
    <s v="Operazione per conto di importo elevato per la causale ed il soggetto"/>
    <d v="2025-06-04T00:00:00"/>
    <n v="53850"/>
    <n v="122"/>
    <s v="053850_122"/>
    <s v="Discovery Day"/>
    <s v="Mai valutato"/>
    <m/>
    <n v="202506038032376"/>
    <n v="1223300001682"/>
    <n v="20250603"/>
    <x v="3"/>
    <m/>
    <s v="086 - ITALIA"/>
    <s v="D     - Dare"/>
    <n v="170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66"/>
    <s v="14"/>
    <s v="Operazione per conto di importo elevato per la causale ed il soggetto"/>
    <d v="2025-06-04T00:00:00"/>
    <n v="53850"/>
    <n v="148"/>
    <s v="053850_148"/>
    <s v="Discovery Day"/>
    <s v="Mai valutato"/>
    <m/>
    <n v="202506038036164"/>
    <n v="1483300003872"/>
    <n v="20250603"/>
    <x v="4"/>
    <m/>
    <m/>
    <s v="D     - Dare"/>
    <n v="939269.1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7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5"/>
    <n v="1823300174272"/>
    <n v="20250602"/>
    <x v="21"/>
    <m/>
    <m/>
    <s v="A     - Avere"/>
    <n v="399998"/>
    <n v="0"/>
    <n v="3021782"/>
    <s v="CTCRCR34S16L049O"/>
    <s v="CATACCHIO RICCARDO"/>
    <s v="600 - Famiglie consumatrici"/>
    <m/>
    <s v="086 - ITALIA"/>
    <n v="616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6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0"/>
    <n v="1823300017474"/>
    <n v="20250602"/>
    <x v="7"/>
    <m/>
    <m/>
    <s v="D     - Dare"/>
    <n v="706818.38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555"/>
    <s v="14"/>
    <s v="Operazione per conto di importo elevato per la causale ed il soggetto"/>
    <d v="2025-05-31T00:00:00"/>
    <n v="53850"/>
    <n v="109"/>
    <s v="053850_109"/>
    <s v="Discovery Day"/>
    <s v="Mai valutato"/>
    <m/>
    <n v="202506028026093"/>
    <n v="1093306667173"/>
    <n v="20250602"/>
    <x v="21"/>
    <m/>
    <m/>
    <s v="A     - Avere"/>
    <n v="339998"/>
    <n v="0"/>
    <n v="546534"/>
    <s v="CLLTRS54S64A662F"/>
    <s v="COLELLA TERESA"/>
    <s v="600 - Famiglie consumatrici"/>
    <m/>
    <s v="086 - ITALIA"/>
    <n v="778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4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5"/>
    <n v="1823300174272"/>
    <n v="20250602"/>
    <x v="21"/>
    <m/>
    <m/>
    <s v="A     - Avere"/>
    <n v="399998"/>
    <n v="0"/>
    <n v="3112495"/>
    <s v="CTCLBT67A71L049W"/>
    <s v="CATACCHIO ELISABETTA"/>
    <s v="600 - Famiglie consumatrici"/>
    <m/>
    <s v="086 - ITALIA"/>
    <n v="433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3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6"/>
    <n v="1883300171952"/>
    <n v="20250602"/>
    <x v="21"/>
    <m/>
    <m/>
    <s v="A     - Avere"/>
    <n v="399998"/>
    <n v="0"/>
    <n v="3112495"/>
    <s v="CTCLBT67A71L049W"/>
    <s v="CATACCHIO ELISABETTA"/>
    <s v="600 - Famiglie consumatrici"/>
    <m/>
    <s v="086 - ITALIA"/>
    <n v="433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2"/>
    <s v="14"/>
    <s v="Operazione per conto di importo elevato per la causale ed il soggetto"/>
    <d v="2025-05-31T00:00:00"/>
    <n v="53850"/>
    <n v="109"/>
    <s v="053850_109"/>
    <s v="Discovery Day"/>
    <s v="Mai valutato"/>
    <m/>
    <n v="202506028026093"/>
    <n v="1093306667173"/>
    <n v="20250602"/>
    <x v="21"/>
    <m/>
    <m/>
    <s v="A     - Avere"/>
    <n v="339998"/>
    <n v="0"/>
    <n v="460757"/>
    <s v="SMNMRA47A31A662G"/>
    <s v="SIMONE MAURO"/>
    <s v="600 - Famiglie consumatrici"/>
    <m/>
    <s v="086 - ITALIA"/>
    <n v="778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1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6"/>
    <n v="1883300171952"/>
    <n v="20250602"/>
    <x v="21"/>
    <m/>
    <m/>
    <s v="A     - Avere"/>
    <n v="399998"/>
    <n v="0"/>
    <n v="4044525"/>
    <s v="CTCMHL61P16L049L"/>
    <s v="CATACCHIO MICHELE"/>
    <s v="600 - Famiglie consumatrici"/>
    <m/>
    <s v="086 - ITALIA"/>
    <m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n v="337715"/>
    <s v="30"/>
    <s v="Bonifico con Paese dell'intermediario della controparte a rischio"/>
    <d v="2025-05-01T00:00:00"/>
    <n v="53850"/>
    <n v="131"/>
    <s v="053850_131"/>
    <s v="Discovery Day"/>
    <s v="Mai valutato"/>
    <m/>
    <n v="202504307937387"/>
    <n v="1313300004533"/>
    <n v="20250430"/>
    <x v="0"/>
    <m/>
    <x v="0"/>
    <x v="0"/>
    <n v="22912.5"/>
    <n v="0"/>
    <n v="3739148"/>
    <s v="FRNDRS57D59Z131E"/>
    <s v="FERNANDEZ ESCOBAR DOLORES"/>
    <s v="600 - Famiglie consumatrici"/>
    <m/>
    <s v="086 - ITALIA"/>
    <m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707"/>
    <s v="30"/>
    <s v="Bonifico con Paese dell'intermediario della controparte a rischio"/>
    <d v="2025-05-01T00:00:00"/>
    <n v="53850"/>
    <n v="131"/>
    <s v="053850_131"/>
    <s v="Discovery Day"/>
    <s v="Mai valutato"/>
    <m/>
    <n v="202504307937387"/>
    <n v="1313300004533"/>
    <n v="20250430"/>
    <x v="0"/>
    <m/>
    <x v="0"/>
    <x v="0"/>
    <n v="22912.5"/>
    <n v="0"/>
    <n v="3739153"/>
    <s v="MRACMN64P17H831I"/>
    <s v="MARE CARMINE DONATO"/>
    <s v="600 - Famiglie consumatrici"/>
    <m/>
    <s v="086 - ITALIA"/>
    <m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657"/>
    <s v="30"/>
    <s v="Bonifico con Paese dell'intermediario della controparte a rischio"/>
    <d v="2025-04-30T00:00:00"/>
    <n v="53850"/>
    <n v="140"/>
    <s v="053850_140"/>
    <s v="Discovery Day"/>
    <s v="Mai valutato"/>
    <m/>
    <n v="202504297934891"/>
    <n v="1403300004431"/>
    <n v="20250429"/>
    <x v="0"/>
    <m/>
    <x v="0"/>
    <x v="1"/>
    <n v="19000"/>
    <n v="0"/>
    <n v="3737491"/>
    <n v="10184280963"/>
    <s v="R.G. MANIFATTURE S.R.L."/>
    <s v="430 - Imprese produttive"/>
    <s v="181 - STAMPA E SERVIZI CONNESSI ALLA STAMPA"/>
    <s v="086 - ITALIA"/>
    <n v="1403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50"/>
    <s v="30"/>
    <s v="Bonifico con Paese dell'intermediario della controparte a rischio"/>
    <d v="2025-04-30T00:00:00"/>
    <n v="53850"/>
    <n v="148"/>
    <s v="053850_148"/>
    <s v="Discovery Day"/>
    <s v="Mai valutato"/>
    <m/>
    <n v="202504297933922"/>
    <n v="1483309514127"/>
    <n v="20250429"/>
    <x v="0"/>
    <m/>
    <x v="1"/>
    <x v="0"/>
    <n v="19600"/>
    <n v="0"/>
    <n v="3600630"/>
    <s v="FRRNTN66R18D650V"/>
    <s v="FERRO ANTONIO"/>
    <s v="614 - Artigiani"/>
    <s v="493 - ALTRI TRASPORTI TERRESTRI DI PASSEGGERI"/>
    <s v="086 - ITALIA"/>
    <n v="1063"/>
    <m/>
    <m/>
    <m/>
    <m/>
    <m/>
    <m/>
    <m/>
    <n v="0"/>
    <n v="202504"/>
    <s v="ARCHIVIATA"/>
    <x v="0"/>
    <n v="1"/>
    <m/>
    <m/>
    <n v="0"/>
    <n v="999"/>
    <n v="614"/>
    <n v="614999"/>
    <m/>
    <n v="1"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17"/>
    <s v="30"/>
    <s v="Bonifico con Paese dell'intermediario della controparte a rischio"/>
    <d v="2025-04-30T00:00:00"/>
    <n v="53850"/>
    <n v="226"/>
    <s v="053850_226"/>
    <s v="Discovery Day"/>
    <s v="Mai valutato"/>
    <m/>
    <n v="202504297933683"/>
    <n v="2263300010593"/>
    <n v="20250429"/>
    <x v="0"/>
    <m/>
    <x v="0"/>
    <x v="0"/>
    <n v="30000"/>
    <n v="0"/>
    <n v="4530242"/>
    <s v="DSDVCN78D10H926U"/>
    <s v="DESIDERIO VINCENZO"/>
    <s v="600 - Famiglie consumatrici"/>
    <m/>
    <s v="086 - ITALIA"/>
    <n v="1932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615"/>
    <s v="30"/>
    <s v="Bonifico con Paese dell'intermediario della controparte a rischio"/>
    <d v="2025-04-30T00:00:00"/>
    <n v="53850"/>
    <n v="140"/>
    <s v="053850_140"/>
    <s v="Discovery Day"/>
    <s v="Mai valutato"/>
    <m/>
    <n v="202504297934895"/>
    <n v="1403300004431"/>
    <n v="20250429"/>
    <x v="0"/>
    <m/>
    <x v="0"/>
    <x v="1"/>
    <n v="36000"/>
    <n v="0"/>
    <n v="3737491"/>
    <n v="10184280963"/>
    <s v="R.G. MANIFATTURE S.R.L."/>
    <s v="430 - Imprese produttive"/>
    <s v="181 - STAMPA E SERVIZI CONNESSI ALLA STAMPA"/>
    <s v="086 - ITALIA"/>
    <n v="1403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611"/>
    <s v="30"/>
    <s v="Bonifico con Paese dell'intermediario della controparte a rischio"/>
    <d v="2025-04-30T00:00:00"/>
    <n v="53850"/>
    <n v="140"/>
    <s v="053850_140"/>
    <s v="Discovery Day"/>
    <s v="Mai valutato"/>
    <m/>
    <n v="202504297934892"/>
    <n v="1403300004431"/>
    <n v="20250429"/>
    <x v="0"/>
    <m/>
    <x v="0"/>
    <x v="1"/>
    <n v="19000"/>
    <n v="0"/>
    <n v="3737491"/>
    <n v="10184280963"/>
    <s v="R.G. MANIFATTURE S.R.L."/>
    <s v="430 - Imprese produttive"/>
    <s v="181 - STAMPA E SERVIZI CONNESSI ALLA STAMPA"/>
    <s v="086 - ITALIA"/>
    <n v="1403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05"/>
    <s v="30"/>
    <s v="Bonifico con Paese dell'intermediario della controparte a rischio"/>
    <d v="2025-04-29T00:00:00"/>
    <n v="53850"/>
    <n v="102"/>
    <s v="053850_102"/>
    <s v="Discovery Day"/>
    <s v="Mai valutato"/>
    <m/>
    <n v="202504287929927"/>
    <n v="1023308727640"/>
    <n v="20250428"/>
    <x v="0"/>
    <m/>
    <x v="2"/>
    <x v="0"/>
    <n v="31215"/>
    <n v="0"/>
    <n v="3728814"/>
    <n v="5509200720"/>
    <s v="LOIUDICED S.R.L."/>
    <s v="430 - Imprese produttive"/>
    <s v="310 - FABBRICAZIONE DI MOBILI"/>
    <s v="086 - ITALIA"/>
    <n v="739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560"/>
    <s v="30"/>
    <s v="Bonifico con Paese dell'intermediario della controparte a rischio"/>
    <d v="2025-04-29T00:00:00"/>
    <n v="53850"/>
    <n v="118"/>
    <s v="053850_118"/>
    <s v="Discovery Day"/>
    <s v="Mai valutato"/>
    <m/>
    <n v="202504287929917"/>
    <n v="1181208800020"/>
    <n v="20250428"/>
    <x v="0"/>
    <m/>
    <x v="3"/>
    <x v="1"/>
    <n v="26659.09"/>
    <n v="0"/>
    <n v="4237439"/>
    <n v="5982410721"/>
    <s v="LINEA PELLE S.R.L."/>
    <s v="430 - Imprese produttive"/>
    <s v="462 - COMMERCIO ALL'INGROSSO DI MATERIE PRIME AGRICOLE E DI ANIMALI VIVI"/>
    <s v="086 - ITALIA"/>
    <n v="1203"/>
    <m/>
    <m/>
    <m/>
    <m/>
    <m/>
    <m/>
    <m/>
    <n v="0"/>
    <n v="202504"/>
    <s v="ARCHIVIATA DA RPR"/>
    <x v="0"/>
    <n v="1"/>
    <m/>
    <m/>
    <n v="0"/>
    <n v="462"/>
    <n v="430"/>
    <n v="430462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544"/>
    <s v="30"/>
    <s v="Bonifico con Paese dell'intermediario della controparte a rischio"/>
    <d v="2025-04-29T00:00:00"/>
    <n v="53850"/>
    <n v="109"/>
    <s v="053850_109"/>
    <s v="Discovery Day"/>
    <s v="Mai valutato"/>
    <m/>
    <n v="202504257929903"/>
    <n v="1093306672844"/>
    <n v="20250425"/>
    <x v="0"/>
    <m/>
    <x v="0"/>
    <x v="0"/>
    <n v="2074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s v="ARCHIVIATA"/>
    <x v="0"/>
    <n v="1"/>
    <n v="440311"/>
    <n v="1"/>
    <n v="0"/>
    <n v="451"/>
    <n v="430"/>
    <n v="430451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529"/>
    <s v="30"/>
    <s v="Bonifico con Paese dell'intermediario della controparte a rischio"/>
    <d v="2025-04-25T00:00:00"/>
    <n v="53850"/>
    <n v="149"/>
    <s v="053850_149"/>
    <s v="Discovery Day"/>
    <s v="Mai valutato"/>
    <m/>
    <n v="202504247923757"/>
    <n v="1493300664435"/>
    <n v="20250424"/>
    <x v="0"/>
    <m/>
    <x v="4"/>
    <x v="0"/>
    <n v="58685"/>
    <n v="0"/>
    <n v="4957449"/>
    <n v="7480511216"/>
    <s v="LOOP S.R.L."/>
    <s v="430 - Imprese produttive"/>
    <s v="464 - COMMERCIO ALL'INGROSSO DI BENI DI CONSUMO FINALE"/>
    <s v="086 - ITALIA"/>
    <n v="1256"/>
    <m/>
    <m/>
    <m/>
    <m/>
    <m/>
    <m/>
    <m/>
    <n v="0"/>
    <n v="202504"/>
    <s v="ARCHIVIATA"/>
    <x v="0"/>
    <n v="1"/>
    <m/>
    <m/>
    <n v="0"/>
    <n v="464"/>
    <n v="430"/>
    <n v="430464"/>
    <s v="Classe di rischio 4"/>
    <m/>
    <x v="3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525"/>
    <s v="30"/>
    <s v="Bonifico con Paese dell'intermediario della controparte a rischio"/>
    <d v="2025-04-25T00:00:00"/>
    <n v="53850"/>
    <n v="268"/>
    <s v="053850_268"/>
    <s v="Discovery Day"/>
    <s v="Mai valutato"/>
    <m/>
    <n v="202504247923765"/>
    <n v="2683300002200"/>
    <n v="20250424"/>
    <x v="0"/>
    <m/>
    <x v="5"/>
    <x v="0"/>
    <n v="66000"/>
    <n v="0"/>
    <n v="1634613"/>
    <n v="3489270797"/>
    <s v="STELLA DEL MARE SRL"/>
    <s v="430 - Imprese produttive"/>
    <s v="412 - COSTRUZIONE DI EDIFICI RESIDENZIALI E NON RESIDENZIALI"/>
    <s v="086 - ITALIA"/>
    <n v="1852"/>
    <m/>
    <m/>
    <m/>
    <m/>
    <m/>
    <m/>
    <m/>
    <n v="0"/>
    <n v="202504"/>
    <s v="IN VALUTAZIONE RPR"/>
    <x v="1"/>
    <n v="1"/>
    <m/>
    <m/>
    <n v="0"/>
    <n v="412"/>
    <n v="430"/>
    <n v="430412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523"/>
    <s v="30"/>
    <s v="Bonifico con Paese dell'intermediario della controparte a rischio"/>
    <d v="2025-04-25T00:00:00"/>
    <n v="53850"/>
    <n v="108"/>
    <s v="053850_108"/>
    <s v="Discovery Day"/>
    <s v="Mai valutato"/>
    <m/>
    <n v="202504247923749"/>
    <n v="1081204983779"/>
    <n v="20250424"/>
    <x v="0"/>
    <m/>
    <x v="6"/>
    <x v="1"/>
    <n v="204044.7"/>
    <n v="0"/>
    <n v="4983779"/>
    <n v="5371200725"/>
    <s v="LA MITO S.R.L. DISTRIBUZIONE"/>
    <s v="430 - Imprese produttive"/>
    <s v="466 - COMMERCIO ALL'INGROSSO DI ALTRI MACCHINARI, ATTREZZATURE E FORNITURE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520"/>
    <s v="30"/>
    <s v="Bonifico con Paese dell'intermediario della controparte a rischio"/>
    <d v="2025-04-25T00:00:00"/>
    <n v="53850"/>
    <n v="270"/>
    <s v="053850_270"/>
    <s v="Discovery Day"/>
    <s v="Mai valutato"/>
    <m/>
    <n v="202504247924954"/>
    <n v="2703300000347"/>
    <n v="20250424"/>
    <x v="0"/>
    <m/>
    <x v="0"/>
    <x v="1"/>
    <n v="20000"/>
    <n v="0"/>
    <n v="1610246"/>
    <n v="328280698"/>
    <s v="CONSTRUCTORA CARACAS S.R.L."/>
    <s v="430 - Imprese produttive"/>
    <s v="412 - COSTRUZIONE DI EDIFICI RESIDENZIALI E NON RESIDENZIALI"/>
    <s v="086 - ITALIA"/>
    <n v="1413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488"/>
    <s v="30"/>
    <s v="Bonifico con Paese dell'intermediario della controparte a rischio"/>
    <d v="2025-04-24T00:00:00"/>
    <n v="53850"/>
    <n v="261"/>
    <s v="053850_261"/>
    <s v="Discovery Day"/>
    <s v="Mai valutato"/>
    <m/>
    <n v="202504237920255"/>
    <n v="2613300000045"/>
    <n v="20250423"/>
    <x v="0"/>
    <m/>
    <x v="0"/>
    <x v="0"/>
    <n v="40000"/>
    <n v="0"/>
    <n v="1600482"/>
    <s v="CCCGNN71D02A930C"/>
    <s v="CACCAVELLI GIOVANNI"/>
    <s v="600 - Famiglie consumatrici"/>
    <m/>
    <s v="086 - ITALIA"/>
    <n v="1886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446"/>
    <s v="30"/>
    <s v="Bonifico con Paese dell'intermediario della controparte a rischio"/>
    <d v="2025-04-23T00:00:00"/>
    <n v="53850"/>
    <n v="122"/>
    <s v="053850_122"/>
    <s v="Discovery Day"/>
    <s v="Mai valutato"/>
    <m/>
    <n v="202504227915508"/>
    <n v="1223300001682"/>
    <n v="20250422"/>
    <x v="0"/>
    <m/>
    <x v="0"/>
    <x v="1"/>
    <n v="35057.5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79"/>
    <s v="30"/>
    <s v="Bonifico con Paese dell'intermediario della controparte a rischio"/>
    <d v="2025-04-18T00:00:00"/>
    <n v="53850"/>
    <n v="168"/>
    <s v="053850_168"/>
    <s v="Discovery Day"/>
    <s v="Mai valutato"/>
    <m/>
    <n v="202504177906995"/>
    <n v="1683306277782"/>
    <n v="20250417"/>
    <x v="0"/>
    <m/>
    <x v="0"/>
    <x v="0"/>
    <n v="15981.88"/>
    <n v="0"/>
    <n v="3743230"/>
    <s v="LEOGRL01A20I330R"/>
    <s v="LEO GABRIELE"/>
    <s v="775 - Famiglie consumatrici di paesi non UE"/>
    <m/>
    <s v="071 - SVIZZERA"/>
    <n v="1358"/>
    <m/>
    <m/>
    <m/>
    <m/>
    <m/>
    <m/>
    <m/>
    <n v="0"/>
    <n v="202504"/>
    <s v="IN VALUTAZIONE RPR"/>
    <x v="1"/>
    <n v="1"/>
    <m/>
    <m/>
    <n v="0"/>
    <n v="999"/>
    <n v="775"/>
    <n v="775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50"/>
    <s v="30"/>
    <s v="Bonifico con Paese dell'intermediario della controparte a rischio"/>
    <d v="2025-04-18T00:00:00"/>
    <n v="53850"/>
    <n v="109"/>
    <s v="053850_109"/>
    <s v="Discovery Day"/>
    <s v="Mai valutato"/>
    <m/>
    <n v="202504177906991"/>
    <n v="1093306675356"/>
    <n v="20250417"/>
    <x v="0"/>
    <m/>
    <x v="4"/>
    <x v="0"/>
    <n v="16016"/>
    <n v="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4"/>
    <s v="ARCHIVIATA"/>
    <x v="0"/>
    <n v="1"/>
    <n v="4976123"/>
    <n v="1"/>
    <n v="0"/>
    <n v="477"/>
    <n v="430"/>
    <n v="430477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43"/>
    <s v="30"/>
    <s v="Bonifico con Paese dell'intermediario della controparte a rischio"/>
    <d v="2025-04-17T00:00:00"/>
    <n v="53850"/>
    <n v="110"/>
    <s v="053850_110"/>
    <s v="Discovery Day"/>
    <s v="Mai valutato"/>
    <m/>
    <n v="202504167903584"/>
    <n v="1103306288240"/>
    <n v="20250416"/>
    <x v="0"/>
    <m/>
    <x v="7"/>
    <x v="0"/>
    <n v="45394.39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4"/>
    <s v="ARCHIVIATA DA RPR"/>
    <x v="0"/>
    <n v="1"/>
    <m/>
    <m/>
    <n v="0"/>
    <n v="464"/>
    <n v="430"/>
    <n v="430464"/>
    <s v="Classe di rischio 4"/>
    <m/>
    <x v="3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40"/>
    <s v="30"/>
    <s v="Bonifico con Paese dell'intermediario della controparte a rischio"/>
    <d v="2025-04-17T00:00:00"/>
    <n v="53850"/>
    <n v="110"/>
    <s v="053850_110"/>
    <s v="Discovery Day"/>
    <s v="Mai valutato"/>
    <m/>
    <n v="202504167903583"/>
    <n v="1103306288240"/>
    <n v="20250416"/>
    <x v="0"/>
    <m/>
    <x v="7"/>
    <x v="0"/>
    <n v="292570.76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4"/>
    <s v="ARCHIVIATA DA RPR"/>
    <x v="0"/>
    <n v="1"/>
    <m/>
    <m/>
    <n v="0"/>
    <n v="464"/>
    <n v="430"/>
    <n v="430464"/>
    <s v="Classe di rischio 4"/>
    <m/>
    <x v="3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339"/>
    <s v="30"/>
    <s v="Bonifico con Paese dell'intermediario della controparte a rischio"/>
    <d v="2025-04-17T00:00:00"/>
    <n v="53850"/>
    <n v="109"/>
    <s v="053850_109"/>
    <s v="Discovery Day"/>
    <s v="Mai valutato"/>
    <m/>
    <n v="202504167903578"/>
    <n v="1093306675356"/>
    <n v="20250416"/>
    <x v="0"/>
    <m/>
    <x v="4"/>
    <x v="0"/>
    <n v="110000"/>
    <n v="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4"/>
    <s v="ARCHIVIATA"/>
    <x v="0"/>
    <n v="1"/>
    <n v="4976123"/>
    <n v="1"/>
    <n v="0"/>
    <n v="477"/>
    <n v="430"/>
    <n v="430477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323"/>
    <s v="30"/>
    <s v="Bonifico con Paese dell'intermediario della controparte a rischio"/>
    <d v="2025-04-17T00:00:00"/>
    <n v="53850"/>
    <n v="271"/>
    <s v="053850_271"/>
    <s v="Discovery Day"/>
    <s v="Mai valutato"/>
    <m/>
    <n v="202504167903565"/>
    <n v="2713300002851"/>
    <n v="20250416"/>
    <x v="0"/>
    <m/>
    <x v="0"/>
    <x v="0"/>
    <n v="20000"/>
    <n v="0"/>
    <n v="1681054"/>
    <s v="VRNLNR88D41G141N"/>
    <s v="VERNA ELEONORA"/>
    <s v="600 - Famiglie consumatrici"/>
    <m/>
    <s v="086 - ITALIA"/>
    <n v="1849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503"/>
    <s v="30"/>
    <s v="Bonifico con Paese dell'intermediario della controparte a rischio"/>
    <d v="2025-04-12T00:00:00"/>
    <n v="53850"/>
    <n v="102"/>
    <s v="053850_102"/>
    <s v="Discovery Day"/>
    <s v="Mai valutato"/>
    <m/>
    <n v="202504117888426"/>
    <n v="1023306274744"/>
    <n v="20250411"/>
    <x v="0"/>
    <m/>
    <x v="1"/>
    <x v="0"/>
    <n v="72027.5"/>
    <n v="0"/>
    <n v="4873420"/>
    <n v="7966910726"/>
    <s v="LA CASA DEI SOGNI SOCIETA' A RESPONSABILITA LIMITATA SEMPLIFICATA"/>
    <s v="430 - Imprese produttive"/>
    <s v="433 - COMPLETAMENTO E FINITURA DI EDIFICI"/>
    <s v="086 - ITALIA"/>
    <n v="1443"/>
    <m/>
    <m/>
    <m/>
    <m/>
    <m/>
    <m/>
    <m/>
    <n v="0"/>
    <n v="202504"/>
    <s v="ARCHIVIATA DA RPR"/>
    <x v="0"/>
    <n v="1"/>
    <m/>
    <m/>
    <n v="0"/>
    <n v="433"/>
    <n v="430"/>
    <n v="430433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499"/>
    <s v="30"/>
    <s v="Bonifico con Paese dell'intermediario della controparte a rischio"/>
    <d v="2025-04-12T00:00:00"/>
    <n v="53850"/>
    <n v="170"/>
    <s v="053850_170"/>
    <s v="Discovery Day"/>
    <s v="Mai valutato"/>
    <m/>
    <n v="202504117888432"/>
    <n v="1703306288195"/>
    <n v="20250411"/>
    <x v="0"/>
    <m/>
    <x v="1"/>
    <x v="1"/>
    <n v="342142.36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97"/>
    <s v="30"/>
    <s v="Bonifico con Paese dell'intermediario della controparte a rischio"/>
    <d v="2025-04-12T00:00:00"/>
    <n v="53850"/>
    <n v="102"/>
    <s v="053850_102"/>
    <s v="Discovery Day"/>
    <s v="Mai valutato"/>
    <m/>
    <n v="202504117888427"/>
    <n v="1023308727580"/>
    <n v="20250411"/>
    <x v="0"/>
    <m/>
    <x v="1"/>
    <x v="0"/>
    <n v="34391.019999999997"/>
    <n v="0"/>
    <n v="3727650"/>
    <n v="8924460721"/>
    <s v="MEC WELDING SERVICE SOCIETA' A RESPONSABILITA' LIMITATA SEMPLIFICATA"/>
    <s v="430 - Imprese produttive"/>
    <s v="332 - INSTALLAZIONE DI MACCHINE ED APPARECCHIATURE INDUSTRIALI"/>
    <s v="086 - ITALIA"/>
    <n v="1306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494"/>
    <s v="30"/>
    <s v="Bonifico con Paese dell'intermediario della controparte a rischio"/>
    <d v="2025-04-12T00:00:00"/>
    <n v="53850"/>
    <n v="102"/>
    <s v="053850_102"/>
    <s v="Discovery Day"/>
    <s v="Mai valutato"/>
    <m/>
    <n v="202504117888165"/>
    <n v="2583302250573"/>
    <n v="20250411"/>
    <x v="0"/>
    <m/>
    <x v="0"/>
    <x v="0"/>
    <n v="50650"/>
    <n v="0"/>
    <n v="4127428"/>
    <s v="NGRTMS74B24A225L"/>
    <s v="NIGRO TOMMASO"/>
    <s v="615 - Altre famiglie produttrici"/>
    <s v="799 - ALTRI SERVIZI DI PRENOTAZIONE E ATTIVITÀ CONNESSE"/>
    <s v="086 - ITALIA"/>
    <n v="1949"/>
    <m/>
    <m/>
    <m/>
    <m/>
    <m/>
    <m/>
    <m/>
    <n v="0"/>
    <n v="202504"/>
    <s v="ARCHIVIATA"/>
    <x v="0"/>
    <n v="1"/>
    <m/>
    <m/>
    <n v="0"/>
    <n v="999"/>
    <n v="615"/>
    <n v="615999"/>
    <m/>
    <n v="1"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457"/>
    <s v="30"/>
    <s v="Bonifico con Paese dell'intermediario della controparte a rischio"/>
    <d v="2025-04-11T00:00:00"/>
    <n v="53850"/>
    <n v="109"/>
    <s v="053850_109"/>
    <s v="Discovery Day"/>
    <s v="Mai valutato"/>
    <m/>
    <n v="202504107885321"/>
    <n v="1091147800171"/>
    <n v="20250410"/>
    <x v="0"/>
    <m/>
    <x v="0"/>
    <x v="0"/>
    <n v="110672.88"/>
    <n v="0"/>
    <n v="3173745"/>
    <n v="254810724"/>
    <s v="MORFINI S.P.A."/>
    <s v="430 - Imprese produttive"/>
    <s v="501 - TRASPORTO MARITTIMO E COSTIERO DI PASSEGGERI"/>
    <s v="086 - ITALIA"/>
    <n v="1696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448"/>
    <s v="30"/>
    <s v="Bonifico con Paese dell'intermediario della controparte a rischio"/>
    <d v="2025-04-11T00:00:00"/>
    <n v="53850"/>
    <n v="109"/>
    <s v="053850_109"/>
    <s v="Discovery Day"/>
    <s v="Mai valutato"/>
    <m/>
    <n v="202504107885308"/>
    <n v="1093306667367"/>
    <n v="20250410"/>
    <x v="0"/>
    <m/>
    <x v="4"/>
    <x v="0"/>
    <n v="66631.320000000007"/>
    <n v="0"/>
    <n v="4026861"/>
    <n v="5195820724"/>
    <s v="DOMINI S.R.L."/>
    <s v="430 - Imprese produttive"/>
    <s v="477 - COMMERCIO AL DETTAGLIO DI ALTRI PRODOTTI IN ESERCIZI SPECIALIZZATI"/>
    <s v="086 - ITALIA"/>
    <n v="1696"/>
    <m/>
    <m/>
    <m/>
    <m/>
    <m/>
    <m/>
    <m/>
    <n v="0"/>
    <n v="202504"/>
    <s v="ARCHIVIATA"/>
    <x v="0"/>
    <n v="1"/>
    <n v="4026861"/>
    <n v="1"/>
    <n v="0"/>
    <n v="477"/>
    <n v="430"/>
    <n v="430477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429"/>
    <s v="30"/>
    <s v="Bonifico con Paese dell'intermediario della controparte a rischio"/>
    <d v="2025-04-10T00:00:00"/>
    <n v="53850"/>
    <n v="175"/>
    <s v="053850_175"/>
    <s v="Discovery Day"/>
    <s v="Mai valutato"/>
    <m/>
    <n v="202504097882373"/>
    <n v="1753302203813"/>
    <n v="20250409"/>
    <x v="0"/>
    <m/>
    <x v="4"/>
    <x v="1"/>
    <n v="48889.8"/>
    <n v="0"/>
    <n v="4907691"/>
    <n v="1146400773"/>
    <s v="SPAZIO RELAX S.P.A."/>
    <s v="430 - Imprese produttive"/>
    <s v="310 - FABBRICAZIONE DI MOBILI"/>
    <s v="086 - ITALIA"/>
    <n v="1926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415"/>
    <s v="30"/>
    <s v="Bonifico con Paese dell'intermediario della controparte a rischio"/>
    <d v="2025-04-10T00:00:00"/>
    <n v="53850"/>
    <n v="102"/>
    <s v="053850_102"/>
    <s v="Discovery Day"/>
    <s v="Mai valutato"/>
    <m/>
    <n v="202504097882380"/>
    <n v="1023308727580"/>
    <n v="20250409"/>
    <x v="0"/>
    <m/>
    <x v="1"/>
    <x v="0"/>
    <n v="39920"/>
    <n v="0"/>
    <n v="3727650"/>
    <n v="8924460721"/>
    <s v="MEC WELDING SERVICE SOCIETA' A RESPONSABILITA' LIMITATA SEMPLIFICATA"/>
    <s v="430 - Imprese produttive"/>
    <s v="332 - INSTALLAZIONE DI MACCHINE ED APPARECCHIATURE INDUSTRIALI"/>
    <s v="086 - ITALIA"/>
    <n v="1306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392"/>
    <s v="30"/>
    <s v="Bonifico con Paese dell'intermediario della controparte a rischio"/>
    <d v="2025-04-09T00:00:00"/>
    <n v="53850"/>
    <n v="110"/>
    <s v="053850_110"/>
    <s v="Discovery Day"/>
    <s v="Mai valutato"/>
    <m/>
    <n v="202504087879265"/>
    <n v="1103306288240"/>
    <n v="20250408"/>
    <x v="0"/>
    <m/>
    <x v="7"/>
    <x v="0"/>
    <n v="190533.79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4"/>
    <s v="ARCHIVIATA DA RPR"/>
    <x v="0"/>
    <n v="1"/>
    <m/>
    <m/>
    <n v="0"/>
    <n v="464"/>
    <n v="430"/>
    <n v="430464"/>
    <s v="Classe di rischio 4"/>
    <m/>
    <x v="3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379"/>
    <s v="30"/>
    <s v="Bonifico con Paese dell'intermediario della controparte a rischio"/>
    <d v="2025-04-09T00:00:00"/>
    <n v="53850"/>
    <n v="125"/>
    <s v="053850_125"/>
    <s v="Discovery Day"/>
    <s v="Mai valutato"/>
    <m/>
    <n v="202504087879279"/>
    <n v="1253300003471"/>
    <n v="20250408"/>
    <x v="0"/>
    <m/>
    <x v="1"/>
    <x v="1"/>
    <n v="23319.200000000001"/>
    <n v="0"/>
    <n v="3735747"/>
    <n v="9507921212"/>
    <s v="DISTRIBUZIONE ITALIA SRL"/>
    <s v="430 - Imprese produttive"/>
    <s v="463 - COMMERCIO ALL'INGROSSO DI PRODOTTI ALIMENTARI, BEVANDE E PRODOTTI DEL TABACCO"/>
    <s v="086 - ITALIA"/>
    <m/>
    <m/>
    <m/>
    <m/>
    <m/>
    <m/>
    <m/>
    <m/>
    <n v="0"/>
    <n v="202504"/>
    <s v="ARCHIVIATA"/>
    <x v="0"/>
    <n v="1"/>
    <m/>
    <m/>
    <n v="0"/>
    <n v="463"/>
    <n v="430"/>
    <n v="430463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41"/>
    <s v="30"/>
    <s v="Bonifico con Paese dell'intermediario della controparte a rischio"/>
    <d v="2025-04-08T00:00:00"/>
    <n v="53850"/>
    <n v="141"/>
    <s v="053850_141"/>
    <s v="Discovery Day"/>
    <s v="Mai valutato"/>
    <m/>
    <n v="202504077874267"/>
    <n v="1413300003985"/>
    <n v="20250407"/>
    <x v="0"/>
    <m/>
    <x v="0"/>
    <x v="1"/>
    <n v="35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4"/>
    <s v="ARCHIVIATA"/>
    <x v="0"/>
    <n v="1"/>
    <m/>
    <m/>
    <n v="0"/>
    <n v="931"/>
    <n v="430"/>
    <n v="430931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274"/>
    <s v="30"/>
    <s v="Bonifico con Paese dell'intermediario della controparte a rischio"/>
    <d v="2025-04-05T00:00:00"/>
    <n v="53850"/>
    <n v="226"/>
    <s v="053850_226"/>
    <s v="Discovery Day"/>
    <s v="Mai valutato"/>
    <m/>
    <n v="202504047867639"/>
    <n v="1453300003928"/>
    <n v="20250404"/>
    <x v="0"/>
    <m/>
    <x v="0"/>
    <x v="0"/>
    <n v="48000"/>
    <n v="0"/>
    <n v="3726295"/>
    <n v="10503411216"/>
    <s v="MHARE S.R.L."/>
    <s v="430 - Imprese produttive"/>
    <s v="721 - RICERCA E SVILUPPO SPERIMENTALE NEL CAMPO DELLE SCIENZE NATURALI E DELL'INGEGNERIA"/>
    <s v="086 - ITALIA"/>
    <n v="1932"/>
    <m/>
    <m/>
    <m/>
    <m/>
    <m/>
    <m/>
    <m/>
    <n v="0"/>
    <n v="202504"/>
    <s v="IN CARICO AL RESPONSABILE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256"/>
    <s v="30"/>
    <s v="Bonifico con Paese dell'intermediario della controparte a rischio"/>
    <d v="2025-04-04T00:00:00"/>
    <n v="53850"/>
    <n v="136"/>
    <s v="053850_136"/>
    <s v="Discovery Day"/>
    <s v="Mai valutato"/>
    <m/>
    <n v="202504037865363"/>
    <n v="1363300004021"/>
    <n v="20250403"/>
    <x v="0"/>
    <m/>
    <x v="2"/>
    <x v="0"/>
    <n v="40161.040000000001"/>
    <n v="0"/>
    <n v="4943632"/>
    <n v="1429720749"/>
    <s v="CANTINE PAOLO LEO S.R.L."/>
    <s v="430 - Imprese produttive"/>
    <s v="110 - INDUSTRIA DELLE BEVANDE"/>
    <s v="086 - ITALIA"/>
    <n v="162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253"/>
    <s v="30"/>
    <s v="Bonifico con Paese dell'intermediario della controparte a rischio"/>
    <d v="2025-04-04T00:00:00"/>
    <n v="53850"/>
    <n v="108"/>
    <s v="053850_108"/>
    <s v="Discovery Day"/>
    <s v="Mai valutato"/>
    <m/>
    <n v="202504037865354"/>
    <n v="1081204983779"/>
    <n v="20250403"/>
    <x v="0"/>
    <m/>
    <x v="6"/>
    <x v="1"/>
    <n v="59374.89"/>
    <n v="0"/>
    <n v="4983779"/>
    <n v="5371200725"/>
    <s v="LA MITO S.R.L. DISTRIBUZIONE"/>
    <s v="430 - Imprese produttive"/>
    <s v="466 - COMMERCIO ALL'INGROSSO DI ALTRI MACCHINARI, ATTREZZATURE E FORNITURE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251"/>
    <s v="30"/>
    <s v="Bonifico con Paese dell'intermediario della controparte a rischio"/>
    <d v="2025-04-04T00:00:00"/>
    <n v="53850"/>
    <n v="108"/>
    <s v="053850_108"/>
    <s v="Discovery Day"/>
    <s v="Mai valutato"/>
    <m/>
    <n v="202504037865352"/>
    <n v="1081204983779"/>
    <n v="20250403"/>
    <x v="0"/>
    <m/>
    <x v="6"/>
    <x v="1"/>
    <n v="52214.11"/>
    <n v="0"/>
    <n v="4983779"/>
    <n v="5371200725"/>
    <s v="LA MITO S.R.L. DISTRIBUZIONE"/>
    <s v="430 - Imprese produttive"/>
    <s v="466 - COMMERCIO ALL'INGROSSO DI ALTRI MACCHINARI, ATTREZZATURE E FORNITURE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50"/>
    <s v="30"/>
    <s v="Bonifico con Paese dell'intermediario della controparte a rischio"/>
    <d v="2025-04-04T00:00:00"/>
    <n v="53850"/>
    <n v="108"/>
    <s v="053850_108"/>
    <s v="Discovery Day"/>
    <s v="Mai valutato"/>
    <m/>
    <n v="202504037865358"/>
    <n v="1081204983779"/>
    <n v="20250403"/>
    <x v="0"/>
    <m/>
    <x v="6"/>
    <x v="1"/>
    <n v="185695.42"/>
    <n v="0"/>
    <n v="4983779"/>
    <n v="5371200725"/>
    <s v="LA MITO S.R.L. DISTRIBUZIONE"/>
    <s v="430 - Imprese produttive"/>
    <s v="466 - COMMERCIO ALL'INGROSSO DI ALTRI MACCHINARI, ATTREZZATURE E FORNITURE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247"/>
    <s v="30"/>
    <s v="Bonifico con Paese dell'intermediario della controparte a rischio"/>
    <d v="2025-04-04T00:00:00"/>
    <n v="53850"/>
    <n v="108"/>
    <s v="053850_108"/>
    <s v="Discovery Day"/>
    <s v="Mai valutato"/>
    <m/>
    <n v="202504037865350"/>
    <n v="1081204983779"/>
    <n v="20250403"/>
    <x v="0"/>
    <m/>
    <x v="6"/>
    <x v="1"/>
    <n v="49568.19"/>
    <n v="0"/>
    <n v="4983779"/>
    <n v="5371200725"/>
    <s v="LA MITO S.R.L. DISTRIBUZIONE"/>
    <s v="430 - Imprese produttive"/>
    <s v="466 - COMMERCIO ALL'INGROSSO DI ALTRI MACCHINARI, ATTREZZATURE E FORNITURE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29244"/>
    <s v="30"/>
    <s v="Bonifico con Paese dell'intermediario della controparte a rischio"/>
    <d v="2025-04-04T00:00:00"/>
    <n v="53850"/>
    <n v="103"/>
    <s v="053850_103"/>
    <s v="Discovery Day"/>
    <s v="Mai valutato"/>
    <m/>
    <n v="202504037865347"/>
    <n v="1033306976736"/>
    <n v="20250403"/>
    <x v="0"/>
    <m/>
    <x v="2"/>
    <x v="0"/>
    <n v="48601"/>
    <n v="0"/>
    <n v="4127133"/>
    <n v="5762170727"/>
    <s v="FORM DESIGN S.R.L."/>
    <s v="430 - Imprese produttive"/>
    <s v="310 - FABBRICAZIONE DI MOBILI"/>
    <s v="086 - ITALIA"/>
    <n v="739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203"/>
    <s v="30"/>
    <s v="Bonifico con Paese dell'intermediario della controparte a rischio"/>
    <d v="2025-04-03T00:00:00"/>
    <n v="53850"/>
    <n v="175"/>
    <s v="053850_175"/>
    <s v="Discovery Day"/>
    <s v="Mai valutato"/>
    <m/>
    <n v="202504027862311"/>
    <n v="1753302203813"/>
    <n v="20250402"/>
    <x v="0"/>
    <m/>
    <x v="4"/>
    <x v="1"/>
    <n v="241232.45"/>
    <n v="0"/>
    <n v="4907691"/>
    <n v="1146400773"/>
    <s v="SPAZIO RELAX S.P.A."/>
    <s v="430 - Imprese produttive"/>
    <s v="310 - FABBRICAZIONE DI MOBILI"/>
    <s v="086 - ITALIA"/>
    <n v="1926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199"/>
    <s v="30"/>
    <s v="Bonifico con Paese dell'intermediario della controparte a rischio"/>
    <d v="2025-04-03T00:00:00"/>
    <n v="53850"/>
    <n v="148"/>
    <s v="053850_148"/>
    <s v="Discovery Day"/>
    <s v="Mai valutato"/>
    <m/>
    <n v="202504027862309"/>
    <n v="1483300003872"/>
    <n v="20250402"/>
    <x v="0"/>
    <m/>
    <x v="4"/>
    <x v="0"/>
    <n v="18885.599999999999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87"/>
    <s v="30"/>
    <s v="Bonifico con Paese dell'intermediario della controparte a rischio"/>
    <d v="2025-04-02T00:00:00"/>
    <n v="53850"/>
    <n v="149"/>
    <s v="053850_149"/>
    <s v="Discovery Day"/>
    <s v="Mai valutato"/>
    <m/>
    <n v="202504017858292"/>
    <n v="1493300662197"/>
    <n v="20250401"/>
    <x v="0"/>
    <m/>
    <x v="4"/>
    <x v="1"/>
    <n v="5000"/>
    <n v="0"/>
    <n v="4636425"/>
    <n v="6517081219"/>
    <s v="LOLLY &amp; CO. S.R.L."/>
    <s v="430 - Imprese produttive"/>
    <s v="151 - PREPARAZIONE E CONCIA DEL CUOIO, FABBRICAZIONE DI ARTICOLI DA VIAGGIO, BORSE, PELLETTERIA E SELLERIA, PREPARAZIONE E TINTURA DI PELLICCE"/>
    <s v="086 - ITALIA"/>
    <n v="1256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86"/>
    <s v="30"/>
    <s v="Bonifico con Paese dell'intermediario della controparte a rischio"/>
    <d v="2025-04-02T00:00:00"/>
    <n v="53850"/>
    <n v="270"/>
    <s v="053850_270"/>
    <s v="Discovery Day"/>
    <s v="Mai valutato"/>
    <m/>
    <n v="202504017858297"/>
    <n v="2703300010876"/>
    <n v="20250401"/>
    <x v="0"/>
    <m/>
    <x v="0"/>
    <x v="0"/>
    <n v="132253.26"/>
    <n v="0"/>
    <n v="3741353"/>
    <s v="LNZGPP72C63E243R"/>
    <s v="LEONZIO GIUSEPPINA"/>
    <s v="775 - Famiglie consumatrici di paesi non UE"/>
    <m/>
    <s v="071 - SVIZZERA"/>
    <n v="1809"/>
    <m/>
    <m/>
    <m/>
    <m/>
    <m/>
    <m/>
    <m/>
    <n v="0"/>
    <n v="202504"/>
    <s v="ARCHIVIATA"/>
    <x v="0"/>
    <n v="1"/>
    <m/>
    <m/>
    <n v="0"/>
    <n v="999"/>
    <n v="775"/>
    <n v="775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183"/>
    <s v="30"/>
    <s v="Bonifico con Paese dell'intermediario della controparte a rischio"/>
    <d v="2025-04-02T00:00:00"/>
    <n v="53850"/>
    <n v="140"/>
    <s v="053850_140"/>
    <s v="Discovery Day"/>
    <s v="Mai valutato"/>
    <m/>
    <n v="202504017857376"/>
    <n v="1403300003116"/>
    <n v="20250401"/>
    <x v="0"/>
    <m/>
    <x v="8"/>
    <x v="0"/>
    <n v="20000"/>
    <n v="0"/>
    <n v="4089951"/>
    <s v="CRFGPP48C20F842N"/>
    <s v="CARAFA GIUSEPPE"/>
    <s v="600 - Famiglie consumatrici"/>
    <m/>
    <s v="086 - ITALIA"/>
    <n v="140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179"/>
    <s v="30"/>
    <s v="Bonifico con Paese dell'intermediario della controparte a rischio"/>
    <d v="2025-04-02T00:00:00"/>
    <n v="53850"/>
    <n v="140"/>
    <s v="053850_140"/>
    <s v="Discovery Day"/>
    <s v="Mai valutato"/>
    <m/>
    <n v="202504017857376"/>
    <n v="1403300003116"/>
    <n v="20250401"/>
    <x v="0"/>
    <m/>
    <x v="8"/>
    <x v="0"/>
    <n v="20000"/>
    <n v="0"/>
    <n v="4090758"/>
    <s v="CTLCCF50E43F842C"/>
    <s v="CATALDI CROCEFISSA"/>
    <s v="600 - Famiglie consumatrici"/>
    <m/>
    <s v="086 - ITALIA"/>
    <n v="140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167"/>
    <s v="30"/>
    <s v="Bonifico con Paese dell'intermediario della controparte a rischio"/>
    <d v="2025-04-02T00:00:00"/>
    <n v="53850"/>
    <n v="270"/>
    <s v="053850_270"/>
    <s v="Discovery Day"/>
    <s v="Mai valutato"/>
    <m/>
    <n v="202504017858299"/>
    <n v="2703300010876"/>
    <n v="20250401"/>
    <x v="0"/>
    <m/>
    <x v="0"/>
    <x v="0"/>
    <n v="22180.77"/>
    <n v="0"/>
    <n v="3741353"/>
    <s v="LNZGPP72C63E243R"/>
    <s v="LEONZIO GIUSEPPINA"/>
    <s v="775 - Famiglie consumatrici di paesi non UE"/>
    <m/>
    <s v="071 - SVIZZERA"/>
    <n v="1809"/>
    <m/>
    <m/>
    <m/>
    <m/>
    <m/>
    <m/>
    <m/>
    <n v="0"/>
    <n v="202504"/>
    <s v="ARCHIVIATA"/>
    <x v="0"/>
    <n v="1"/>
    <m/>
    <m/>
    <n v="0"/>
    <n v="999"/>
    <n v="775"/>
    <n v="775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29161"/>
    <s v="30"/>
    <s v="Bonifico con Paese dell'intermediario della controparte a rischio"/>
    <d v="2025-04-02T00:00:00"/>
    <n v="53850"/>
    <n v="270"/>
    <s v="053850_270"/>
    <s v="Discovery Day"/>
    <s v="Mai valutato"/>
    <m/>
    <n v="202504017858298"/>
    <n v="2703300010876"/>
    <n v="20250401"/>
    <x v="0"/>
    <m/>
    <x v="0"/>
    <x v="0"/>
    <n v="38228.06"/>
    <n v="0"/>
    <n v="3741353"/>
    <s v="LNZGPP72C63E243R"/>
    <s v="LEONZIO GIUSEPPINA"/>
    <s v="775 - Famiglie consumatrici di paesi non UE"/>
    <m/>
    <s v="071 - SVIZZERA"/>
    <n v="1809"/>
    <m/>
    <m/>
    <m/>
    <m/>
    <m/>
    <m/>
    <m/>
    <n v="0"/>
    <n v="202504"/>
    <s v="ARCHIVIATA"/>
    <x v="0"/>
    <n v="1"/>
    <m/>
    <m/>
    <n v="0"/>
    <n v="999"/>
    <n v="775"/>
    <n v="775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514"/>
    <s v="30"/>
    <s v="Bonifico con Paese dell'intermediario della controparte a rischio"/>
    <d v="2025-05-31T00:00:00"/>
    <n v="53850"/>
    <n v="104"/>
    <s v="053850_104"/>
    <s v="Discovery Day"/>
    <s v="Mai valutato"/>
    <m/>
    <n v="202505308025935"/>
    <n v="1041204801448"/>
    <n v="20250530"/>
    <x v="0"/>
    <m/>
    <x v="6"/>
    <x v="1"/>
    <n v="50000"/>
    <n v="0"/>
    <n v="4801448"/>
    <n v="7244980723"/>
    <s v="FEELING MODE SOCIETA' A RESPONSABILITA' LIMI"/>
    <s v="430 - Imprese produttive"/>
    <s v="141 - CONFEZIONE DI ARTICOLI DI ABBIGLIAMENTO (ESCLUSO ABBIGLIAMENTO IN PELLICCIA)"/>
    <s v="086 - ITALIA"/>
    <n v="727"/>
    <m/>
    <m/>
    <m/>
    <m/>
    <m/>
    <m/>
    <m/>
    <n v="0"/>
    <n v="202505"/>
    <m/>
    <x v="1"/>
    <n v="1"/>
    <m/>
    <m/>
    <n v="0"/>
    <n v="999"/>
    <n v="430"/>
    <n v="430999"/>
    <m/>
    <n v="1"/>
    <x v="1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442"/>
    <s v="30"/>
    <s v="Bonifico con Paese dell'intermediario della controparte a rischio"/>
    <d v="2025-05-29T00:00:00"/>
    <n v="53850"/>
    <n v="170"/>
    <s v="053850_170"/>
    <s v="Discovery Day"/>
    <s v="Mai valutato"/>
    <m/>
    <n v="202505288019287"/>
    <n v="1703306288195"/>
    <n v="20250528"/>
    <x v="0"/>
    <m/>
    <x v="1"/>
    <x v="1"/>
    <n v="1236943.99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16"/>
    <s v="30"/>
    <s v="Bonifico con Paese dell'intermediario della controparte a rischio"/>
    <d v="2025-05-29T00:00:00"/>
    <n v="53850"/>
    <n v="110"/>
    <s v="053850_110"/>
    <s v="Discovery Day"/>
    <s v="Mai valutato"/>
    <m/>
    <n v="202505288019279"/>
    <n v="1103306288240"/>
    <n v="20250528"/>
    <x v="0"/>
    <m/>
    <x v="7"/>
    <x v="0"/>
    <n v="35255.730000000003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5"/>
    <s v="ARCHIVIATA DA RPR"/>
    <x v="0"/>
    <n v="1"/>
    <m/>
    <m/>
    <n v="0"/>
    <n v="464"/>
    <n v="430"/>
    <n v="430464"/>
    <s v="Classe di rischio 4"/>
    <m/>
    <x v="3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64"/>
    <s v="30"/>
    <s v="Bonifico con Paese dell'intermediario della controparte a rischio"/>
    <d v="2025-05-27T00:00:00"/>
    <n v="53850"/>
    <n v="141"/>
    <s v="053850_141"/>
    <s v="Discovery Day"/>
    <s v="Mai valutato"/>
    <m/>
    <n v="202505268011348"/>
    <n v="1413300003985"/>
    <n v="20250526"/>
    <x v="0"/>
    <m/>
    <x v="0"/>
    <x v="1"/>
    <n v="28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s v="ARCHIVIATA"/>
    <x v="0"/>
    <n v="1"/>
    <m/>
    <m/>
    <n v="0"/>
    <n v="931"/>
    <n v="430"/>
    <n v="430931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285"/>
    <s v="30"/>
    <s v="Bonifico con Paese dell'intermediario della controparte a rischio"/>
    <d v="2025-05-24T00:00:00"/>
    <n v="53850"/>
    <n v="131"/>
    <s v="053850_131"/>
    <s v="Discovery Day"/>
    <s v="Mai valutato"/>
    <m/>
    <n v="202505238005502"/>
    <n v="1313300004533"/>
    <n v="20250523"/>
    <x v="0"/>
    <m/>
    <x v="0"/>
    <x v="0"/>
    <n v="42006.79"/>
    <n v="0"/>
    <n v="3739148"/>
    <s v="FRNDRS57D59Z131E"/>
    <s v="FERNANDEZ ESCOBAR DOLORES"/>
    <s v="600 - Famiglie consumatrici"/>
    <m/>
    <s v="086 - ITALIA"/>
    <m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280"/>
    <s v="30"/>
    <s v="Bonifico con Paese dell'intermediario della controparte a rischio"/>
    <d v="2025-05-24T00:00:00"/>
    <n v="53850"/>
    <n v="131"/>
    <s v="053850_131"/>
    <s v="Discovery Day"/>
    <s v="Mai valutato"/>
    <m/>
    <n v="202505238005502"/>
    <n v="1313300004533"/>
    <n v="20250523"/>
    <x v="0"/>
    <m/>
    <x v="0"/>
    <x v="0"/>
    <n v="42006.79"/>
    <n v="0"/>
    <n v="3739153"/>
    <s v="MRACMN64P17H831I"/>
    <s v="MARE CARMINE DONATO"/>
    <s v="600 - Famiglie consumatrici"/>
    <m/>
    <s v="086 - ITALIA"/>
    <m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266"/>
    <s v="30"/>
    <s v="Bonifico con Paese dell'intermediario della controparte a rischio"/>
    <d v="2025-05-23T00:00:00"/>
    <n v="53850"/>
    <n v="175"/>
    <s v="053850_175"/>
    <s v="Discovery Day"/>
    <s v="Mai valutato"/>
    <m/>
    <n v="202505228002785"/>
    <n v="1753302203813"/>
    <n v="20250522"/>
    <x v="0"/>
    <m/>
    <x v="4"/>
    <x v="1"/>
    <n v="139939.23000000001"/>
    <n v="0"/>
    <n v="4907691"/>
    <n v="1146400773"/>
    <s v="SPAZIO RELAX S.P.A."/>
    <s v="430 - Imprese produttive"/>
    <s v="310 - FABBRICAZIONE DI MOBILI"/>
    <s v="086 - ITALIA"/>
    <n v="192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64"/>
    <s v="30"/>
    <s v="Bonifico con Paese dell'intermediario della controparte a rischio"/>
    <d v="2025-05-23T00:00:00"/>
    <n v="53850"/>
    <n v="161"/>
    <s v="053850_161"/>
    <s v="Discovery Day"/>
    <s v="Mai valutato"/>
    <m/>
    <n v="202505228002778"/>
    <n v="1613300031507"/>
    <n v="20250522"/>
    <x v="0"/>
    <m/>
    <x v="4"/>
    <x v="1"/>
    <n v="34358.129999999997"/>
    <n v="0"/>
    <n v="4604262"/>
    <s v="PZZNTN80R28A662J"/>
    <s v="PIZZI ANTONIO"/>
    <s v="615 - Altre famiglie produttrici"/>
    <s v="479 - COMMERCIO AL DETTAGLIO AL DI FUORI DI NEGOZI, BANCHI E MERCATI"/>
    <s v="086 - ITALIA"/>
    <n v="1118"/>
    <m/>
    <m/>
    <m/>
    <m/>
    <m/>
    <m/>
    <m/>
    <n v="0"/>
    <n v="202505"/>
    <s v="ARCHIVIATA"/>
    <x v="0"/>
    <n v="1"/>
    <m/>
    <m/>
    <n v="0"/>
    <n v="999"/>
    <n v="615"/>
    <n v="615999"/>
    <m/>
    <n v="1"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261"/>
    <s v="30"/>
    <s v="Bonifico con Paese dell'intermediario della controparte a rischio"/>
    <d v="2025-05-23T00:00:00"/>
    <n v="53850"/>
    <n v="141"/>
    <s v="053850_141"/>
    <s v="Discovery Day"/>
    <s v="Mai valutato"/>
    <m/>
    <n v="202505228001380"/>
    <n v="1413300003985"/>
    <n v="20250522"/>
    <x v="0"/>
    <m/>
    <x v="0"/>
    <x v="1"/>
    <n v="34989.089999999997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s v="ARCHIVIATA"/>
    <x v="0"/>
    <n v="1"/>
    <m/>
    <m/>
    <n v="0"/>
    <n v="931"/>
    <n v="430"/>
    <n v="430931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249"/>
    <s v="30"/>
    <s v="Bonifico con Paese dell'intermediario della controparte a rischio"/>
    <d v="2025-05-23T00:00:00"/>
    <n v="53850"/>
    <n v="148"/>
    <s v="053850_148"/>
    <s v="Discovery Day"/>
    <s v="Mai valutato"/>
    <m/>
    <n v="202505228002777"/>
    <n v="1483300003872"/>
    <n v="20250522"/>
    <x v="0"/>
    <m/>
    <x v="4"/>
    <x v="0"/>
    <n v="19180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35"/>
    <s v="30"/>
    <s v="Bonifico con Paese dell'intermediario della controparte a rischio"/>
    <d v="2025-05-23T00:00:00"/>
    <n v="53850"/>
    <n v="170"/>
    <s v="053850_170"/>
    <s v="Discovery Day"/>
    <s v="Mai valutato"/>
    <m/>
    <n v="202505228002783"/>
    <n v="1703306286085"/>
    <n v="20250522"/>
    <x v="0"/>
    <m/>
    <x v="9"/>
    <x v="1"/>
    <n v="20000"/>
    <n v="0"/>
    <n v="4264592"/>
    <n v="90059390725"/>
    <s v="INSIEME PER L'AFRICA - ONLUS"/>
    <s v="501 - Istituzioni ed enti con finalita' di assistenza, beneficenza, istruzione, culturali, sindacali, politiche, sportive, ricreative e simili"/>
    <m/>
    <s v="086 - ITALIA"/>
    <n v="694"/>
    <m/>
    <m/>
    <m/>
    <m/>
    <m/>
    <m/>
    <m/>
    <n v="0"/>
    <n v="202505"/>
    <s v="IN VALUTAZIONE RPR"/>
    <x v="1"/>
    <n v="1"/>
    <m/>
    <m/>
    <n v="0"/>
    <n v="999"/>
    <n v="501"/>
    <n v="501999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143"/>
    <s v="30"/>
    <s v="Bonifico con Paese dell'intermediario della controparte a rischio"/>
    <d v="2025-05-20T00:00:00"/>
    <n v="53850"/>
    <n v="104"/>
    <s v="053850_104"/>
    <s v="Discovery Day"/>
    <s v="Mai valutato"/>
    <m/>
    <n v="202505197992867"/>
    <n v="1041204046489"/>
    <n v="20250519"/>
    <x v="0"/>
    <m/>
    <x v="4"/>
    <x v="1"/>
    <n v="55951.3"/>
    <n v="0"/>
    <n v="4046489"/>
    <n v="5063080724"/>
    <s v="NEWAGE S.P.A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118"/>
    <s v="30"/>
    <s v="Bonifico con Paese dell'intermediario della controparte a rischio"/>
    <d v="2025-05-17T00:00:00"/>
    <n v="53850"/>
    <n v="191"/>
    <s v="053850_191"/>
    <s v="Discovery Day"/>
    <s v="Mai valutato"/>
    <m/>
    <n v="202505167986944"/>
    <n v="1913300069010"/>
    <n v="20250516"/>
    <x v="0"/>
    <m/>
    <x v="0"/>
    <x v="1"/>
    <n v="230000"/>
    <n v="0"/>
    <n v="4067141"/>
    <s v="RSSNNA50P49E882S"/>
    <s v="ROSSETTI ANNA"/>
    <s v="775 - Famiglie consumatrici di paesi non UE"/>
    <m/>
    <s v="071 - SVIZZERA"/>
    <n v="517"/>
    <m/>
    <m/>
    <m/>
    <m/>
    <m/>
    <m/>
    <m/>
    <n v="0"/>
    <n v="202505"/>
    <s v="IN VALUTAZIONE RPR"/>
    <x v="1"/>
    <n v="1"/>
    <m/>
    <m/>
    <n v="0"/>
    <n v="999"/>
    <n v="775"/>
    <n v="775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85"/>
    <s v="30"/>
    <s v="Bonifico con Paese dell'intermediario della controparte a rischio"/>
    <d v="2025-05-17T00:00:00"/>
    <n v="53850"/>
    <n v="174"/>
    <s v="053850_174"/>
    <s v="Discovery Day"/>
    <s v="Mai valutato"/>
    <m/>
    <n v="202505167985187"/>
    <n v="1743302880339"/>
    <n v="20250516"/>
    <x v="0"/>
    <m/>
    <x v="10"/>
    <x v="0"/>
    <n v="25000"/>
    <n v="0"/>
    <n v="4969332"/>
    <n v="9411491211"/>
    <s v="VESUVIOTOUR S.R.L.S."/>
    <s v="430 - Imprese produttive"/>
    <s v="552 - ALLOGGI PER VACANZE E ALTRE STRUTTURE PER BREVI SOGGIORNI"/>
    <s v="086 - ITALIA"/>
    <n v="502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084"/>
    <s v="30"/>
    <s v="Bonifico con Paese dell'intermediario della controparte a rischio"/>
    <d v="2025-05-17T00:00:00"/>
    <n v="53850"/>
    <n v="105"/>
    <s v="053850_105"/>
    <s v="Discovery Day"/>
    <s v="Mai valutato"/>
    <m/>
    <n v="202505167985176"/>
    <n v="1053300176050"/>
    <n v="20250516"/>
    <x v="0"/>
    <m/>
    <x v="6"/>
    <x v="1"/>
    <n v="660031.41"/>
    <n v="0"/>
    <n v="17605"/>
    <n v="261350722"/>
    <s v="AC BOILERS S.P.A."/>
    <s v="430 - Imprese produttive"/>
    <s v="282 - FABBRICAZIONE DI ALTRE MACCHINE DI IMPIEGO GENERALE"/>
    <s v="086 - ITALIA"/>
    <n v="1058"/>
    <m/>
    <m/>
    <m/>
    <m/>
    <m/>
    <m/>
    <m/>
    <n v="0"/>
    <n v="202505"/>
    <s v="IN CARICO AL GESTORE"/>
    <x v="1"/>
    <n v="1"/>
    <m/>
    <m/>
    <n v="0"/>
    <n v="999"/>
    <n v="430"/>
    <n v="430999"/>
    <m/>
    <n v="1"/>
    <x v="1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75"/>
    <s v="30"/>
    <s v="Bonifico con Paese dell'intermediario della controparte a rischio"/>
    <d v="2025-05-16T00:00:00"/>
    <n v="53850"/>
    <n v="102"/>
    <s v="053850_102"/>
    <s v="Discovery Day"/>
    <s v="Mai valutato"/>
    <m/>
    <n v="202505157982041"/>
    <n v="2583302250573"/>
    <n v="20250515"/>
    <x v="0"/>
    <m/>
    <x v="0"/>
    <x v="0"/>
    <n v="24000"/>
    <n v="0"/>
    <n v="4127428"/>
    <s v="NGRTMS74B24A225L"/>
    <s v="NIGRO TOMMASO"/>
    <s v="615 - Altre famiglie produttrici"/>
    <s v="799 - ALTRI SERVIZI DI PRENOTAZIONE E ATTIVITÀ CONNESSE"/>
    <s v="086 - ITALIA"/>
    <n v="1949"/>
    <m/>
    <m/>
    <m/>
    <m/>
    <m/>
    <m/>
    <m/>
    <n v="0"/>
    <n v="202505"/>
    <s v="ARCHIVIATA"/>
    <x v="0"/>
    <n v="1"/>
    <n v="4127428"/>
    <n v="1"/>
    <n v="0"/>
    <n v="999"/>
    <n v="615"/>
    <n v="615999"/>
    <m/>
    <n v="1"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049"/>
    <s v="30"/>
    <s v="Bonifico con Paese dell'intermediario della controparte a rischio"/>
    <d v="2025-05-16T00:00:00"/>
    <n v="53850"/>
    <n v="110"/>
    <s v="053850_110"/>
    <s v="Discovery Day"/>
    <s v="Mai valutato"/>
    <m/>
    <n v="202505157982165"/>
    <n v="1103306288240"/>
    <n v="20250515"/>
    <x v="0"/>
    <m/>
    <x v="7"/>
    <x v="0"/>
    <n v="298635.90999999997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5"/>
    <s v="ARCHIVIATA DA RPR"/>
    <x v="0"/>
    <n v="1"/>
    <m/>
    <m/>
    <n v="0"/>
    <n v="464"/>
    <n v="430"/>
    <n v="430464"/>
    <s v="Classe di rischio 4"/>
    <m/>
    <x v="3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31"/>
    <s v="30"/>
    <s v="Bonifico con Paese dell'intermediario della controparte a rischio"/>
    <d v="2025-05-15T00:00:00"/>
    <n v="53850"/>
    <n v="109"/>
    <s v="053850_109"/>
    <s v="Discovery Day"/>
    <s v="Mai valutato"/>
    <m/>
    <n v="202505147979164"/>
    <n v="1093306667367"/>
    <n v="20250514"/>
    <x v="0"/>
    <m/>
    <x v="4"/>
    <x v="0"/>
    <n v="51994.49"/>
    <n v="0"/>
    <n v="4026861"/>
    <n v="5195820724"/>
    <s v="DOMINI S.R.L."/>
    <s v="430 - Imprese produttive"/>
    <s v="477 - COMMERCIO AL DETTAGLIO DI ALTRI PRODOTTI IN ESERCIZI SPECIALIZZATI"/>
    <s v="086 - ITALIA"/>
    <n v="1696"/>
    <m/>
    <m/>
    <m/>
    <m/>
    <m/>
    <m/>
    <m/>
    <n v="0"/>
    <n v="202505"/>
    <s v="ARCHIVIATA"/>
    <x v="0"/>
    <n v="1"/>
    <n v="4026861"/>
    <n v="1"/>
    <n v="0"/>
    <n v="477"/>
    <n v="430"/>
    <n v="430477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013"/>
    <s v="30"/>
    <s v="Bonifico con Paese dell'intermediario della controparte a rischio"/>
    <d v="2025-05-15T00:00:00"/>
    <n v="53850"/>
    <n v="140"/>
    <s v="053850_140"/>
    <s v="Discovery Day"/>
    <s v="Mai valutato"/>
    <m/>
    <n v="202505147979180"/>
    <n v="1403300003116"/>
    <n v="20250514"/>
    <x v="0"/>
    <m/>
    <x v="8"/>
    <x v="0"/>
    <n v="18942.89"/>
    <n v="0"/>
    <n v="4089951"/>
    <s v="CRFGPP48C20F842N"/>
    <s v="CARAFA GIUSEPPE"/>
    <s v="600 - Famiglie consumatrici"/>
    <m/>
    <s v="086 - ITALIA"/>
    <n v="140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99"/>
    <s v="30"/>
    <s v="Bonifico con Paese dell'intermediario della controparte a rischio"/>
    <d v="2025-05-15T00:00:00"/>
    <n v="53850"/>
    <n v="140"/>
    <s v="053850_140"/>
    <s v="Discovery Day"/>
    <s v="Mai valutato"/>
    <m/>
    <n v="202505147979180"/>
    <n v="1403300003116"/>
    <n v="20250514"/>
    <x v="0"/>
    <m/>
    <x v="8"/>
    <x v="0"/>
    <n v="18942.89"/>
    <n v="0"/>
    <n v="4090758"/>
    <s v="CTLCCF50E43F842C"/>
    <s v="CATALDI CROCEFISSA"/>
    <s v="600 - Famiglie consumatrici"/>
    <m/>
    <s v="086 - ITALIA"/>
    <n v="140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5"/>
    <s v="30"/>
    <s v="Bonifico con Paese dell'intermediario della controparte a rischio"/>
    <d v="2025-05-14T00:00:00"/>
    <n v="53850"/>
    <n v="102"/>
    <s v="053850_102"/>
    <s v="Discovery Day"/>
    <s v="Mai valutato"/>
    <m/>
    <n v="202505137975485"/>
    <n v="1023308723686"/>
    <n v="20250513"/>
    <x v="0"/>
    <m/>
    <x v="0"/>
    <x v="0"/>
    <n v="50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5"/>
    <s v="ARCHIVIATA"/>
    <x v="0"/>
    <n v="1"/>
    <m/>
    <m/>
    <n v="0"/>
    <n v="999"/>
    <n v="615"/>
    <n v="615999"/>
    <m/>
    <n v="1"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7979"/>
    <s v="30"/>
    <s v="Bonifico con Paese dell'intermediario della controparte a rischio"/>
    <d v="2025-05-14T00:00:00"/>
    <n v="53850"/>
    <n v="102"/>
    <s v="053850_102"/>
    <s v="Discovery Day"/>
    <s v="Mai valutato"/>
    <m/>
    <n v="202505137975252"/>
    <n v="1023308723686"/>
    <n v="20250513"/>
    <x v="0"/>
    <m/>
    <x v="0"/>
    <x v="0"/>
    <n v="30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5"/>
    <s v="ARCHIVIATA"/>
    <x v="0"/>
    <n v="1"/>
    <m/>
    <m/>
    <n v="0"/>
    <n v="999"/>
    <n v="615"/>
    <n v="615999"/>
    <m/>
    <n v="1"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7978"/>
    <s v="30"/>
    <s v="Bonifico con Paese dell'intermediario della controparte a rischio"/>
    <d v="2025-05-14T00:00:00"/>
    <n v="53850"/>
    <n v="131"/>
    <s v="053850_131"/>
    <s v="Discovery Day"/>
    <s v="Mai valutato"/>
    <m/>
    <n v="202505137976926"/>
    <n v="1313300004532"/>
    <n v="20250513"/>
    <x v="0"/>
    <m/>
    <x v="0"/>
    <x v="1"/>
    <n v="15666.67"/>
    <n v="0"/>
    <n v="3739170"/>
    <s v="GGLDNL97R31E919P"/>
    <s v="GIGLIO DANIELE"/>
    <s v="600 - Famiglie consumatrici"/>
    <m/>
    <s v="086 - ITALIA"/>
    <n v="915"/>
    <m/>
    <m/>
    <m/>
    <m/>
    <m/>
    <m/>
    <m/>
    <n v="0"/>
    <n v="202505"/>
    <s v="IN CARICO AL GESTORE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75"/>
    <s v="30"/>
    <s v="Bonifico con Paese dell'intermediario della controparte a rischio"/>
    <d v="2025-05-14T00:00:00"/>
    <n v="53850"/>
    <n v="131"/>
    <s v="053850_131"/>
    <s v="Discovery Day"/>
    <s v="Mai valutato"/>
    <m/>
    <n v="202505137976927"/>
    <n v="1313300004532"/>
    <n v="20250513"/>
    <x v="0"/>
    <m/>
    <x v="0"/>
    <x v="1"/>
    <n v="28666.66"/>
    <n v="0"/>
    <n v="3739170"/>
    <s v="GGLDNL97R31E919P"/>
    <s v="GIGLIO DANIELE"/>
    <s v="600 - Famiglie consumatrici"/>
    <m/>
    <s v="086 - ITALIA"/>
    <n v="915"/>
    <m/>
    <m/>
    <m/>
    <m/>
    <m/>
    <m/>
    <m/>
    <n v="0"/>
    <n v="202505"/>
    <s v="IN CARICO AL GESTORE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74"/>
    <s v="30"/>
    <s v="Bonifico con Paese dell'intermediario della controparte a rischio"/>
    <d v="2025-05-14T00:00:00"/>
    <n v="53850"/>
    <n v="226"/>
    <s v="053850_226"/>
    <s v="Discovery Day"/>
    <s v="Mai valutato"/>
    <m/>
    <n v="202505137975650"/>
    <n v="2263300011935"/>
    <n v="20250513"/>
    <x v="0"/>
    <m/>
    <x v="2"/>
    <x v="1"/>
    <n v="20007.37"/>
    <n v="0"/>
    <n v="3715508"/>
    <n v="5330180729"/>
    <s v="EDWARD SPOSA S.A.S. DI VINO ANTONIA &amp; C."/>
    <s v="492 - Quasi societa' non finanziarie altre - Unita' o societa' con meno di 20 addetti"/>
    <s v="477 - COMMERCIO AL DETTAGLIO DI ALTRI PRODOTTI IN ESERCIZI SPECIALIZZATI"/>
    <s v="086 - ITALIA"/>
    <n v="1932"/>
    <m/>
    <m/>
    <m/>
    <m/>
    <m/>
    <m/>
    <m/>
    <n v="0"/>
    <n v="202505"/>
    <s v="IN VALUTAZIONE RPR"/>
    <x v="1"/>
    <n v="1"/>
    <m/>
    <m/>
    <n v="0"/>
    <n v="477"/>
    <n v="492"/>
    <n v="492477"/>
    <s v="Classe di rischio 5"/>
    <m/>
    <x v="4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7972"/>
    <s v="30"/>
    <s v="Bonifico con Paese dell'intermediario della controparte a rischio"/>
    <d v="2025-05-14T00:00:00"/>
    <n v="53850"/>
    <n v="148"/>
    <s v="053850_148"/>
    <s v="Discovery Day"/>
    <s v="Mai valutato"/>
    <m/>
    <n v="202505137973801"/>
    <n v="1483303001176"/>
    <n v="20250513"/>
    <x v="0"/>
    <m/>
    <x v="0"/>
    <x v="1"/>
    <n v="25000"/>
    <n v="0"/>
    <n v="2012964"/>
    <s v="LGRMSM55B16A783Q"/>
    <s v="LIGUORI MASSIMINO"/>
    <s v="600 - Famiglie consumatrici"/>
    <m/>
    <s v="086 - ITALIA"/>
    <n v="163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7965"/>
    <s v="30"/>
    <s v="Bonifico con Paese dell'intermediario della controparte a rischio"/>
    <d v="2025-05-14T00:00:00"/>
    <n v="53850"/>
    <n v="103"/>
    <s v="053850_103"/>
    <s v="Discovery Day"/>
    <s v="Mai valutato"/>
    <m/>
    <n v="202505137975250"/>
    <n v="1033305840830"/>
    <n v="20250513"/>
    <x v="0"/>
    <m/>
    <x v="0"/>
    <x v="0"/>
    <n v="40000"/>
    <n v="0"/>
    <n v="584083"/>
    <s v="DVNFNC67L14A225B"/>
    <s v="DIVINCENZO FRANCESCO"/>
    <s v="600 - Famiglie consumatrici"/>
    <m/>
    <s v="086 - ITALIA"/>
    <n v="600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7963"/>
    <s v="30"/>
    <s v="Bonifico con Paese dell'intermediario della controparte a rischio"/>
    <d v="2025-05-14T00:00:00"/>
    <n v="53850"/>
    <n v="102"/>
    <s v="053850_102"/>
    <s v="Discovery Day"/>
    <s v="Mai valutato"/>
    <m/>
    <n v="202505137975634"/>
    <n v="1023306274744"/>
    <n v="20250513"/>
    <x v="0"/>
    <m/>
    <x v="1"/>
    <x v="0"/>
    <n v="63102"/>
    <n v="0"/>
    <n v="4873420"/>
    <n v="7966910726"/>
    <s v="LA CASA DEI SOGNI SOCIETA' A RESPONSABILITA LIMITATA SEMPLIFICATA"/>
    <s v="430 - Imprese produttive"/>
    <s v="433 - COMPLETAMENTO E FINITURA DI EDIFICI"/>
    <s v="086 - ITALIA"/>
    <n v="1443"/>
    <m/>
    <m/>
    <m/>
    <m/>
    <m/>
    <m/>
    <m/>
    <n v="0"/>
    <n v="202505"/>
    <s v="RILEVAZIONE SAD"/>
    <x v="1"/>
    <n v="1"/>
    <m/>
    <m/>
    <n v="0"/>
    <n v="433"/>
    <n v="430"/>
    <n v="430433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7946"/>
    <s v="30"/>
    <s v="Bonifico con Paese dell'intermediario della controparte a rischio"/>
    <d v="2025-05-14T00:00:00"/>
    <n v="53850"/>
    <n v="131"/>
    <s v="053850_131"/>
    <s v="Discovery Day"/>
    <s v="Mai valutato"/>
    <m/>
    <n v="202505137976928"/>
    <n v="1313300004532"/>
    <n v="20250513"/>
    <x v="0"/>
    <m/>
    <x v="0"/>
    <x v="1"/>
    <n v="15666.67"/>
    <n v="0"/>
    <n v="3739170"/>
    <s v="GGLDNL97R31E919P"/>
    <s v="GIGLIO DANIELE"/>
    <s v="600 - Famiglie consumatrici"/>
    <m/>
    <s v="086 - ITALIA"/>
    <n v="915"/>
    <m/>
    <m/>
    <m/>
    <m/>
    <m/>
    <m/>
    <m/>
    <n v="0"/>
    <n v="202505"/>
    <s v="IN CARICO AL GESTORE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02"/>
    <s v="30"/>
    <s v="Bonifico con Paese dell'intermediario della controparte a rischio"/>
    <d v="2025-05-13T00:00:00"/>
    <n v="53850"/>
    <n v="149"/>
    <s v="053850_149"/>
    <s v="Discovery Day"/>
    <s v="Mai valutato"/>
    <m/>
    <n v="202505127971838"/>
    <n v="1493300664691"/>
    <n v="20250512"/>
    <x v="0"/>
    <m/>
    <x v="2"/>
    <x v="1"/>
    <n v="19320"/>
    <n v="0"/>
    <n v="4988257"/>
    <n v="7432651219"/>
    <s v="M&amp;C DIVISION S.R.L."/>
    <s v="430 - Imprese produttive"/>
    <s v="464 - COMMERCIO ALL'INGROSSO DI BENI DI CONSUMO FINALE"/>
    <s v="086 - ITALIA"/>
    <n v="1910"/>
    <m/>
    <m/>
    <m/>
    <m/>
    <m/>
    <m/>
    <m/>
    <n v="0"/>
    <n v="202505"/>
    <s v="IN CARICO AL GESTORE"/>
    <x v="1"/>
    <n v="1"/>
    <m/>
    <m/>
    <n v="0"/>
    <n v="464"/>
    <n v="430"/>
    <n v="430464"/>
    <s v="Classe di rischio 4"/>
    <m/>
    <x v="3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09"/>
    <s v="30"/>
    <s v="Bonifico con Paese dell'intermediario della controparte a rischio"/>
    <d v="2025-05-10T00:00:00"/>
    <n v="53850"/>
    <n v="148"/>
    <s v="053850_148"/>
    <s v="Discovery Day"/>
    <s v="Mai valutato"/>
    <m/>
    <n v="202505097962295"/>
    <n v="1483303001176"/>
    <n v="20250509"/>
    <x v="0"/>
    <m/>
    <x v="0"/>
    <x v="1"/>
    <n v="25000"/>
    <n v="0"/>
    <n v="2012964"/>
    <s v="LGRMSM55B16A783Q"/>
    <s v="LIGUORI MASSIMINO"/>
    <s v="600 - Famiglie consumatrici"/>
    <m/>
    <s v="086 - ITALIA"/>
    <n v="163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91"/>
    <s v="30"/>
    <s v="Bonifico con Paese dell'intermediario della controparte a rischio"/>
    <d v="2025-05-10T00:00:00"/>
    <n v="53850"/>
    <n v="110"/>
    <s v="053850_110"/>
    <s v="Discovery Day"/>
    <s v="Mai valutato"/>
    <m/>
    <n v="202505097963716"/>
    <n v="1103306288240"/>
    <n v="20250509"/>
    <x v="0"/>
    <m/>
    <x v="7"/>
    <x v="0"/>
    <n v="242925.7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5"/>
    <s v="ARCHIVIATA DA RPR"/>
    <x v="0"/>
    <n v="1"/>
    <m/>
    <m/>
    <n v="0"/>
    <n v="464"/>
    <n v="430"/>
    <n v="430464"/>
    <s v="Classe di rischio 4"/>
    <m/>
    <x v="3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972"/>
    <s v="30"/>
    <s v="Bonifico con Paese dell'intermediario della controparte a rischio"/>
    <d v="2025-05-09T00:00:00"/>
    <n v="53850"/>
    <n v="171"/>
    <s v="053850_171"/>
    <s v="Discovery Day"/>
    <s v="Mai valutato"/>
    <m/>
    <n v="202505087960869"/>
    <n v="1713302217244"/>
    <n v="20250508"/>
    <x v="0"/>
    <m/>
    <x v="11"/>
    <x v="1"/>
    <n v="19880"/>
    <n v="0"/>
    <n v="4075827"/>
    <s v="STLBRC67L64A893S"/>
    <s v="STELLACCI BEATRICE"/>
    <s v="600 - Famiglie consumatrici"/>
    <m/>
    <s v="086 - ITALIA"/>
    <n v="815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939"/>
    <s v="30"/>
    <s v="Bonifico con Paese dell'intermediario della controparte a rischio"/>
    <d v="2025-05-09T00:00:00"/>
    <n v="53850"/>
    <n v="171"/>
    <s v="053850_171"/>
    <s v="Discovery Day"/>
    <s v="Mai valutato"/>
    <m/>
    <n v="202505087960767"/>
    <n v="1713302215963"/>
    <n v="20250508"/>
    <x v="0"/>
    <m/>
    <x v="0"/>
    <x v="0"/>
    <n v="252000"/>
    <n v="0"/>
    <n v="610969"/>
    <s v="MSTNNA46D58G291T"/>
    <s v="MASTRANDREA ANNA"/>
    <s v="600 - Famiglie consumatrici"/>
    <m/>
    <s v="086 - ITALIA"/>
    <n v="662"/>
    <m/>
    <m/>
    <m/>
    <m/>
    <m/>
    <m/>
    <m/>
    <n v="0"/>
    <n v="202505"/>
    <s v="IN CARICO AL GESTORE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33"/>
    <s v="30"/>
    <s v="Bonifico con Paese dell'intermediario della controparte a rischio"/>
    <d v="2025-05-09T00:00:00"/>
    <n v="53850"/>
    <n v="175"/>
    <s v="053850_175"/>
    <s v="Discovery Day"/>
    <s v="Mai valutato"/>
    <m/>
    <n v="202505087960870"/>
    <n v="1753302203813"/>
    <n v="20250508"/>
    <x v="0"/>
    <m/>
    <x v="4"/>
    <x v="1"/>
    <n v="91731.43"/>
    <n v="0"/>
    <n v="4907691"/>
    <n v="1146400773"/>
    <s v="SPAZIO RELAX S.P.A."/>
    <s v="430 - Imprese produttive"/>
    <s v="310 - FABBRICAZIONE DI MOBILI"/>
    <s v="086 - ITALIA"/>
    <n v="192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927"/>
    <s v="30"/>
    <s v="Bonifico con Paese dell'intermediario della controparte a rischio"/>
    <d v="2025-05-09T00:00:00"/>
    <n v="53850"/>
    <n v="180"/>
    <s v="053850_180"/>
    <s v="Discovery Day"/>
    <s v="Mai valutato"/>
    <m/>
    <n v="202505087960875"/>
    <n v="1803300005080"/>
    <n v="20250508"/>
    <x v="0"/>
    <m/>
    <x v="12"/>
    <x v="0"/>
    <n v="44050"/>
    <n v="0"/>
    <n v="3052182"/>
    <n v="845500735"/>
    <s v="RIMA IMPIANTI S.R.L."/>
    <s v="430 - Imprese produttive"/>
    <s v="256 - TRATTAMENTO E RIVESTIMENTO DEI METALLI, LAVORI DI MECCANICA GENERALE"/>
    <s v="086 - ITALIA"/>
    <n v="1627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1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65"/>
    <s v="30"/>
    <s v="Bonifico con Paese dell'intermediario della controparte a rischio"/>
    <d v="2025-05-08T00:00:00"/>
    <n v="53850"/>
    <n v="226"/>
    <s v="053850_226"/>
    <s v="Discovery Day"/>
    <s v="Mai valutato"/>
    <m/>
    <n v="202505077957180"/>
    <n v="1453300003928"/>
    <n v="20250507"/>
    <x v="0"/>
    <m/>
    <x v="0"/>
    <x v="0"/>
    <n v="22000"/>
    <n v="0"/>
    <n v="3726295"/>
    <n v="10503411216"/>
    <s v="MHARE S.R.L."/>
    <s v="430 - Imprese produttive"/>
    <s v="721 - RICERCA E SVILUPPO SPERIMENTALE NEL CAMPO DELLE SCIENZE NATURALI E DELL'INGEGNERIA"/>
    <s v="086 - ITALIA"/>
    <n v="1932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819"/>
    <s v="30"/>
    <s v="Bonifico con Paese dell'intermediario della controparte a rischio"/>
    <d v="2025-05-07T00:00:00"/>
    <n v="53850"/>
    <n v="170"/>
    <s v="053850_170"/>
    <s v="Discovery Day"/>
    <s v="Mai valutato"/>
    <m/>
    <n v="202505067954325"/>
    <n v="1703306288195"/>
    <n v="20250506"/>
    <x v="0"/>
    <m/>
    <x v="1"/>
    <x v="1"/>
    <n v="21563.52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818"/>
    <s v="30"/>
    <s v="Bonifico con Paese dell'intermediario della controparte a rischio"/>
    <d v="2025-05-07T00:00:00"/>
    <n v="53850"/>
    <n v="170"/>
    <s v="053850_170"/>
    <s v="Discovery Day"/>
    <s v="Mai valutato"/>
    <m/>
    <n v="202505067954326"/>
    <n v="1703306288195"/>
    <n v="20250506"/>
    <x v="0"/>
    <m/>
    <x v="1"/>
    <x v="1"/>
    <n v="652786.66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91"/>
    <s v="30"/>
    <s v="Bonifico con Paese dell'intermediario della controparte a rischio"/>
    <d v="2025-05-06T00:00:00"/>
    <n v="53850"/>
    <n v="110"/>
    <s v="053850_110"/>
    <s v="Discovery Day"/>
    <s v="Mai valutato"/>
    <m/>
    <n v="202505057950608"/>
    <n v="1103306288240"/>
    <n v="20250505"/>
    <x v="0"/>
    <m/>
    <x v="7"/>
    <x v="0"/>
    <n v="62646.03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5"/>
    <s v="ARCHIVIATA DA RPR"/>
    <x v="0"/>
    <n v="1"/>
    <m/>
    <m/>
    <n v="0"/>
    <n v="464"/>
    <n v="430"/>
    <n v="430464"/>
    <s v="Classe di rischio 4"/>
    <m/>
    <x v="3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765"/>
    <s v="30"/>
    <s v="Bonifico con Paese dell'intermediario della controparte a rischio"/>
    <d v="2025-05-06T00:00:00"/>
    <n v="53850"/>
    <n v="105"/>
    <s v="053850_105"/>
    <s v="Discovery Day"/>
    <s v="Mai valutato"/>
    <m/>
    <n v="202505057950606"/>
    <n v="1053306295089"/>
    <n v="20250505"/>
    <x v="0"/>
    <m/>
    <x v="6"/>
    <x v="1"/>
    <n v="42057.45"/>
    <n v="0"/>
    <n v="3716148"/>
    <n v="6264740728"/>
    <s v="ZEROTF S.R.L."/>
    <s v="430 - Imprese produttive"/>
    <s v="467 - COMMERCIO ALL'INGROSSO SPECIALIZZATO DI ALTRI PRODOTTI"/>
    <s v="086 - ITALIA"/>
    <n v="462"/>
    <m/>
    <m/>
    <m/>
    <m/>
    <m/>
    <m/>
    <m/>
    <n v="0"/>
    <n v="202505"/>
    <s v="IN CARICO AL GESTORE"/>
    <x v="1"/>
    <n v="1"/>
    <m/>
    <m/>
    <n v="0"/>
    <n v="999"/>
    <n v="430"/>
    <n v="430999"/>
    <m/>
    <n v="1"/>
    <x v="1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58"/>
    <s v="30"/>
    <s v="Bonifico con Paese dell'intermediario della controparte a rischio"/>
    <d v="2025-05-03T00:00:00"/>
    <n v="53850"/>
    <n v="170"/>
    <s v="053850_170"/>
    <s v="Discovery Day"/>
    <s v="Mai valutato"/>
    <m/>
    <n v="202505027942239"/>
    <n v="1703306288978"/>
    <n v="20250502"/>
    <x v="0"/>
    <m/>
    <x v="0"/>
    <x v="0"/>
    <n v="15205.86"/>
    <n v="0"/>
    <n v="4886461"/>
    <s v="PTRRFL77P26A285L"/>
    <s v="PETRUZZELLI RAFFAELE"/>
    <s v="600 - Famiglie consumatrici"/>
    <m/>
    <s v="086 - ITALIA"/>
    <n v="16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47"/>
    <s v="30"/>
    <s v="Bonifico con Paese dell'intermediario della controparte a rischio"/>
    <d v="2025-05-03T00:00:00"/>
    <n v="53850"/>
    <n v="192"/>
    <s v="053850_192"/>
    <s v="Discovery Day"/>
    <s v="Mai valutato"/>
    <m/>
    <n v="202505027942328"/>
    <n v="1923300182371"/>
    <n v="20250502"/>
    <x v="0"/>
    <m/>
    <x v="0"/>
    <x v="0"/>
    <n v="320000"/>
    <n v="0"/>
    <n v="4813278"/>
    <n v="3017410733"/>
    <s v="TECNOHOME INSIDE SRL"/>
    <s v="430 - Imprese produttive"/>
    <s v="467 - COMMERCIO ALL'INGROSSO SPECIALIZZATO DI ALTRI PRODOTTI"/>
    <s v="086 - ITALIA"/>
    <n v="106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41"/>
    <s v="30"/>
    <s v="Bonifico con Paese dell'intermediario della controparte a rischio"/>
    <d v="2025-05-03T00:00:00"/>
    <n v="53850"/>
    <n v="131"/>
    <s v="053850_131"/>
    <s v="Discovery Day"/>
    <s v="Mai valutato"/>
    <m/>
    <n v="202505027942655"/>
    <n v="1313300001588"/>
    <n v="20250502"/>
    <x v="0"/>
    <m/>
    <x v="13"/>
    <x v="0"/>
    <n v="57850.2"/>
    <n v="0"/>
    <n v="4121868"/>
    <n v="5913290630"/>
    <s v="C.M.D. COSTRUZIONI MOTORI DIESEL S.P.A."/>
    <s v="430 - Imprese produttive"/>
    <s v="256 - TRATTAMENTO E RIVESTIMENTO DEI METALLI, LAVORI DI MECCANICA GENERALE"/>
    <s v="086 - ITALIA"/>
    <n v="739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629"/>
    <s v="30"/>
    <s v="Bonifico con Paese dell'intermediario della controparte a rischio"/>
    <d v="2025-07-01T00:00:00"/>
    <n v="53850"/>
    <n v="121"/>
    <s v="053850_121"/>
    <s v="Discovery Day"/>
    <s v="Mai valutato"/>
    <m/>
    <n v="202506308138260"/>
    <n v="1213300002600"/>
    <n v="20250630"/>
    <x v="0"/>
    <m/>
    <x v="14"/>
    <x v="0"/>
    <n v="17425.330000000002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1"/>
    <n v="1"/>
    <m/>
    <m/>
    <n v="0"/>
    <n v="463"/>
    <n v="430"/>
    <n v="430463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89"/>
    <s v="30"/>
    <s v="Bonifico con Paese dell'intermediario della controparte a rischio"/>
    <d v="2025-06-28T00:00:00"/>
    <n v="53850"/>
    <n v="252"/>
    <s v="053850_252"/>
    <s v="Discovery Day"/>
    <s v="Mai valutato"/>
    <m/>
    <n v="202506278130095"/>
    <n v="2523300011629"/>
    <n v="20250627"/>
    <x v="0"/>
    <m/>
    <x v="0"/>
    <x v="0"/>
    <n v="50000"/>
    <n v="0"/>
    <n v="3720847"/>
    <n v="2732060740"/>
    <s v="MASSERIA MAVIGLIA SOCIETA' AGRICOLA S.R.L."/>
    <s v="430 - Imprese produttive"/>
    <s v="012 - COLTIVAZIONE DI COLTURE PERMANENTI"/>
    <s v="086 - ITALIA"/>
    <n v="1094"/>
    <m/>
    <m/>
    <m/>
    <m/>
    <m/>
    <m/>
    <m/>
    <n v="0"/>
    <n v="202506"/>
    <s v="ARCHIVIATA"/>
    <x v="0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550"/>
    <s v="30"/>
    <s v="Bonifico con Paese dell'intermediario della controparte a rischio"/>
    <d v="2025-06-28T00:00:00"/>
    <n v="53850"/>
    <n v="190"/>
    <s v="053850_190"/>
    <s v="Discovery Day"/>
    <s v="Mai valutato"/>
    <m/>
    <n v="202506278130296"/>
    <n v="1903300017388"/>
    <n v="20250627"/>
    <x v="0"/>
    <m/>
    <x v="0"/>
    <x v="0"/>
    <n v="75315.89"/>
    <n v="0"/>
    <n v="4884959"/>
    <n v="6732580722"/>
    <s v="MACK &amp; SCHUHLE ITALIA S.P.A."/>
    <s v="430 - Imprese produttive"/>
    <s v="110 - INDUSTRIA DELLE BEVANDE"/>
    <s v="086 - ITALIA"/>
    <n v="192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96"/>
    <s v="30"/>
    <s v="Bonifico con Paese dell'intermediario della controparte a rischio"/>
    <d v="2025-06-26T00:00:00"/>
    <n v="53850"/>
    <n v="170"/>
    <s v="053850_170"/>
    <s v="Discovery Day"/>
    <s v="Mai valutato"/>
    <m/>
    <n v="202506258123939"/>
    <n v="1703306288195"/>
    <n v="20250625"/>
    <x v="0"/>
    <m/>
    <x v="1"/>
    <x v="1"/>
    <n v="82150.289999999994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469"/>
    <s v="30"/>
    <s v="Bonifico con Paese dell'intermediario della controparte a rischio"/>
    <d v="2025-06-26T00:00:00"/>
    <n v="53850"/>
    <n v="102"/>
    <s v="053850_102"/>
    <s v="Discovery Day"/>
    <s v="Mai valutato"/>
    <m/>
    <n v="202506258123920"/>
    <n v="1023304893170"/>
    <n v="20250625"/>
    <x v="0"/>
    <m/>
    <x v="6"/>
    <x v="1"/>
    <n v="47560.56"/>
    <n v="0"/>
    <n v="489317"/>
    <n v="4213260724"/>
    <s v="EUROFLEX S.R.L."/>
    <s v="430 - Imprese produttive"/>
    <s v="464 - COMMERCIO ALL'INGROSSO DI BENI DI CONSUMO FINALE"/>
    <s v="086 - ITALIA"/>
    <n v="1203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3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465"/>
    <s v="30"/>
    <s v="Bonifico con Paese dell'intermediario della controparte a rischio"/>
    <d v="2025-06-26T00:00:00"/>
    <n v="53850"/>
    <n v="105"/>
    <s v="053850_105"/>
    <s v="Discovery Day"/>
    <s v="Mai valutato"/>
    <m/>
    <n v="202506258123921"/>
    <n v="1053306295089"/>
    <n v="20250625"/>
    <x v="0"/>
    <m/>
    <x v="6"/>
    <x v="1"/>
    <n v="35699.160000000003"/>
    <n v="0"/>
    <n v="3716148"/>
    <n v="6264740728"/>
    <s v="ZEROTF S.R.L."/>
    <s v="430 - Imprese produttive"/>
    <s v="467 - COMMERCIO ALL'INGROSSO SPECIALIZZATO DI ALTRI PRODOTTI"/>
    <s v="086 - ITALIA"/>
    <n v="462"/>
    <m/>
    <m/>
    <m/>
    <m/>
    <m/>
    <m/>
    <m/>
    <n v="0"/>
    <n v="202506"/>
    <s v="IN CARICO AL GESTORE"/>
    <x v="1"/>
    <n v="1"/>
    <m/>
    <m/>
    <n v="0"/>
    <n v="999"/>
    <n v="430"/>
    <n v="430999"/>
    <m/>
    <n v="1"/>
    <x v="1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56"/>
    <s v="30"/>
    <s v="Bonifico con Paese dell'intermediario della controparte a rischio"/>
    <d v="2025-06-25T00:00:00"/>
    <n v="53850"/>
    <n v="268"/>
    <s v="053850_268"/>
    <s v="Discovery Day"/>
    <s v="Mai valutato"/>
    <m/>
    <n v="202506248120482"/>
    <n v="2683300003688"/>
    <n v="20250624"/>
    <x v="0"/>
    <m/>
    <x v="0"/>
    <x v="0"/>
    <n v="15000"/>
    <n v="0"/>
    <n v="1626577"/>
    <s v="CSNMNN55A67A043M"/>
    <s v="COSENTINI MARIANNA"/>
    <s v="600 - Famiglie consumatrici"/>
    <m/>
    <s v="086 - ITALIA"/>
    <n v="183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54"/>
    <s v="30"/>
    <s v="Bonifico con Paese dell'intermediario della controparte a rischio"/>
    <d v="2025-06-25T00:00:00"/>
    <n v="53850"/>
    <n v="268"/>
    <s v="053850_268"/>
    <s v="Discovery Day"/>
    <s v="Mai valutato"/>
    <m/>
    <n v="202506248120482"/>
    <n v="2683300003688"/>
    <n v="20250624"/>
    <x v="0"/>
    <m/>
    <x v="0"/>
    <x v="0"/>
    <n v="15000"/>
    <n v="0"/>
    <n v="1640741"/>
    <s v="BRLNTN82P21F537V"/>
    <s v="BARILARO ANTONIO"/>
    <s v="600 - Famiglie consumatrici"/>
    <m/>
    <s v="086 - ITALIA"/>
    <n v="1870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31"/>
    <s v="30"/>
    <s v="Bonifico con Paese dell'intermediario della controparte a rischio"/>
    <d v="2025-06-25T00:00:00"/>
    <n v="53850"/>
    <n v="110"/>
    <s v="053850_110"/>
    <s v="Discovery Day"/>
    <s v="Mai valutato"/>
    <m/>
    <n v="202506248120998"/>
    <n v="1103306288240"/>
    <n v="20250624"/>
    <x v="0"/>
    <m/>
    <x v="7"/>
    <x v="0"/>
    <n v="35142.01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3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17"/>
    <s v="30"/>
    <s v="Bonifico con Paese dell'intermediario della controparte a rischio"/>
    <d v="2025-06-24T00:00:00"/>
    <n v="53850"/>
    <n v="102"/>
    <s v="053850_102"/>
    <s v="Discovery Day"/>
    <s v="Mai valutato"/>
    <m/>
    <n v="202506238117713"/>
    <n v="1023306274827"/>
    <n v="20250623"/>
    <x v="0"/>
    <m/>
    <x v="2"/>
    <x v="0"/>
    <n v="15415"/>
    <n v="0"/>
    <n v="4532331"/>
    <n v="6874220723"/>
    <s v="DIVITALIA S.R.L. SOCIETA' UNIPERSONALE"/>
    <s v="430 - Imprese produttive"/>
    <s v="310 - FABBRICAZIONE DI MOBILI"/>
    <s v="086 - ITALIA"/>
    <n v="911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48"/>
    <s v="30"/>
    <s v="Bonifico con Paese dell'intermediario della controparte a rischio"/>
    <d v="2025-06-21T00:00:00"/>
    <n v="53850"/>
    <n v="175"/>
    <s v="053850_175"/>
    <s v="Discovery Day"/>
    <s v="Mai valutato"/>
    <m/>
    <n v="202506208087904"/>
    <n v="1753302203813"/>
    <n v="20250620"/>
    <x v="0"/>
    <m/>
    <x v="4"/>
    <x v="1"/>
    <n v="199951.22"/>
    <n v="0"/>
    <n v="4907691"/>
    <n v="1146400773"/>
    <s v="SPAZIO RELAX S.P.A."/>
    <s v="430 - Imprese produttive"/>
    <s v="310 - FABBRICAZIONE DI MOBILI"/>
    <s v="086 - ITALIA"/>
    <n v="192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342"/>
    <s v="30"/>
    <s v="Bonifico con Paese dell'intermediario della controparte a rischio"/>
    <d v="2025-06-21T00:00:00"/>
    <n v="53850"/>
    <n v="192"/>
    <s v="053850_192"/>
    <s v="Discovery Day"/>
    <s v="Mai valutato"/>
    <m/>
    <n v="202506208087735"/>
    <n v="1923300183207"/>
    <n v="20250620"/>
    <x v="0"/>
    <m/>
    <x v="0"/>
    <x v="0"/>
    <n v="29000"/>
    <n v="0"/>
    <n v="461447"/>
    <s v="DGSGPP76C20A662C"/>
    <s v="DIGIESI GIUSEPPE"/>
    <s v="615 - Altre famiglie produttrici"/>
    <s v="691 - ATTIVITÀ DEGLI STUDI LEGALI"/>
    <s v="086 - ITALIA"/>
    <n v="481"/>
    <m/>
    <m/>
    <m/>
    <m/>
    <m/>
    <m/>
    <m/>
    <n v="0"/>
    <n v="202506"/>
    <s v="ARCHIVIATA"/>
    <x v="0"/>
    <n v="1"/>
    <n v="461447"/>
    <n v="1"/>
    <n v="0"/>
    <n v="999"/>
    <n v="615"/>
    <n v="615999"/>
    <m/>
    <n v="1"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333"/>
    <s v="30"/>
    <s v="Bonifico con Paese dell'intermediario della controparte a rischio"/>
    <d v="2025-06-21T00:00:00"/>
    <n v="53850"/>
    <n v="185"/>
    <s v="053850_185"/>
    <s v="Discovery Day"/>
    <s v="Mai valutato"/>
    <m/>
    <n v="202506208087905"/>
    <n v="1853300029728"/>
    <n v="20250620"/>
    <x v="0"/>
    <m/>
    <x v="1"/>
    <x v="1"/>
    <n v="19870"/>
    <n v="0"/>
    <n v="4945889"/>
    <n v="3234670739"/>
    <s v="BR.IT. SOCIETA' A RESPONSABILITA' LIMITATA SEMPLIFICATA"/>
    <s v="430 - Imprese produttive"/>
    <s v="464 - COMMERCIO ALL'INGROSSO DI BENI DI CONSUMO FINALE"/>
    <s v="086 - ITALIA"/>
    <n v="1351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3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289"/>
    <s v="30"/>
    <s v="Bonifico con Paese dell'intermediario della controparte a rischio"/>
    <d v="2025-06-20T00:00:00"/>
    <n v="53850"/>
    <n v="110"/>
    <s v="053850_110"/>
    <s v="Discovery Day"/>
    <s v="Mai valutato"/>
    <m/>
    <n v="202506198085268"/>
    <n v="1103306288240"/>
    <n v="20250619"/>
    <x v="0"/>
    <m/>
    <x v="7"/>
    <x v="0"/>
    <n v="103567.01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3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287"/>
    <s v="30"/>
    <s v="Bonifico con Paese dell'intermediario della controparte a rischio"/>
    <d v="2025-06-20T00:00:00"/>
    <n v="53850"/>
    <n v="137"/>
    <s v="053850_137"/>
    <s v="Discovery Day"/>
    <s v="Mai valutato"/>
    <m/>
    <n v="202506198085272"/>
    <n v="1371204172627"/>
    <n v="20250619"/>
    <x v="0"/>
    <m/>
    <x v="6"/>
    <x v="1"/>
    <n v="53581.85"/>
    <n v="0"/>
    <n v="4172627"/>
    <n v="820790707"/>
    <s v="GENKO S.R.L."/>
    <s v="430 - Imprese produttive"/>
    <s v="464 - COMMERCIO ALL'INGROSSO DI BENI DI CONSUMO FINALE"/>
    <s v="086 - ITALIA"/>
    <n v="1856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3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284"/>
    <s v="30"/>
    <s v="Bonifico con Paese dell'intermediario della controparte a rischio"/>
    <d v="2025-06-20T00:00:00"/>
    <n v="53850"/>
    <n v="137"/>
    <s v="053850_137"/>
    <s v="Discovery Day"/>
    <s v="Mai valutato"/>
    <m/>
    <n v="202506198085274"/>
    <n v="1371204172627"/>
    <n v="20250619"/>
    <x v="0"/>
    <m/>
    <x v="6"/>
    <x v="1"/>
    <n v="90567.13"/>
    <n v="0"/>
    <n v="4172627"/>
    <n v="820790707"/>
    <s v="GENKO S.R.L."/>
    <s v="430 - Imprese produttive"/>
    <s v="464 - COMMERCIO ALL'INGROSSO DI BENI DI CONSUMO FINALE"/>
    <s v="086 - ITALIA"/>
    <n v="1856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3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250"/>
    <s v="30"/>
    <s v="Bonifico con Paese dell'intermediario della controparte a rischio"/>
    <d v="2025-06-19T00:00:00"/>
    <n v="53850"/>
    <n v="109"/>
    <s v="053850_109"/>
    <s v="Discovery Day"/>
    <s v="Mai valutato"/>
    <m/>
    <n v="202506188082032"/>
    <n v="1093306667367"/>
    <n v="20250618"/>
    <x v="0"/>
    <m/>
    <x v="4"/>
    <x v="0"/>
    <n v="103298.9"/>
    <n v="0"/>
    <n v="4026861"/>
    <n v="5195820724"/>
    <s v="DOMINI S.R.L."/>
    <s v="430 - Imprese produttive"/>
    <s v="477 - COMMERCIO AL DETTAGLIO DI ALTRI PRODOTTI IN ESERCIZI SPECIALIZZATI"/>
    <s v="086 - ITALIA"/>
    <n v="1696"/>
    <m/>
    <m/>
    <m/>
    <m/>
    <m/>
    <m/>
    <m/>
    <n v="0"/>
    <n v="202506"/>
    <s v="ARCHIVIATA"/>
    <x v="0"/>
    <n v="1"/>
    <n v="4026861"/>
    <n v="1"/>
    <n v="0"/>
    <n v="477"/>
    <n v="430"/>
    <n v="430477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47"/>
    <s v="30"/>
    <s v="Bonifico con Paese dell'intermediario della controparte a rischio"/>
    <d v="2025-06-19T00:00:00"/>
    <n v="53850"/>
    <n v="190"/>
    <s v="053850_190"/>
    <s v="Discovery Day"/>
    <s v="Mai valutato"/>
    <m/>
    <n v="202506188082052"/>
    <n v="1903300017388"/>
    <n v="20250618"/>
    <x v="0"/>
    <m/>
    <x v="0"/>
    <x v="0"/>
    <n v="23790"/>
    <n v="0"/>
    <n v="4884959"/>
    <n v="6732580722"/>
    <s v="MACK &amp; SCHUHLE ITALIA S.P.A."/>
    <s v="430 - Imprese produttive"/>
    <s v="110 - INDUSTRIA DELLE BEVANDE"/>
    <s v="086 - ITALIA"/>
    <n v="192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41"/>
    <s v="30"/>
    <s v="Bonifico con Paese dell'intermediario della controparte a rischio"/>
    <d v="2025-06-19T00:00:00"/>
    <n v="53850"/>
    <n v="267"/>
    <s v="053850_267"/>
    <s v="Discovery Day"/>
    <s v="Mai valutato"/>
    <m/>
    <n v="202506188082048"/>
    <n v="2673300010274"/>
    <n v="20250618"/>
    <x v="0"/>
    <m/>
    <x v="1"/>
    <x v="1"/>
    <n v="36905.599999999999"/>
    <n v="0"/>
    <n v="4992646"/>
    <n v="3152440792"/>
    <s v="FABRIELLA GROUP S.R.L."/>
    <s v="430 - Imprese produttive"/>
    <s v="110 - INDUSTRIA DELLE BEVANDE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234"/>
    <s v="30"/>
    <s v="Bonifico con Paese dell'intermediario della controparte a rischio"/>
    <d v="2025-06-18T00:00:00"/>
    <n v="53850"/>
    <n v="121"/>
    <s v="053850_121"/>
    <s v="Discovery Day"/>
    <s v="Mai valutato"/>
    <m/>
    <n v="202506178078774"/>
    <n v="1213300002600"/>
    <n v="20250617"/>
    <x v="0"/>
    <m/>
    <x v="14"/>
    <x v="0"/>
    <n v="38000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1"/>
    <n v="1"/>
    <m/>
    <m/>
    <n v="0"/>
    <n v="463"/>
    <n v="430"/>
    <n v="430463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229"/>
    <s v="30"/>
    <s v="Bonifico con Paese dell'intermediario della controparte a rischio"/>
    <d v="2025-06-18T00:00:00"/>
    <n v="53850"/>
    <n v="121"/>
    <s v="053850_121"/>
    <s v="Discovery Day"/>
    <s v="Mai valutato"/>
    <m/>
    <n v="202506178078767"/>
    <n v="1213300002600"/>
    <n v="20250617"/>
    <x v="0"/>
    <m/>
    <x v="14"/>
    <x v="0"/>
    <n v="17367.63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1"/>
    <n v="1"/>
    <m/>
    <m/>
    <n v="0"/>
    <n v="463"/>
    <n v="430"/>
    <n v="430463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00"/>
    <s v="30"/>
    <s v="Bonifico con Paese dell'intermediario della controparte a rischio"/>
    <d v="2025-06-18T00:00:00"/>
    <n v="53850"/>
    <n v="102"/>
    <s v="053850_102"/>
    <s v="Discovery Day"/>
    <s v="Mai valutato"/>
    <m/>
    <n v="202506168073975"/>
    <n v="1023308723686"/>
    <n v="20250616"/>
    <x v="0"/>
    <m/>
    <x v="0"/>
    <x v="0"/>
    <n v="30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6"/>
    <s v="ARCHIVIATA"/>
    <x v="0"/>
    <n v="1"/>
    <n v="531420"/>
    <n v="1"/>
    <n v="0"/>
    <n v="999"/>
    <n v="615"/>
    <n v="615999"/>
    <m/>
    <n v="1"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163"/>
    <s v="30"/>
    <s v="Bonifico con Paese dell'intermediario della controparte a rischio"/>
    <d v="2025-06-18T00:00:00"/>
    <n v="53850"/>
    <n v="170"/>
    <s v="053850_170"/>
    <s v="Discovery Day"/>
    <s v="Mai valutato"/>
    <m/>
    <n v="202506168074355"/>
    <n v="1703306288195"/>
    <n v="20250616"/>
    <x v="0"/>
    <m/>
    <x v="1"/>
    <x v="1"/>
    <n v="116377.34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944"/>
    <s v="30"/>
    <s v="Bonifico con Paese dell'intermediario della controparte a rischio"/>
    <d v="2025-06-13T00:00:00"/>
    <n v="53850"/>
    <n v="109"/>
    <s v="053850_109"/>
    <s v="Discovery Day"/>
    <s v="Mai valutato"/>
    <m/>
    <n v="202506128064054"/>
    <n v="1093306675068"/>
    <n v="20250612"/>
    <x v="0"/>
    <m/>
    <x v="6"/>
    <x v="1"/>
    <n v="47802.5"/>
    <n v="0"/>
    <n v="4960923"/>
    <n v="7910610729"/>
    <s v="GLOBAL FASHION S.R.L."/>
    <s v="430 - Imprese produttive"/>
    <s v="464 - COMMERCIO ALL'INGROSSO DI BENI DI CONSUMO FINALE"/>
    <s v="086 - ITALIA"/>
    <n v="1107"/>
    <m/>
    <m/>
    <m/>
    <m/>
    <m/>
    <m/>
    <m/>
    <n v="0"/>
    <n v="202506"/>
    <s v="IN CARICO AL GESTORE"/>
    <x v="1"/>
    <n v="1"/>
    <m/>
    <m/>
    <n v="0"/>
    <n v="464"/>
    <n v="430"/>
    <n v="430464"/>
    <s v="Classe di rischio 4"/>
    <m/>
    <x v="3"/>
    <x v="1"/>
    <n v="35255.730000000003"/>
    <n v="40532.292000000001"/>
    <n v="44318.877999999997"/>
    <n v="45125.512000000002"/>
    <n v="47063.91"/>
    <n v="49568.19"/>
    <n v="51155.741999999998"/>
    <n v="53646.266000000003"/>
    <n v="57942.733999999997"/>
    <n v="60683.345999999998"/>
    <n v="62646.03"/>
    <n v="136475.66400000011"/>
    <n v="186663.09400000001"/>
    <n v="189566.11600000001"/>
    <n v="195938.15400000001"/>
    <n v="204044.7"/>
    <n v="227373.3000000001"/>
    <n v="252854.712"/>
    <n v="282641.74800000002"/>
    <n v="294996.82"/>
    <n v="298635.90999999997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915"/>
    <s v="30"/>
    <s v="Bonifico con Paese dell'intermediario della controparte a rischio"/>
    <d v="2025-06-12T00:00:00"/>
    <n v="53850"/>
    <n v="268"/>
    <s v="053850_268"/>
    <s v="Discovery Day"/>
    <s v="Mai valutato"/>
    <m/>
    <n v="202506118060521"/>
    <n v="2683300005644"/>
    <n v="20250611"/>
    <x v="0"/>
    <m/>
    <x v="0"/>
    <x v="0"/>
    <n v="67000"/>
    <n v="0"/>
    <n v="1695582"/>
    <s v="SCRDNC52P13I744H"/>
    <s v="SCORDAMAGLIA DOMENICO"/>
    <s v="615 - Altre famiglie produttrici"/>
    <s v="691 - ATTIVITÀ DEGLI STUDI LEGALI"/>
    <s v="086 - ITALIA"/>
    <n v="1870"/>
    <m/>
    <m/>
    <m/>
    <m/>
    <m/>
    <m/>
    <m/>
    <n v="0"/>
    <n v="202506"/>
    <s v="ARCHIVIATA"/>
    <x v="0"/>
    <n v="1"/>
    <n v="1695582"/>
    <n v="1"/>
    <n v="0"/>
    <n v="999"/>
    <n v="615"/>
    <n v="615999"/>
    <m/>
    <n v="1"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901"/>
    <s v="30"/>
    <s v="Bonifico con Paese dell'intermediario della controparte a rischio"/>
    <d v="2025-06-12T00:00:00"/>
    <n v="53850"/>
    <n v="102"/>
    <s v="053850_102"/>
    <s v="Discovery Day"/>
    <s v="Mai valutato"/>
    <m/>
    <n v="202506118060760"/>
    <n v="1023304893170"/>
    <n v="20250611"/>
    <x v="0"/>
    <m/>
    <x v="1"/>
    <x v="1"/>
    <n v="16645.89"/>
    <n v="0"/>
    <n v="489317"/>
    <n v="4213260724"/>
    <s v="EUROFLEX S.R.L."/>
    <s v="430 - Imprese produttive"/>
    <s v="464 - COMMERCIO ALL'INGROSSO DI BENI DI CONSUMO FINALE"/>
    <s v="086 - ITALIA"/>
    <n v="1203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3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24"/>
    <s v="30"/>
    <s v="Bonifico con Paese dell'intermediario della controparte a rischio"/>
    <d v="2025-06-10T00:00:00"/>
    <n v="53850"/>
    <n v="109"/>
    <s v="053850_109"/>
    <s v="Discovery Day"/>
    <s v="Mai valutato"/>
    <m/>
    <n v="202506098053678"/>
    <n v="1093306667367"/>
    <n v="20250609"/>
    <x v="0"/>
    <m/>
    <x v="4"/>
    <x v="0"/>
    <n v="15403.59"/>
    <n v="0"/>
    <n v="4026861"/>
    <n v="5195820724"/>
    <s v="DOMINI S.R.L."/>
    <s v="430 - Imprese produttive"/>
    <s v="477 - COMMERCIO AL DETTAGLIO DI ALTRI PRODOTTI IN ESERCIZI SPECIALIZZATI"/>
    <s v="086 - ITALIA"/>
    <n v="1696"/>
    <m/>
    <m/>
    <m/>
    <m/>
    <m/>
    <m/>
    <m/>
    <n v="0"/>
    <n v="202506"/>
    <s v="ARCHIVIATA"/>
    <x v="0"/>
    <n v="1"/>
    <n v="4026861"/>
    <n v="1"/>
    <n v="0"/>
    <n v="477"/>
    <n v="430"/>
    <n v="430477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86"/>
    <s v="30"/>
    <s v="Bonifico con Paese dell'intermediario della controparte a rischio"/>
    <d v="2025-06-10T00:00:00"/>
    <n v="53850"/>
    <n v="109"/>
    <s v="053850_109"/>
    <s v="Discovery Day"/>
    <s v="Mai valutato"/>
    <m/>
    <n v="202506098053677"/>
    <n v="1093306667367"/>
    <n v="20250609"/>
    <x v="0"/>
    <m/>
    <x v="4"/>
    <x v="0"/>
    <n v="16582.78"/>
    <n v="0"/>
    <n v="4026861"/>
    <n v="5195820724"/>
    <s v="DOMINI S.R.L."/>
    <s v="430 - Imprese produttive"/>
    <s v="477 - COMMERCIO AL DETTAGLIO DI ALTRI PRODOTTI IN ESERCIZI SPECIALIZZATI"/>
    <s v="086 - ITALIA"/>
    <n v="1696"/>
    <m/>
    <m/>
    <m/>
    <m/>
    <m/>
    <m/>
    <m/>
    <n v="0"/>
    <n v="202506"/>
    <s v="ARCHIVIATA"/>
    <x v="0"/>
    <n v="1"/>
    <n v="4026861"/>
    <n v="1"/>
    <n v="0"/>
    <n v="477"/>
    <n v="430"/>
    <n v="430477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51"/>
    <s v="30"/>
    <s v="Bonifico con Paese dell'intermediario della controparte a rischio"/>
    <d v="2025-06-07T00:00:00"/>
    <n v="53850"/>
    <n v="109"/>
    <s v="053850_109"/>
    <s v="Discovery Day"/>
    <s v="Mai valutato"/>
    <m/>
    <n v="202506068047342"/>
    <n v="1093306667367"/>
    <n v="20250606"/>
    <x v="0"/>
    <m/>
    <x v="4"/>
    <x v="0"/>
    <n v="21154.46"/>
    <n v="0"/>
    <n v="4026861"/>
    <n v="5195820724"/>
    <s v="DOMINI S.R.L."/>
    <s v="430 - Imprese produttive"/>
    <s v="477 - COMMERCIO AL DETTAGLIO DI ALTRI PRODOTTI IN ESERCIZI SPECIALIZZATI"/>
    <s v="086 - ITALIA"/>
    <n v="1696"/>
    <m/>
    <m/>
    <m/>
    <m/>
    <m/>
    <m/>
    <m/>
    <n v="0"/>
    <n v="202506"/>
    <s v="ARCHIVIATA"/>
    <x v="0"/>
    <n v="1"/>
    <n v="4026861"/>
    <n v="1"/>
    <n v="0"/>
    <n v="477"/>
    <n v="430"/>
    <n v="430477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741"/>
    <s v="30"/>
    <s v="Bonifico con Paese dell'intermediario della controparte a rischio"/>
    <d v="2025-06-07T00:00:00"/>
    <n v="53850"/>
    <n v="267"/>
    <s v="053850_267"/>
    <s v="Discovery Day"/>
    <s v="Mai valutato"/>
    <m/>
    <n v="202506068047348"/>
    <n v="2673300010274"/>
    <n v="20250606"/>
    <x v="0"/>
    <m/>
    <x v="1"/>
    <x v="1"/>
    <n v="36359.74"/>
    <n v="0"/>
    <n v="4992646"/>
    <n v="3152440792"/>
    <s v="FABRIELLA GROUP S.R.L."/>
    <s v="430 - Imprese produttive"/>
    <s v="110 - INDUSTRIA DELLE BEVANDE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731"/>
    <s v="30"/>
    <s v="Bonifico con Paese dell'intermediario della controparte a rischio"/>
    <d v="2025-06-07T00:00:00"/>
    <n v="53850"/>
    <n v="226"/>
    <s v="053850_226"/>
    <s v="Discovery Day"/>
    <s v="Mai valutato"/>
    <m/>
    <n v="202506068047007"/>
    <n v="1453300003928"/>
    <n v="20250606"/>
    <x v="0"/>
    <m/>
    <x v="0"/>
    <x v="0"/>
    <n v="30000"/>
    <n v="0"/>
    <n v="3726295"/>
    <n v="10503411216"/>
    <s v="MHARE S.R.L."/>
    <s v="430 - Imprese produttive"/>
    <s v="721 - RICERCA E SVILUPPO SPERIMENTALE NEL CAMPO DELLE SCIENZE NATURALI E DELL'INGEGNERIA"/>
    <s v="086 - ITALIA"/>
    <n v="1932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691"/>
    <s v="30"/>
    <s v="Bonifico con Paese dell'intermediario della controparte a rischio"/>
    <d v="2025-06-06T00:00:00"/>
    <n v="53850"/>
    <n v="120"/>
    <s v="053850_120"/>
    <s v="Discovery Day"/>
    <s v="Mai valutato"/>
    <m/>
    <n v="202506058043929"/>
    <n v="1203300001729"/>
    <n v="20250605"/>
    <x v="0"/>
    <m/>
    <x v="0"/>
    <x v="0"/>
    <n v="40001.46"/>
    <n v="0"/>
    <n v="4535200"/>
    <s v="GLNGNN84T29A662P"/>
    <s v="GIULIANI GIOVANNI"/>
    <s v="600 - Famiglie consumatrici"/>
    <m/>
    <s v="086 - ITALIA"/>
    <n v="71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683"/>
    <s v="30"/>
    <s v="Bonifico con Paese dell'intermediario della controparte a rischio"/>
    <d v="2025-06-06T00:00:00"/>
    <n v="53850"/>
    <n v="131"/>
    <s v="053850_131"/>
    <s v="Discovery Day"/>
    <s v="Mai valutato"/>
    <m/>
    <n v="202506058044261"/>
    <n v="1313300001588"/>
    <n v="20250605"/>
    <x v="0"/>
    <m/>
    <x v="13"/>
    <x v="0"/>
    <n v="134983.79999999999"/>
    <n v="0"/>
    <n v="4121868"/>
    <n v="5913290630"/>
    <s v="C.M.D. COSTRUZIONI MOTORI DIESEL S.P.A."/>
    <s v="430 - Imprese produttive"/>
    <s v="256 - TRATTAMENTO E RIVESTIMENTO DEI METALLI, LAVORI DI MECCANICA GENERALE"/>
    <s v="086 - ITALIA"/>
    <n v="739"/>
    <m/>
    <m/>
    <m/>
    <m/>
    <m/>
    <m/>
    <m/>
    <n v="0"/>
    <n v="202506"/>
    <s v="ARCHIVIATA"/>
    <x v="0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81"/>
    <s v="30"/>
    <s v="Bonifico con Paese dell'intermediario della controparte a rischio"/>
    <d v="2025-06-06T00:00:00"/>
    <n v="53850"/>
    <n v="121"/>
    <s v="053850_121"/>
    <s v="Discovery Day"/>
    <s v="Mai valutato"/>
    <m/>
    <n v="202506058043926"/>
    <n v="1213300003010"/>
    <n v="20250605"/>
    <x v="0"/>
    <m/>
    <x v="0"/>
    <x v="0"/>
    <n v="27000"/>
    <n v="0"/>
    <n v="4974937"/>
    <s v="FRNLRA82L64Z133O"/>
    <s v="FRANCHINI LAUR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680"/>
    <s v="30"/>
    <s v="Bonifico con Paese dell'intermediario della controparte a rischio"/>
    <d v="2025-06-06T00:00:00"/>
    <n v="53850"/>
    <n v="170"/>
    <s v="053850_170"/>
    <s v="Discovery Day"/>
    <s v="Mai valutato"/>
    <m/>
    <n v="202506058044251"/>
    <n v="1703306288195"/>
    <n v="20250605"/>
    <x v="0"/>
    <m/>
    <x v="1"/>
    <x v="1"/>
    <n v="42912.62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79"/>
    <s v="30"/>
    <s v="Bonifico con Paese dell'intermediario della controparte a rischio"/>
    <d v="2025-06-06T00:00:00"/>
    <n v="53850"/>
    <n v="121"/>
    <s v="053850_121"/>
    <s v="Discovery Day"/>
    <s v="Mai valutato"/>
    <m/>
    <n v="202506058043926"/>
    <n v="1213300003010"/>
    <n v="20250605"/>
    <x v="0"/>
    <m/>
    <x v="0"/>
    <x v="0"/>
    <n v="27000"/>
    <n v="0"/>
    <n v="4433949"/>
    <s v="SNTGNN83R12C975B"/>
    <s v="SANITATE GIOVANNI"/>
    <s v="600 - Famiglie consumatrici"/>
    <m/>
    <s v="086 - ITALIA"/>
    <n v="92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648"/>
    <s v="30"/>
    <s v="Bonifico con Paese dell'intermediario della controparte a rischio"/>
    <d v="2025-06-05T00:00:00"/>
    <n v="53850"/>
    <n v="148"/>
    <s v="053850_148"/>
    <s v="Discovery Day"/>
    <s v="Mai valutato"/>
    <m/>
    <n v="202506048038686"/>
    <n v="1483303001176"/>
    <n v="20250604"/>
    <x v="0"/>
    <m/>
    <x v="0"/>
    <x v="1"/>
    <n v="25000"/>
    <n v="0"/>
    <n v="2012964"/>
    <s v="LGRMSM55B16A783Q"/>
    <s v="LIGUORI MASSIMINO"/>
    <s v="600 - Famiglie consumatrici"/>
    <m/>
    <s v="086 - ITALIA"/>
    <n v="163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0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615"/>
    <s v="30"/>
    <s v="Bonifico con Paese dell'intermediario della controparte a rischio"/>
    <d v="2025-06-04T00:00:00"/>
    <n v="53850"/>
    <n v="141"/>
    <s v="053850_141"/>
    <s v="Discovery Day"/>
    <s v="Mai valutato"/>
    <m/>
    <n v="202506038032485"/>
    <n v="1413300003985"/>
    <n v="20250603"/>
    <x v="0"/>
    <m/>
    <x v="0"/>
    <x v="1"/>
    <n v="5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2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611"/>
    <s v="30"/>
    <s v="Bonifico con Paese dell'intermediario della controparte a rischio"/>
    <d v="2025-06-04T00:00:00"/>
    <n v="53850"/>
    <n v="102"/>
    <s v="053850_102"/>
    <s v="Discovery Day"/>
    <s v="Mai valutato"/>
    <m/>
    <n v="202506038034185"/>
    <n v="2583300001294"/>
    <n v="20250603"/>
    <x v="0"/>
    <m/>
    <x v="15"/>
    <x v="0"/>
    <n v="18467"/>
    <n v="0"/>
    <n v="4923983"/>
    <n v="8254330726"/>
    <s v="FDESIGN ITALIA SOCIETA' A RESPONSABILITA' LIMITATA"/>
    <s v="430 - Imprese produttive"/>
    <s v="310 - FABBRICAZIONE DI MOBILI"/>
    <s v="086 - ITALIA"/>
    <n v="194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00"/>
    <s v="30"/>
    <s v="Bonifico con Paese dell'intermediario della controparte a rischio"/>
    <d v="2025-06-04T00:00:00"/>
    <n v="53850"/>
    <n v="190"/>
    <s v="053850_190"/>
    <s v="Discovery Day"/>
    <s v="Mai valutato"/>
    <m/>
    <n v="202506038034212"/>
    <n v="1903300017388"/>
    <n v="20250603"/>
    <x v="0"/>
    <m/>
    <x v="0"/>
    <x v="0"/>
    <n v="23774.400000000001"/>
    <n v="0"/>
    <n v="4884959"/>
    <n v="6732580722"/>
    <s v="MACK &amp; SCHUHLE ITALIA S.P.A."/>
    <s v="430 - Imprese produttive"/>
    <s v="110 - INDUSTRIA DELLE BEVANDE"/>
    <s v="086 - ITALIA"/>
    <n v="192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579"/>
    <s v="30"/>
    <s v="Bonifico con Paese dell'intermediario della controparte a rischio"/>
    <d v="2025-06-04T00:00:00"/>
    <n v="53850"/>
    <n v="261"/>
    <s v="053850_261"/>
    <s v="Discovery Day"/>
    <s v="Mai valutato"/>
    <m/>
    <n v="202506038033618"/>
    <n v="2613300000162"/>
    <n v="20250603"/>
    <x v="0"/>
    <m/>
    <x v="0"/>
    <x v="0"/>
    <n v="15510"/>
    <n v="0"/>
    <n v="1602765"/>
    <n v="705090702"/>
    <s v="DI CIERO S.R.L."/>
    <s v="430 - Imprese produttive"/>
    <s v="494 - TRASPORTO DI MERCI SU STRADA E SERVIZI DI TRASLOCO"/>
    <s v="086 - ITALIA"/>
    <n v="1856"/>
    <m/>
    <m/>
    <m/>
    <m/>
    <m/>
    <m/>
    <m/>
    <n v="0"/>
    <n v="202506"/>
    <s v="ARCHIVIATA DA RPR"/>
    <x v="0"/>
    <n v="1"/>
    <m/>
    <m/>
    <n v="0"/>
    <n v="999"/>
    <n v="430"/>
    <n v="430999"/>
    <m/>
    <n v="1"/>
    <x v="1"/>
    <x v="0"/>
    <n v="5000"/>
    <n v="15712.4"/>
    <n v="18425.036"/>
    <n v="19036"/>
    <n v="19840"/>
    <n v="20740"/>
    <n v="22473.462"/>
    <n v="23237.86"/>
    <n v="25000"/>
    <n v="27463.635999999999"/>
    <n v="30000"/>
    <n v="34610.514000000003"/>
    <n v="35046"/>
    <n v="38582.447999999997"/>
    <n v="42006.79"/>
    <n v="50000"/>
    <n v="54336.774000000027"/>
    <n v="65042.055999999982"/>
    <n v="78281.780000000086"/>
    <n v="110403.728"/>
    <n v="134983.79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354BF-3770-4162-BFA2-98B77E453F8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8:G35" firstHeaderRow="0" firstDataRow="1" firstDataCol="2"/>
  <pivotFields count="90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6"/>
        <item x="12"/>
        <item x="9"/>
        <item x="0"/>
        <item x="1"/>
        <item x="8"/>
        <item x="4"/>
        <item x="7"/>
        <item x="2"/>
        <item x="5"/>
        <item x="15"/>
        <item x="13"/>
        <item x="3"/>
        <item x="11"/>
        <item x="10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5"/>
    <field x="47"/>
  </rowFields>
  <rowItems count="17">
    <i>
      <x/>
      <x v="1"/>
    </i>
    <i>
      <x v="1"/>
      <x v="1"/>
    </i>
    <i>
      <x v="2"/>
      <x/>
    </i>
    <i>
      <x v="3"/>
      <x/>
    </i>
    <i>
      <x v="4"/>
      <x/>
    </i>
    <i>
      <x v="5"/>
      <x/>
    </i>
    <i>
      <x v="6"/>
      <x/>
    </i>
    <i>
      <x v="7"/>
      <x v="1"/>
    </i>
    <i>
      <x v="8"/>
      <x/>
    </i>
    <i>
      <x v="9"/>
      <x/>
    </i>
    <i>
      <x v="10"/>
      <x/>
    </i>
    <i>
      <x v="11"/>
      <x/>
    </i>
    <i>
      <x v="12"/>
      <x/>
    </i>
    <i>
      <x v="13"/>
      <x/>
    </i>
    <i>
      <x v="14"/>
      <x/>
    </i>
    <i>
      <x v="15"/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# POSIZIONE" fld="0" subtotal="count" baseField="15" baseItem="3"/>
    <dataField name="% POSIZIONE" fld="0" subtotal="count" showDataAs="percentOfCol" baseField="15" baseItem="3" numFmtId="10"/>
    <dataField name="IMPORTO Min" fld="17" subtotal="min" baseField="36" baseItem="0" numFmtId="44"/>
    <dataField name="IMPORTO Medio" fld="17" subtotal="average" baseField="15" baseItem="3" numFmtId="44"/>
  </dataFields>
  <formats count="11">
    <format dxfId="26">
      <pivotArea outline="0" fieldPosition="0">
        <references count="1">
          <reference field="4294967294" count="1" selected="0">
            <x v="3"/>
          </reference>
        </references>
      </pivotArea>
    </format>
    <format dxfId="27">
      <pivotArea outline="0" fieldPosition="0">
        <references count="1">
          <reference field="4294967294" count="1">
            <x v="1"/>
          </reference>
        </references>
      </pivotArea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47" type="button" dataOnly="0" labelOnly="1" outline="0" axis="axisRow" fieldPosition="1"/>
    </format>
    <format dxfId="31">
      <pivotArea field="36" type="button" dataOnly="0" labelOnly="1" outline="0"/>
    </format>
    <format dxfId="32">
      <pivotArea field="15" type="button" dataOnly="0" labelOnly="1" outline="0" axis="axisRow" fieldPosition="0"/>
    </format>
    <format dxfId="33">
      <pivotArea dataOnly="0" labelOnly="1" outline="0" fieldPosition="0">
        <references count="1">
          <reference field="47" count="0"/>
        </references>
      </pivotArea>
    </format>
    <format dxfId="34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36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7F471-F006-4CE1-A4A4-D8D32300257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:G13" firstHeaderRow="0" firstDataRow="1" firstDataCol="2"/>
  <pivotFields count="90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6">
        <item x="6"/>
        <item x="12"/>
        <item x="9"/>
        <item x="0"/>
        <item x="1"/>
        <item x="8"/>
        <item x="4"/>
        <item x="7"/>
        <item x="2"/>
        <item x="5"/>
        <item x="15"/>
        <item x="13"/>
        <item x="3"/>
        <item x="11"/>
        <item x="10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7"/>
    <field x="36"/>
  </rowFields>
  <rowItems count="5">
    <i>
      <x/>
      <x/>
    </i>
    <i r="1">
      <x v="1"/>
    </i>
    <i>
      <x v="1"/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# POSIZIONE" fld="0" subtotal="count" baseField="15" baseItem="3"/>
    <dataField name="% POSIZIONE" fld="0" subtotal="count" showDataAs="percentOfCol" baseField="15" baseItem="3" numFmtId="10"/>
    <dataField name="IMPORTO Min" fld="17" subtotal="min" baseField="36" baseItem="0" numFmtId="44"/>
    <dataField name="IMPORTO Medio" fld="17" subtotal="average" baseField="15" baseItem="3" numFmtId="44"/>
  </dataFields>
  <formats count="13">
    <format dxfId="107">
      <pivotArea outline="0" fieldPosition="0">
        <references count="1">
          <reference field="4294967294" count="1" selected="0">
            <x v="3"/>
          </reference>
        </references>
      </pivotArea>
    </format>
    <format dxfId="106">
      <pivotArea outline="0" fieldPosition="0">
        <references count="1">
          <reference field="4294967294" count="1">
            <x v="1"/>
          </reference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47" type="button" dataOnly="0" labelOnly="1" outline="0" axis="axisRow" fieldPosition="0"/>
    </format>
    <format dxfId="102">
      <pivotArea field="36" type="button" dataOnly="0" labelOnly="1" outline="0" axis="axisRow" fieldPosition="1"/>
    </format>
    <format dxfId="101">
      <pivotArea field="15" type="button" dataOnly="0" labelOnly="1" outline="0"/>
    </format>
    <format dxfId="100">
      <pivotArea dataOnly="0" labelOnly="1" outline="0" fieldPosition="0">
        <references count="1">
          <reference field="47" count="0"/>
        </references>
      </pivotArea>
    </format>
    <format dxfId="99">
      <pivotArea dataOnly="0" labelOnly="1" grandRow="1" outline="0" fieldPosition="0"/>
    </format>
    <format dxfId="98">
      <pivotArea dataOnly="0" labelOnly="1" outline="0" fieldPosition="0">
        <references count="2">
          <reference field="36" count="0"/>
          <reference field="47" count="1" selected="0">
            <x v="0"/>
          </reference>
        </references>
      </pivotArea>
    </format>
    <format dxfId="97">
      <pivotArea dataOnly="0" labelOnly="1" outline="0" fieldPosition="0">
        <references count="2">
          <reference field="36" count="0"/>
          <reference field="47" count="1" selected="0">
            <x v="1"/>
          </reference>
        </references>
      </pivotArea>
    </format>
    <format dxfId="96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95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3F054-067B-453C-9BBE-9AB88770300B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V7" firstHeaderRow="0" firstDataRow="1" firstDataCol="1"/>
  <pivotFields count="9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1"/>
        <item h="1" x="2"/>
        <item h="1" x="3"/>
        <item h="1" x="0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h="1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7"/>
  </rowFields>
  <rowItems count="2">
    <i>
      <x v="1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8" subtotal="min" baseField="46" baseItem="1"/>
    <dataField name="Min of Percentile_05" fld="49" subtotal="min" baseField="46" baseItem="1"/>
    <dataField name="Min of Percentile_10" fld="50" subtotal="min" baseField="46" baseItem="1"/>
    <dataField name="Min of Percentile_15" fld="51" subtotal="min" baseField="46" baseItem="1"/>
    <dataField name="Min of Percentile_20" fld="52" subtotal="min" baseField="46" baseItem="1"/>
    <dataField name="Min of Percentile_25" fld="53" subtotal="min" baseField="46" baseItem="1"/>
    <dataField name="Min of Percentile_30" fld="54" subtotal="min" baseField="46" baseItem="1"/>
    <dataField name="Min of Percentile_35" fld="55" subtotal="min" baseField="46" baseItem="1"/>
    <dataField name="Min of Percentile_40" fld="56" subtotal="min" baseField="46" baseItem="1"/>
    <dataField name="Min of Percentile_45" fld="57" subtotal="min" baseField="46" baseItem="1"/>
    <dataField name="Min of Percentile_50" fld="58" subtotal="min" baseField="46" baseItem="1"/>
    <dataField name="Min of Percentile_55" fld="59" subtotal="min" baseField="46" baseItem="1"/>
    <dataField name="Min of Percentile_60" fld="60" subtotal="min" baseField="46" baseItem="1"/>
    <dataField name="Min of Percentile_65" fld="61" subtotal="min" baseField="46" baseItem="1"/>
    <dataField name="Min of Percentile_70" fld="62" subtotal="min" baseField="46" baseItem="0"/>
    <dataField name="Min of Percentile_75" fld="63" subtotal="min" baseField="46" baseItem="1"/>
    <dataField name="Min of Percentile_80" fld="64" subtotal="min" baseField="46" baseItem="1"/>
    <dataField name="Min of Percentile_85" fld="65" subtotal="min" baseField="46" baseItem="1"/>
    <dataField name="Min of Percentile_90" fld="66" subtotal="min" baseField="46" baseItem="1"/>
    <dataField name="Min of Percentile_95" fld="67" subtotal="min" baseField="46" baseItem="1"/>
    <dataField name="Min of Percentile_100" fld="68" subtotal="min" baseField="46" baseItem="1"/>
  </dataFields>
  <formats count="7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3" type="button" dataOnly="0" labelOnly="1" outline="0"/>
    </format>
    <format dxfId="86">
      <pivotArea field="46" type="button" dataOnly="0" labelOnly="1" outline="0"/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83">
      <pivotArea outline="0" fieldPosition="0">
        <references count="1">
          <reference field="47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56E8C-65A5-451A-80F7-0E5D1700E07F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X13" firstHeaderRow="0" firstDataRow="1" firstDataCol="2"/>
  <pivotFields count="9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1"/>
        <item h="1" x="2"/>
        <item h="1" x="3"/>
        <item h="1" x="0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h="1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7"/>
    <field x="36"/>
  </rowFields>
  <rowItems count="3">
    <i>
      <x v="1"/>
      <x/>
    </i>
    <i r="1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9" baseField="0" baseItem="0"/>
    <dataField name="Sum of flag_Percentile_05" fld="70" baseField="0" baseItem="0"/>
    <dataField name="Sum of flag_Percentile_10" fld="71" baseField="0" baseItem="0"/>
    <dataField name="Sum of flag_Percentile_15" fld="72" baseField="0" baseItem="0"/>
    <dataField name="Sum of flag_Percentile_20" fld="73" baseField="0" baseItem="0"/>
    <dataField name="Sum of flag_Percentile_25" fld="74" baseField="0" baseItem="0"/>
    <dataField name="Sum of flag_Percentile_30" fld="75" baseField="0" baseItem="0"/>
    <dataField name="Sum of flag_Percentile_35" fld="76" baseField="0" baseItem="0"/>
    <dataField name="Sum of flag_Percentile_40" fld="77" baseField="0" baseItem="0"/>
    <dataField name="Sum of flag_Percentile_45" fld="78" baseField="0" baseItem="0"/>
    <dataField name="Sum of flag_Percentile_50" fld="79" baseField="0" baseItem="0"/>
    <dataField name="Sum of flag_Percentile_55" fld="80" baseField="0" baseItem="0"/>
    <dataField name="Sum of flag_Percentile_60" fld="81" baseField="0" baseItem="0"/>
    <dataField name="Sum of flag_Percentile_65" fld="82" baseField="0" baseItem="0"/>
    <dataField name="Sum of flag_Percentile_70" fld="83" baseField="0" baseItem="0"/>
    <dataField name="Sum of flag_Percentile_75" fld="84" baseField="0" baseItem="0"/>
    <dataField name="Sum of flag_Percentile_80" fld="85" baseField="0" baseItem="0"/>
    <dataField name="Sum of flag_Percentile_85" fld="86" baseField="0" baseItem="0"/>
    <dataField name="Sum of flag_Percentile_90" fld="87" baseField="0" baseItem="0"/>
    <dataField name="Sum of flag_Percentile_95" fld="88" baseField="0" baseItem="0"/>
    <dataField name="Sum of flag_Percentile_100" fld="89" baseField="0" baseItem="0"/>
  </dataFields>
  <formats count="5"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13" type="button" dataOnly="0" labelOnly="1" outline="0"/>
    </format>
    <format dxfId="91">
      <pivotArea field="46" type="button" dataOnly="0" labelOnly="1" outline="0"/>
    </format>
    <format dxfId="9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67000-0670-43B9-A04E-EE8E2260009E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V7" firstHeaderRow="0" firstDataRow="1" firstDataCol="1"/>
  <pivotFields count="9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1"/>
        <item h="1" x="2"/>
        <item h="1" x="3"/>
        <item h="1" x="0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7"/>
  </rowFields>
  <rowItems count="2">
    <i>
      <x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8" subtotal="min" baseField="46" baseItem="1"/>
    <dataField name="Min of Percentile_05" fld="49" subtotal="min" baseField="46" baseItem="1"/>
    <dataField name="Min of Percentile_10" fld="50" subtotal="min" baseField="46" baseItem="1"/>
    <dataField name="Min of Percentile_15" fld="51" subtotal="min" baseField="46" baseItem="1"/>
    <dataField name="Min of Percentile_20" fld="52" subtotal="min" baseField="46" baseItem="1"/>
    <dataField name="Min of Percentile_25" fld="53" subtotal="min" baseField="46" baseItem="1"/>
    <dataField name="Min of Percentile_30" fld="54" subtotal="min" baseField="46" baseItem="1"/>
    <dataField name="Min of Percentile_35" fld="55" subtotal="min" baseField="46" baseItem="1"/>
    <dataField name="Min of Percentile_40" fld="56" subtotal="min" baseField="46" baseItem="1"/>
    <dataField name="Min of Percentile_45" fld="57" subtotal="min" baseField="46" baseItem="1"/>
    <dataField name="Min of Percentile_50" fld="58" subtotal="min" baseField="46" baseItem="1"/>
    <dataField name="Min of Percentile_55" fld="59" subtotal="min" baseField="46" baseItem="1"/>
    <dataField name="Min of Percentile_60" fld="60" subtotal="min" baseField="46" baseItem="1"/>
    <dataField name="Min of Percentile_65" fld="61" subtotal="min" baseField="46" baseItem="1"/>
    <dataField name="Min of Percentile_70" fld="62" subtotal="min" baseField="46" baseItem="0"/>
    <dataField name="Min of Percentile_75" fld="63" subtotal="min" baseField="46" baseItem="1"/>
    <dataField name="Min of Percentile_80" fld="64" subtotal="min" baseField="46" baseItem="1"/>
    <dataField name="Min of Percentile_85" fld="65" subtotal="min" baseField="46" baseItem="1"/>
    <dataField name="Min of Percentile_90" fld="66" subtotal="min" baseField="46" baseItem="1"/>
    <dataField name="Min of Percentile_95" fld="67" subtotal="min" baseField="46" baseItem="1"/>
    <dataField name="Min of Percentile_100" fld="68" subtotal="min" baseField="46" baseItem="1"/>
  </dataFields>
  <formats count="7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3" type="button" dataOnly="0" labelOnly="1" outline="0"/>
    </format>
    <format dxfId="74">
      <pivotArea field="46" type="button" dataOnly="0" labelOnly="1" outline="0"/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71">
      <pivotArea outline="0" fieldPosition="0">
        <references count="1">
          <reference field="47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6500A-A8C9-4B40-9FC2-4D14CFFEB93C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X13" firstHeaderRow="0" firstDataRow="1" firstDataCol="2"/>
  <pivotFields count="9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1"/>
        <item h="1" x="2"/>
        <item h="1" x="3"/>
        <item h="1" x="0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7"/>
    <field x="36"/>
  </rowFields>
  <rowItems count="3">
    <i>
      <x/>
      <x/>
    </i>
    <i r="1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9" baseField="0" baseItem="0"/>
    <dataField name="Sum of flag_Percentile_05" fld="70" baseField="0" baseItem="0"/>
    <dataField name="Sum of flag_Percentile_10" fld="71" baseField="0" baseItem="0"/>
    <dataField name="Sum of flag_Percentile_15" fld="72" baseField="0" baseItem="0"/>
    <dataField name="Sum of flag_Percentile_20" fld="73" baseField="0" baseItem="0"/>
    <dataField name="Sum of flag_Percentile_25" fld="74" baseField="0" baseItem="0"/>
    <dataField name="Sum of flag_Percentile_30" fld="75" baseField="0" baseItem="0"/>
    <dataField name="Sum of flag_Percentile_35" fld="76" baseField="0" baseItem="0"/>
    <dataField name="Sum of flag_Percentile_40" fld="77" baseField="0" baseItem="0"/>
    <dataField name="Sum of flag_Percentile_45" fld="78" baseField="0" baseItem="0"/>
    <dataField name="Sum of flag_Percentile_50" fld="79" baseField="0" baseItem="0"/>
    <dataField name="Sum of flag_Percentile_55" fld="80" baseField="0" baseItem="0"/>
    <dataField name="Sum of flag_Percentile_60" fld="81" baseField="0" baseItem="0"/>
    <dataField name="Sum of flag_Percentile_65" fld="82" baseField="0" baseItem="0"/>
    <dataField name="Sum of flag_Percentile_70" fld="83" baseField="0" baseItem="0"/>
    <dataField name="Sum of flag_Percentile_75" fld="84" baseField="0" baseItem="0"/>
    <dataField name="Sum of flag_Percentile_80" fld="85" baseField="0" baseItem="0"/>
    <dataField name="Sum of flag_Percentile_85" fld="86" baseField="0" baseItem="0"/>
    <dataField name="Sum of flag_Percentile_90" fld="87" baseField="0" baseItem="0"/>
    <dataField name="Sum of flag_Percentile_95" fld="88" baseField="0" baseItem="0"/>
    <dataField name="Sum of flag_Percentile_100" fld="89" baseField="0" baseItem="0"/>
  </dataFields>
  <formats count="5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13" type="button" dataOnly="0" labelOnly="1" outline="0"/>
    </format>
    <format dxfId="79">
      <pivotArea field="46" type="button" dataOnly="0" labelOnly="1" outline="0"/>
    </format>
    <format dxfId="7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F7C29-2A76-4A66-967A-E5774952F323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9"/>
        <item h="1" x="6"/>
        <item h="1" x="8"/>
        <item h="1" x="15"/>
        <item h="1" x="22"/>
        <item h="1" x="5"/>
        <item h="1" x="13"/>
        <item h="1" x="31"/>
        <item h="1" x="24"/>
        <item h="1" x="12"/>
        <item h="1" x="25"/>
        <item h="1" x="17"/>
        <item h="1" x="16"/>
        <item h="1" x="0"/>
        <item h="1" x="7"/>
        <item h="1" x="3"/>
        <item x="1"/>
        <item h="1" x="10"/>
        <item h="1" x="11"/>
        <item h="1" x="14"/>
        <item h="1" x="18"/>
        <item h="1" x="19"/>
        <item h="1" x="20"/>
        <item h="1" x="21"/>
        <item h="1" x="4"/>
        <item h="1" x="23"/>
        <item h="1" x="26"/>
        <item h="1" x="27"/>
        <item h="1" x="28"/>
        <item h="1" x="30"/>
        <item h="1" x="2"/>
        <item h="1" x="32"/>
        <item h="1" x="33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0"/>
        <item h="1" x="3"/>
        <item h="1" x="5"/>
        <item h="1" x="4"/>
        <item h="1" x="2"/>
        <item h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6"/>
      <x v="6"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3" type="button" dataOnly="0" labelOnly="1" outline="0" axis="axisRow" fieldPosition="0"/>
    </format>
    <format dxfId="58">
      <pivotArea field="46" type="button" dataOnly="0" labelOnly="1" outline="0" axis="axisRow" fieldPosition="1"/>
    </format>
    <format dxfId="57">
      <pivotArea dataOnly="0" labelOnly="1" outline="0" fieldPosition="0">
        <references count="1">
          <reference field="13" count="0"/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54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BBFC4-CE31-4531-8504-5A99DE0F25C1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9"/>
        <item h="1" x="6"/>
        <item h="1" x="8"/>
        <item h="1" x="15"/>
        <item h="1" x="22"/>
        <item h="1" x="5"/>
        <item h="1" x="13"/>
        <item h="1" x="31"/>
        <item h="1" x="24"/>
        <item h="1" x="12"/>
        <item h="1" x="25"/>
        <item h="1" x="17"/>
        <item h="1" x="16"/>
        <item h="1" x="0"/>
        <item h="1" x="7"/>
        <item h="1" x="3"/>
        <item x="1"/>
        <item h="1" x="10"/>
        <item h="1" x="11"/>
        <item h="1" x="14"/>
        <item h="1" x="18"/>
        <item h="1" x="19"/>
        <item h="1" x="20"/>
        <item h="1" x="21"/>
        <item h="1" x="4"/>
        <item h="1" x="23"/>
        <item h="1" x="26"/>
        <item h="1" x="27"/>
        <item h="1" x="28"/>
        <item h="1" x="30"/>
        <item h="1" x="2"/>
        <item h="1" x="32"/>
        <item h="1" x="33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0"/>
        <item h="1" x="3"/>
        <item h="1" x="5"/>
        <item h="1" x="4"/>
        <item h="1" x="2"/>
        <item h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6"/>
      <x v="6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3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3" type="button" dataOnly="0" labelOnly="1" outline="0" axis="axisRow" fieldPosition="0"/>
    </format>
    <format dxfId="67">
      <pivotArea field="46" type="button" dataOnly="0" labelOnly="1" outline="0" axis="axisRow" fieldPosition="1"/>
    </format>
    <format dxfId="66">
      <pivotArea dataOnly="0" labelOnly="1" outline="0" fieldPosition="0">
        <references count="1">
          <reference field="13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63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62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03D4F-B1B3-4695-9DF0-B5EBB00810CD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9"/>
        <item h="1" x="6"/>
        <item h="1" x="8"/>
        <item h="1" x="15"/>
        <item h="1" x="22"/>
        <item h="1" x="5"/>
        <item h="1" x="13"/>
        <item h="1" x="31"/>
        <item h="1" x="24"/>
        <item h="1" x="12"/>
        <item h="1" x="25"/>
        <item h="1" x="17"/>
        <item h="1" x="16"/>
        <item h="1" x="0"/>
        <item h="1" x="7"/>
        <item x="3"/>
        <item h="1" x="1"/>
        <item h="1" x="10"/>
        <item h="1" x="11"/>
        <item h="1" x="14"/>
        <item h="1" x="18"/>
        <item h="1" x="19"/>
        <item h="1" x="20"/>
        <item h="1" x="21"/>
        <item h="1" x="4"/>
        <item h="1" x="23"/>
        <item h="1" x="26"/>
        <item h="1" x="27"/>
        <item h="1" x="28"/>
        <item h="1" x="30"/>
        <item h="1" x="2"/>
        <item h="1" x="32"/>
        <item h="1" x="33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0"/>
        <item h="1" x="3"/>
        <item h="1" x="5"/>
        <item h="1" x="4"/>
        <item h="1" x="2"/>
        <item h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5"/>
      <x v="6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3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3" type="button" dataOnly="0" labelOnly="1" outline="0" axis="axisRow" fieldPosition="0"/>
    </format>
    <format dxfId="42">
      <pivotArea field="46" type="button" dataOnly="0" labelOnly="1" outline="0" axis="axisRow" fieldPosition="1"/>
    </format>
    <format dxfId="41">
      <pivotArea dataOnly="0" labelOnly="1" outline="0" fieldPosition="0">
        <references count="1">
          <reference field="13" count="0"/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38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37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D6166-09A7-4AF6-A2EA-F475BD0A3677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9"/>
        <item h="1" x="6"/>
        <item h="1" x="8"/>
        <item h="1" x="15"/>
        <item h="1" x="22"/>
        <item h="1" x="5"/>
        <item h="1" x="13"/>
        <item h="1" x="31"/>
        <item h="1" x="24"/>
        <item h="1" x="12"/>
        <item h="1" x="25"/>
        <item h="1" x="17"/>
        <item h="1" x="16"/>
        <item h="1" x="0"/>
        <item h="1" x="7"/>
        <item x="3"/>
        <item h="1" x="1"/>
        <item h="1" x="10"/>
        <item h="1" x="11"/>
        <item h="1" x="14"/>
        <item h="1" x="18"/>
        <item h="1" x="19"/>
        <item h="1" x="20"/>
        <item h="1" x="21"/>
        <item h="1" x="4"/>
        <item h="1" x="23"/>
        <item h="1" x="26"/>
        <item h="1" x="27"/>
        <item h="1" x="28"/>
        <item h="1" x="30"/>
        <item h="1" x="2"/>
        <item h="1" x="32"/>
        <item h="1" x="33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0"/>
        <item h="1" x="3"/>
        <item h="1" x="5"/>
        <item h="1" x="4"/>
        <item h="1" x="2"/>
        <item h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5"/>
      <x v="6"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3" type="button" dataOnly="0" labelOnly="1" outline="0" axis="axisRow" fieldPosition="0"/>
    </format>
    <format dxfId="50">
      <pivotArea field="46" type="button" dataOnly="0" labelOnly="1" outline="0" axis="axisRow" fieldPosition="1"/>
    </format>
    <format dxfId="49">
      <pivotArea dataOnly="0" labelOnly="1" outline="0" fieldPosition="0">
        <references count="1">
          <reference field="13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46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EBEC-C982-4088-8EE9-51FC0F20EE5F}">
  <sheetPr>
    <tabColor theme="6" tint="0.59999389629810485"/>
  </sheetPr>
  <dimension ref="B1:W28"/>
  <sheetViews>
    <sheetView showGridLines="0" tabSelected="1" zoomScale="77" zoomScaleNormal="70" workbookViewId="0">
      <selection activeCell="L23" sqref="L23"/>
    </sheetView>
  </sheetViews>
  <sheetFormatPr defaultRowHeight="14.5" x14ac:dyDescent="0.35"/>
  <cols>
    <col min="2" max="2" width="6.08984375" hidden="1" customWidth="1"/>
    <col min="4" max="4" width="19" bestFit="1" customWidth="1"/>
    <col min="5" max="5" width="27.1796875" bestFit="1" customWidth="1"/>
    <col min="6" max="6" width="15.81640625" bestFit="1" customWidth="1"/>
    <col min="7" max="7" width="16.1796875" bestFit="1" customWidth="1"/>
    <col min="8" max="8" width="12.453125" bestFit="1" customWidth="1"/>
    <col min="9" max="9" width="15.81640625" bestFit="1" customWidth="1"/>
    <col min="10" max="10" width="16.1796875" bestFit="1" customWidth="1"/>
    <col min="11" max="11" width="10.453125" bestFit="1" customWidth="1"/>
    <col min="12" max="12" width="15" bestFit="1" customWidth="1"/>
    <col min="13" max="13" width="16.26953125" bestFit="1" customWidth="1"/>
    <col min="14" max="14" width="9.1796875" bestFit="1" customWidth="1"/>
    <col min="15" max="15" width="9.1796875" customWidth="1"/>
    <col min="16" max="16" width="10.1796875" hidden="1" customWidth="1"/>
    <col min="17" max="17" width="12.1796875" bestFit="1" customWidth="1"/>
    <col min="18" max="18" width="15.6328125" bestFit="1" customWidth="1"/>
    <col min="19" max="19" width="9.26953125" bestFit="1" customWidth="1"/>
    <col min="20" max="20" width="12" customWidth="1"/>
    <col min="21" max="21" width="18.7265625" bestFit="1" customWidth="1"/>
    <col min="22" max="22" width="14.26953125" bestFit="1" customWidth="1"/>
    <col min="23" max="23" width="17.90625" bestFit="1" customWidth="1"/>
    <col min="24" max="24" width="7.1796875" bestFit="1" customWidth="1"/>
  </cols>
  <sheetData>
    <row r="1" spans="2:23" ht="15" thickBot="1" x14ac:dyDescent="0.4"/>
    <row r="2" spans="2:23" ht="14.5" customHeight="1" x14ac:dyDescent="0.35">
      <c r="D2" s="34" t="s">
        <v>379</v>
      </c>
      <c r="E2" s="35"/>
      <c r="F2" s="35"/>
      <c r="G2" s="35"/>
      <c r="H2" s="35"/>
      <c r="I2" s="35"/>
      <c r="J2" s="35"/>
      <c r="K2" s="35"/>
      <c r="L2" s="35"/>
      <c r="M2" s="35"/>
      <c r="N2" s="36"/>
      <c r="O2" s="29"/>
    </row>
    <row r="3" spans="2:23" x14ac:dyDescent="0.35">
      <c r="D3" s="37"/>
      <c r="E3" s="38"/>
      <c r="F3" s="38"/>
      <c r="G3" s="38"/>
      <c r="H3" s="38"/>
      <c r="I3" s="38"/>
      <c r="J3" s="38"/>
      <c r="K3" s="38"/>
      <c r="L3" s="38"/>
      <c r="M3" s="38"/>
      <c r="N3" s="39"/>
      <c r="O3" s="29"/>
    </row>
    <row r="4" spans="2:23" x14ac:dyDescent="0.35">
      <c r="D4" s="37"/>
      <c r="E4" s="38"/>
      <c r="F4" s="38"/>
      <c r="G4" s="38"/>
      <c r="H4" s="38"/>
      <c r="I4" s="38"/>
      <c r="J4" s="38"/>
      <c r="K4" s="38"/>
      <c r="L4" s="38"/>
      <c r="M4" s="38"/>
      <c r="N4" s="39"/>
      <c r="O4" s="29"/>
    </row>
    <row r="5" spans="2:23" x14ac:dyDescent="0.35">
      <c r="D5" s="37"/>
      <c r="E5" s="38"/>
      <c r="F5" s="38"/>
      <c r="G5" s="38"/>
      <c r="H5" s="38"/>
      <c r="I5" s="38"/>
      <c r="J5" s="38"/>
      <c r="K5" s="38"/>
      <c r="L5" s="38"/>
      <c r="M5" s="38"/>
      <c r="N5" s="39"/>
      <c r="O5" s="29"/>
    </row>
    <row r="6" spans="2:23" x14ac:dyDescent="0.35">
      <c r="D6" s="37"/>
      <c r="E6" s="38"/>
      <c r="F6" s="38"/>
      <c r="G6" s="38"/>
      <c r="H6" s="38"/>
      <c r="I6" s="38"/>
      <c r="J6" s="38"/>
      <c r="K6" s="38"/>
      <c r="L6" s="38"/>
      <c r="M6" s="38"/>
      <c r="N6" s="39"/>
      <c r="O6" s="29"/>
    </row>
    <row r="7" spans="2:23" ht="15" thickBot="1" x14ac:dyDescent="0.4">
      <c r="D7" s="40"/>
      <c r="E7" s="41"/>
      <c r="F7" s="41"/>
      <c r="G7" s="41"/>
      <c r="H7" s="41"/>
      <c r="I7" s="41"/>
      <c r="J7" s="41"/>
      <c r="K7" s="41"/>
      <c r="L7" s="41"/>
      <c r="M7" s="41"/>
      <c r="N7" s="42"/>
      <c r="O7" s="29"/>
    </row>
    <row r="9" spans="2:23" x14ac:dyDescent="0.35">
      <c r="E9" s="6"/>
      <c r="F9" s="43" t="s">
        <v>407</v>
      </c>
      <c r="G9" s="43"/>
      <c r="H9" s="43"/>
      <c r="I9" s="43" t="s">
        <v>408</v>
      </c>
      <c r="J9" s="43"/>
      <c r="K9" s="43"/>
      <c r="L9" s="6"/>
      <c r="M9" s="6"/>
    </row>
    <row r="10" spans="2:23" x14ac:dyDescent="0.35">
      <c r="B10" s="11" t="s">
        <v>250</v>
      </c>
      <c r="F10" s="12" t="s">
        <v>248</v>
      </c>
      <c r="G10" s="12" t="s">
        <v>400</v>
      </c>
      <c r="H10" s="12" t="s">
        <v>251</v>
      </c>
      <c r="I10" s="12" t="s">
        <v>248</v>
      </c>
      <c r="J10" s="12" t="s">
        <v>400</v>
      </c>
      <c r="K10" s="12" t="s">
        <v>251</v>
      </c>
      <c r="L10" s="9" t="s">
        <v>249</v>
      </c>
      <c r="M10" s="9" t="s">
        <v>411</v>
      </c>
      <c r="N10" s="18" t="s">
        <v>136</v>
      </c>
      <c r="P10" s="24" t="s">
        <v>395</v>
      </c>
      <c r="Q10" s="24" t="s">
        <v>398</v>
      </c>
      <c r="R10" s="24" t="s">
        <v>396</v>
      </c>
      <c r="S10" s="24" t="s">
        <v>397</v>
      </c>
      <c r="U10" s="12" t="s">
        <v>390</v>
      </c>
      <c r="V10" s="12" t="s">
        <v>391</v>
      </c>
      <c r="W10" s="12" t="s">
        <v>392</v>
      </c>
    </row>
    <row r="11" spans="2:23" ht="14.5" customHeight="1" x14ac:dyDescent="0.35">
      <c r="B11" s="5" t="s">
        <v>281</v>
      </c>
      <c r="E11" s="9" t="s">
        <v>377</v>
      </c>
      <c r="F11" s="3">
        <v>23</v>
      </c>
      <c r="G11" s="3">
        <f ca="1">IF(N11="","",INDEX(INDIRECT("'"&amp;B11&amp;"'!B17:Y26"),MATCH("Totale",INDIRECT("'"&amp;B11&amp;"'!A17:A26"),0),MATCH(N11,INDIRECT("'"&amp;B11&amp;"'!B17:Y17"),0)))</f>
        <v>10</v>
      </c>
      <c r="H11" s="4">
        <f ca="1">(F11-G11)/F11</f>
        <v>0.56521739130434778</v>
      </c>
      <c r="I11" s="3">
        <v>13</v>
      </c>
      <c r="J11" s="3">
        <f ca="1">IF(N11="","",INDEX(INDIRECT("'"&amp;B11&amp;"'!B17:Y26"),MATCH("Falso Positivo",INDIRECT("'"&amp;B11&amp;"'!A17:A26"),0),MATCH(N11,INDIRECT("'"&amp;B11&amp;"'!B17:Y17"),0)))</f>
        <v>7</v>
      </c>
      <c r="K11" s="4">
        <f ca="1">(I11-J11)/I11</f>
        <v>0.46153846153846156</v>
      </c>
      <c r="L11" s="16">
        <v>35000</v>
      </c>
      <c r="M11" s="16">
        <f ca="1">IF(N11="","",IF(N11="T0",L11,INDEX(INDIRECT("'"&amp;B11&amp;"'!B17:Y26"),MATCH("Soglia",INDIRECT("'"&amp;B11&amp;"'!A17:A26"),0),MATCH(N11,INDIRECT("'"&amp;B11&amp;"'!B17:Y17"),0))))</f>
        <v>62646.03</v>
      </c>
      <c r="N11" s="13" t="s">
        <v>124</v>
      </c>
      <c r="P11" s="30">
        <f ca="1">M11-L11</f>
        <v>27646.03</v>
      </c>
      <c r="Q11" s="25">
        <f ca="1">(M11-L11)/L11</f>
        <v>0.78988657142857144</v>
      </c>
      <c r="R11" s="26">
        <f ca="1">S11*Q11</f>
        <v>18.167391142857142</v>
      </c>
      <c r="S11" s="27">
        <f>F11</f>
        <v>23</v>
      </c>
      <c r="T11" s="2"/>
      <c r="U11" s="13" t="s">
        <v>115</v>
      </c>
      <c r="V11" s="13" t="s">
        <v>119</v>
      </c>
      <c r="W11" s="13" t="s">
        <v>124</v>
      </c>
    </row>
    <row r="12" spans="2:23" x14ac:dyDescent="0.35">
      <c r="B12" s="5" t="s">
        <v>262</v>
      </c>
      <c r="E12" s="9" t="s">
        <v>378</v>
      </c>
      <c r="F12" s="3">
        <v>110</v>
      </c>
      <c r="G12" s="3">
        <f ca="1">IF(N12="","",INDEX(INDIRECT("'"&amp;B12&amp;"'!B17:Y26"),MATCH("Totale",INDIRECT("'"&amp;B12&amp;"'!A17:A26"),0),MATCH(N12,INDIRECT("'"&amp;B12&amp;"'!B17:Y17"),0)))</f>
        <v>57</v>
      </c>
      <c r="H12" s="4">
        <f ca="1">(F12-G12)/F12</f>
        <v>0.48181818181818181</v>
      </c>
      <c r="I12" s="3">
        <v>49</v>
      </c>
      <c r="J12" s="3">
        <f ca="1">IF(N12="","",INDEX(INDIRECT("'"&amp;B12&amp;"'!B17:Y26"),MATCH("Falso Positivo",INDIRECT("'"&amp;B12&amp;"'!A17:A26"),0),MATCH(N12,INDIRECT("'"&amp;B12&amp;"'!B17:Y17"),0)))</f>
        <v>25</v>
      </c>
      <c r="K12" s="4">
        <f ca="1">(I12-J12)/I12</f>
        <v>0.48979591836734693</v>
      </c>
      <c r="L12" s="16">
        <v>4999</v>
      </c>
      <c r="M12" s="16">
        <f ca="1">IF(N12="","",IF(N12="T0",L12,INDEX(INDIRECT("'"&amp;B12&amp;"'!B17:Y26"),MATCH("Soglia",INDIRECT("'"&amp;B12&amp;"'!A17:A26"),0),MATCH(N12,INDIRECT("'"&amp;B12&amp;"'!B17:Y17"),0))))</f>
        <v>30000</v>
      </c>
      <c r="N12" s="13" t="s">
        <v>124</v>
      </c>
      <c r="P12" s="30">
        <f ca="1">M12-L12</f>
        <v>25001</v>
      </c>
      <c r="Q12" s="25">
        <f ca="1">(M12-L12)/L12</f>
        <v>5.0012002400480098</v>
      </c>
      <c r="R12" s="26">
        <f ca="1">S12*Q12</f>
        <v>550.13202640528107</v>
      </c>
      <c r="S12" s="27">
        <f>F12</f>
        <v>110</v>
      </c>
      <c r="T12" s="2"/>
      <c r="U12" s="13" t="s">
        <v>115</v>
      </c>
      <c r="V12" s="13" t="s">
        <v>119</v>
      </c>
      <c r="W12" s="13" t="s">
        <v>124</v>
      </c>
    </row>
    <row r="13" spans="2:23" x14ac:dyDescent="0.35">
      <c r="E13" s="9" t="s">
        <v>403</v>
      </c>
      <c r="F13" s="9">
        <f>SUM(F11:F12)</f>
        <v>133</v>
      </c>
      <c r="G13" s="9">
        <f ca="1">SUM(G11:G12)</f>
        <v>67</v>
      </c>
      <c r="H13" s="10">
        <f ca="1">(F13-G13)/F13</f>
        <v>0.49624060150375937</v>
      </c>
      <c r="I13" s="9">
        <f>SUM(I11:I12)</f>
        <v>62</v>
      </c>
      <c r="J13" s="9">
        <f ca="1">SUM(J11:J12)</f>
        <v>32</v>
      </c>
      <c r="K13" s="10">
        <f ca="1">(I13-J13)/I13</f>
        <v>0.4838709677419355</v>
      </c>
      <c r="L13" s="9"/>
      <c r="M13" s="22"/>
      <c r="N13" s="9"/>
      <c r="Q13" s="23"/>
      <c r="R13" s="28">
        <f ca="1">SUM(R11:R12)</f>
        <v>568.29941754813819</v>
      </c>
      <c r="S13" s="28"/>
      <c r="T13" s="23"/>
    </row>
    <row r="15" spans="2:23" x14ac:dyDescent="0.35">
      <c r="P15" s="20"/>
      <c r="Q15" s="20"/>
      <c r="S15" s="20"/>
      <c r="T15" s="20"/>
    </row>
    <row r="16" spans="2:23" x14ac:dyDescent="0.35">
      <c r="F16" s="43" t="s">
        <v>403</v>
      </c>
      <c r="G16" s="43"/>
      <c r="H16" s="43" t="s">
        <v>402</v>
      </c>
      <c r="I16" s="43"/>
      <c r="J16" s="43" t="s">
        <v>399</v>
      </c>
      <c r="K16" s="43"/>
      <c r="P16" s="2"/>
      <c r="Q16" s="2"/>
      <c r="R16" s="2"/>
      <c r="S16" s="2"/>
      <c r="T16" s="2"/>
    </row>
    <row r="17" spans="5:12" x14ac:dyDescent="0.35">
      <c r="F17" s="33" t="s">
        <v>248</v>
      </c>
      <c r="G17" s="33" t="s">
        <v>400</v>
      </c>
      <c r="H17" s="33" t="s">
        <v>248</v>
      </c>
      <c r="I17" s="33" t="s">
        <v>400</v>
      </c>
      <c r="J17" s="33" t="s">
        <v>248</v>
      </c>
      <c r="K17" s="33" t="s">
        <v>400</v>
      </c>
    </row>
    <row r="18" spans="5:12" x14ac:dyDescent="0.35">
      <c r="E18" s="9" t="s">
        <v>380</v>
      </c>
      <c r="F18" s="3">
        <f>COUNTA(INDEX(Data!$1:$1048576,0,MATCH("flag_stato",Data!1:1,0)))-1</f>
        <v>133</v>
      </c>
      <c r="G18" s="3">
        <f ca="1">G13</f>
        <v>67</v>
      </c>
      <c r="H18" s="3">
        <f>COUNTIF(INDEX(Data!$1:$1048576,0,MATCH("flag_stato",Data!1:1,0)),0)</f>
        <v>62</v>
      </c>
      <c r="I18" s="3">
        <f ca="1">J13</f>
        <v>32</v>
      </c>
      <c r="J18" s="13">
        <f>F18-H18</f>
        <v>71</v>
      </c>
      <c r="K18" s="13">
        <f ca="1">G18-I18</f>
        <v>35</v>
      </c>
      <c r="L18" s="2"/>
    </row>
    <row r="19" spans="5:12" x14ac:dyDescent="0.35">
      <c r="E19" s="9" t="s">
        <v>251</v>
      </c>
      <c r="F19" s="44">
        <f ca="1">(F18-G18)/F18</f>
        <v>0.49624060150375937</v>
      </c>
      <c r="G19" s="44"/>
      <c r="H19" s="44">
        <f ca="1">(H18-I18)/H18</f>
        <v>0.4838709677419355</v>
      </c>
      <c r="I19" s="44"/>
      <c r="J19" s="45">
        <f ca="1">(J18-K18)/J18</f>
        <v>0.50704225352112675</v>
      </c>
      <c r="K19" s="45"/>
      <c r="L19" s="2"/>
    </row>
    <row r="20" spans="5:12" ht="14.5" customHeight="1" x14ac:dyDescent="0.35"/>
    <row r="23" spans="5:12" x14ac:dyDescent="0.35">
      <c r="F23" s="12" t="s">
        <v>412</v>
      </c>
      <c r="G23" s="12" t="s">
        <v>413</v>
      </c>
      <c r="H23" s="12" t="s">
        <v>401</v>
      </c>
      <c r="I23" s="12" t="s">
        <v>414</v>
      </c>
      <c r="J23" s="12" t="s">
        <v>415</v>
      </c>
    </row>
    <row r="24" spans="5:12" x14ac:dyDescent="0.35">
      <c r="F24" s="31" cm="1">
        <f t="array" aca="1" ref="F24" ca="1">MIN(IF(P11:P12&lt;&gt;0,P11:P12))</f>
        <v>25001</v>
      </c>
      <c r="G24" s="32" cm="1">
        <f t="array" aca="1" ref="G24" ca="1">MAX(IF(P11:P12&lt;&gt;0,P11:P12))</f>
        <v>27646.03</v>
      </c>
      <c r="H24" s="17">
        <f ca="1">R13/F18</f>
        <v>4.2729279514897609</v>
      </c>
      <c r="I24" s="17" cm="1">
        <f t="array" aca="1" ref="I24" ca="1">MIN(IF(Q11:Q12&lt;&gt;0,Q11:Q12))</f>
        <v>0.78988657142857144</v>
      </c>
      <c r="J24" s="17" cm="1">
        <f t="array" aca="1" ref="J24" ca="1">MAX(IF(Q11:Q12&lt;&gt;0,Q11:Q12))</f>
        <v>5.0012002400480098</v>
      </c>
    </row>
    <row r="28" spans="5:12" ht="14.5" customHeight="1" x14ac:dyDescent="0.35"/>
  </sheetData>
  <mergeCells count="9">
    <mergeCell ref="D2:N7"/>
    <mergeCell ref="I9:K9"/>
    <mergeCell ref="F9:H9"/>
    <mergeCell ref="F19:G19"/>
    <mergeCell ref="H19:I19"/>
    <mergeCell ref="F16:G16"/>
    <mergeCell ref="H16:I16"/>
    <mergeCell ref="J16:K16"/>
    <mergeCell ref="J19:K19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05D227-AB51-41C8-9B46-DE271211C350}">
          <x14:formula1>
            <xm:f>Media!$B$17:$W$17</xm:f>
          </x14:formula1>
          <xm:sqref>N11:N12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11415-8D0E-4E5C-A064-B4F1A407E400}">
  <sheetPr>
    <tabColor theme="6" tint="0.59999389629810485"/>
  </sheetPr>
  <dimension ref="B2:G35"/>
  <sheetViews>
    <sheetView showGridLines="0" topLeftCell="A12" zoomScale="85" zoomScaleNormal="85" workbookViewId="0">
      <selection activeCell="H19" sqref="H19"/>
    </sheetView>
  </sheetViews>
  <sheetFormatPr defaultRowHeight="14.5" x14ac:dyDescent="0.35"/>
  <cols>
    <col min="2" max="2" width="28.6328125" bestFit="1" customWidth="1"/>
    <col min="3" max="3" width="15.7265625" bestFit="1" customWidth="1"/>
    <col min="4" max="4" width="11.54296875" bestFit="1" customWidth="1"/>
    <col min="5" max="5" width="12.08984375" bestFit="1" customWidth="1"/>
    <col min="6" max="6" width="13.1796875" bestFit="1" customWidth="1"/>
    <col min="7" max="8" width="15.36328125" bestFit="1" customWidth="1"/>
    <col min="9" max="9" width="15.7265625" bestFit="1" customWidth="1"/>
    <col min="10" max="11" width="19" bestFit="1" customWidth="1"/>
    <col min="12" max="21" width="18.6328125" bestFit="1" customWidth="1"/>
    <col min="22" max="22" width="19.6328125" bestFit="1" customWidth="1"/>
  </cols>
  <sheetData>
    <row r="2" spans="2:7" ht="14.5" customHeight="1" x14ac:dyDescent="0.35">
      <c r="B2" s="38" t="s">
        <v>416</v>
      </c>
      <c r="C2" s="38"/>
      <c r="D2" s="38"/>
      <c r="E2" s="38"/>
      <c r="F2" s="38"/>
      <c r="G2" s="38"/>
    </row>
    <row r="3" spans="2:7" x14ac:dyDescent="0.35">
      <c r="B3" s="38"/>
      <c r="C3" s="38"/>
      <c r="D3" s="38"/>
      <c r="E3" s="38"/>
      <c r="F3" s="38"/>
      <c r="G3" s="38"/>
    </row>
    <row r="4" spans="2:7" x14ac:dyDescent="0.35">
      <c r="B4" s="38"/>
      <c r="C4" s="38"/>
      <c r="D4" s="38"/>
      <c r="E4" s="38"/>
      <c r="F4" s="38"/>
      <c r="G4" s="38"/>
    </row>
    <row r="8" spans="2:7" x14ac:dyDescent="0.35">
      <c r="B8" s="14" t="s">
        <v>256</v>
      </c>
      <c r="C8" s="14" t="s">
        <v>36</v>
      </c>
      <c r="D8" s="3" t="s">
        <v>111</v>
      </c>
      <c r="E8" s="3" t="s">
        <v>110</v>
      </c>
      <c r="F8" s="3" t="s">
        <v>410</v>
      </c>
      <c r="G8" s="3" t="s">
        <v>409</v>
      </c>
    </row>
    <row r="9" spans="2:7" x14ac:dyDescent="0.35">
      <c r="B9" s="3" t="s">
        <v>262</v>
      </c>
      <c r="C9" s="3">
        <v>0</v>
      </c>
      <c r="D9" s="3">
        <v>49</v>
      </c>
      <c r="E9" s="15">
        <v>0.36842105263157893</v>
      </c>
      <c r="F9" s="8">
        <v>5000</v>
      </c>
      <c r="G9" s="8">
        <v>40994.902040816327</v>
      </c>
    </row>
    <row r="10" spans="2:7" x14ac:dyDescent="0.35">
      <c r="B10" s="3" t="s">
        <v>262</v>
      </c>
      <c r="C10" s="3">
        <v>1</v>
      </c>
      <c r="D10" s="3">
        <v>61</v>
      </c>
      <c r="E10" s="15">
        <v>0.45864661654135336</v>
      </c>
      <c r="F10" s="8">
        <v>15000</v>
      </c>
      <c r="G10" s="8">
        <v>88189.854098360651</v>
      </c>
    </row>
    <row r="11" spans="2:7" x14ac:dyDescent="0.35">
      <c r="B11" s="3" t="s">
        <v>281</v>
      </c>
      <c r="C11" s="3">
        <v>0</v>
      </c>
      <c r="D11" s="3">
        <v>13</v>
      </c>
      <c r="E11" s="15">
        <v>9.7744360902255634E-2</v>
      </c>
      <c r="F11" s="8">
        <v>35255.730000000003</v>
      </c>
      <c r="G11" s="8">
        <v>135608.4323076923</v>
      </c>
    </row>
    <row r="12" spans="2:7" x14ac:dyDescent="0.35">
      <c r="B12" s="3" t="s">
        <v>281</v>
      </c>
      <c r="C12" s="3">
        <v>1</v>
      </c>
      <c r="D12" s="3">
        <v>10</v>
      </c>
      <c r="E12" s="15">
        <v>7.5187969924812026E-2</v>
      </c>
      <c r="F12" s="8">
        <v>35142.01</v>
      </c>
      <c r="G12" s="8">
        <v>116600.90800000001</v>
      </c>
    </row>
    <row r="13" spans="2:7" x14ac:dyDescent="0.35">
      <c r="B13" s="3" t="s">
        <v>107</v>
      </c>
      <c r="C13" s="3"/>
      <c r="D13" s="3">
        <v>133</v>
      </c>
      <c r="E13" s="15">
        <v>1</v>
      </c>
      <c r="F13" s="8">
        <v>5000</v>
      </c>
      <c r="G13" s="8">
        <v>77573.308270676673</v>
      </c>
    </row>
    <row r="18" spans="2:7" x14ac:dyDescent="0.35">
      <c r="B18" s="14" t="s">
        <v>15</v>
      </c>
      <c r="C18" s="14" t="s">
        <v>256</v>
      </c>
      <c r="D18" s="3" t="s">
        <v>111</v>
      </c>
      <c r="E18" s="3" t="s">
        <v>110</v>
      </c>
      <c r="F18" s="3" t="s">
        <v>410</v>
      </c>
      <c r="G18" s="3" t="s">
        <v>409</v>
      </c>
    </row>
    <row r="19" spans="2:7" x14ac:dyDescent="0.35">
      <c r="B19" s="3" t="s">
        <v>279</v>
      </c>
      <c r="C19" s="3" t="s">
        <v>281</v>
      </c>
      <c r="D19" s="47">
        <v>13</v>
      </c>
      <c r="E19" s="15">
        <v>9.7744360902255634E-2</v>
      </c>
      <c r="F19" s="8">
        <v>35699.160000000003</v>
      </c>
      <c r="G19" s="8">
        <v>121399.79769230771</v>
      </c>
    </row>
    <row r="20" spans="2:7" x14ac:dyDescent="0.35">
      <c r="B20" s="3" t="s">
        <v>343</v>
      </c>
      <c r="C20" s="3" t="s">
        <v>281</v>
      </c>
      <c r="D20" s="47">
        <v>1</v>
      </c>
      <c r="E20" s="15">
        <v>7.5187969924812026E-3</v>
      </c>
      <c r="F20" s="8">
        <v>44050</v>
      </c>
      <c r="G20" s="8">
        <v>44050</v>
      </c>
    </row>
    <row r="21" spans="2:7" x14ac:dyDescent="0.35">
      <c r="B21" s="3" t="s">
        <v>316</v>
      </c>
      <c r="C21" s="3" t="s">
        <v>262</v>
      </c>
      <c r="D21" s="47">
        <v>1</v>
      </c>
      <c r="E21" s="15">
        <v>7.5187969924812026E-3</v>
      </c>
      <c r="F21" s="8">
        <v>20000</v>
      </c>
      <c r="G21" s="8">
        <v>20000</v>
      </c>
    </row>
    <row r="22" spans="2:7" x14ac:dyDescent="0.35">
      <c r="B22" s="3" t="s">
        <v>259</v>
      </c>
      <c r="C22" s="3" t="s">
        <v>262</v>
      </c>
      <c r="D22" s="47">
        <v>53</v>
      </c>
      <c r="E22" s="15">
        <v>0.39849624060150374</v>
      </c>
      <c r="F22" s="8">
        <v>15000</v>
      </c>
      <c r="G22" s="8">
        <v>47588.483584905662</v>
      </c>
    </row>
    <row r="23" spans="2:7" x14ac:dyDescent="0.35">
      <c r="B23" s="3" t="s">
        <v>195</v>
      </c>
      <c r="C23" s="3" t="s">
        <v>262</v>
      </c>
      <c r="D23" s="47">
        <v>17</v>
      </c>
      <c r="E23" s="15">
        <v>0.12781954887218044</v>
      </c>
      <c r="F23" s="8">
        <v>16645.89</v>
      </c>
      <c r="G23" s="8">
        <v>168059.86647058825</v>
      </c>
    </row>
    <row r="24" spans="2:7" x14ac:dyDescent="0.35">
      <c r="B24" s="3" t="s">
        <v>308</v>
      </c>
      <c r="C24" s="3" t="s">
        <v>262</v>
      </c>
      <c r="D24" s="47">
        <v>4</v>
      </c>
      <c r="E24" s="15">
        <v>3.007518796992481E-2</v>
      </c>
      <c r="F24" s="8">
        <v>18942.89</v>
      </c>
      <c r="G24" s="8">
        <v>19471.445</v>
      </c>
    </row>
    <row r="25" spans="2:7" x14ac:dyDescent="0.35">
      <c r="B25" s="3" t="s">
        <v>275</v>
      </c>
      <c r="C25" s="3" t="s">
        <v>262</v>
      </c>
      <c r="D25" s="47">
        <v>19</v>
      </c>
      <c r="E25" s="15">
        <v>0.14285714285714285</v>
      </c>
      <c r="F25" s="8">
        <v>5000</v>
      </c>
      <c r="G25" s="8">
        <v>69204.510526315789</v>
      </c>
    </row>
    <row r="26" spans="2:7" x14ac:dyDescent="0.35">
      <c r="B26" s="3" t="s">
        <v>287</v>
      </c>
      <c r="C26" s="3" t="s">
        <v>281</v>
      </c>
      <c r="D26" s="47">
        <v>9</v>
      </c>
      <c r="E26" s="15">
        <v>6.7669172932330823E-2</v>
      </c>
      <c r="F26" s="8">
        <v>35142.01</v>
      </c>
      <c r="G26" s="8">
        <v>145185.70333333334</v>
      </c>
    </row>
    <row r="27" spans="2:7" x14ac:dyDescent="0.35">
      <c r="B27" s="3" t="s">
        <v>272</v>
      </c>
      <c r="C27" s="3" t="s">
        <v>262</v>
      </c>
      <c r="D27" s="47">
        <v>6</v>
      </c>
      <c r="E27" s="15">
        <v>4.5112781954887216E-2</v>
      </c>
      <c r="F27" s="8">
        <v>15415</v>
      </c>
      <c r="G27" s="8">
        <v>29119.901666666668</v>
      </c>
    </row>
    <row r="28" spans="2:7" x14ac:dyDescent="0.35">
      <c r="B28" s="3" t="s">
        <v>277</v>
      </c>
      <c r="C28" s="3" t="s">
        <v>262</v>
      </c>
      <c r="D28" s="47">
        <v>1</v>
      </c>
      <c r="E28" s="15">
        <v>7.5187969924812026E-3</v>
      </c>
      <c r="F28" s="8">
        <v>66000</v>
      </c>
      <c r="G28" s="8">
        <v>66000</v>
      </c>
    </row>
    <row r="29" spans="2:7" x14ac:dyDescent="0.35">
      <c r="B29" s="3" t="s">
        <v>373</v>
      </c>
      <c r="C29" s="3" t="s">
        <v>262</v>
      </c>
      <c r="D29" s="47">
        <v>1</v>
      </c>
      <c r="E29" s="15">
        <v>7.5187969924812026E-3</v>
      </c>
      <c r="F29" s="8">
        <v>18467</v>
      </c>
      <c r="G29" s="8">
        <v>18467</v>
      </c>
    </row>
    <row r="30" spans="2:7" x14ac:dyDescent="0.35">
      <c r="B30" s="3" t="s">
        <v>351</v>
      </c>
      <c r="C30" s="3" t="s">
        <v>262</v>
      </c>
      <c r="D30" s="47">
        <v>2</v>
      </c>
      <c r="E30" s="15">
        <v>1.5037593984962405E-2</v>
      </c>
      <c r="F30" s="8">
        <v>57850.2</v>
      </c>
      <c r="G30" s="8">
        <v>96417</v>
      </c>
    </row>
    <row r="31" spans="2:7" x14ac:dyDescent="0.35">
      <c r="B31" s="3" t="s">
        <v>273</v>
      </c>
      <c r="C31" s="3" t="s">
        <v>262</v>
      </c>
      <c r="D31" s="47">
        <v>1</v>
      </c>
      <c r="E31" s="15">
        <v>7.5187969924812026E-3</v>
      </c>
      <c r="F31" s="8">
        <v>26659.09</v>
      </c>
      <c r="G31" s="8">
        <v>26659.09</v>
      </c>
    </row>
    <row r="32" spans="2:7" x14ac:dyDescent="0.35">
      <c r="B32" s="3" t="s">
        <v>337</v>
      </c>
      <c r="C32" s="3" t="s">
        <v>262</v>
      </c>
      <c r="D32" s="47">
        <v>1</v>
      </c>
      <c r="E32" s="15">
        <v>7.5187969924812026E-3</v>
      </c>
      <c r="F32" s="8">
        <v>19880</v>
      </c>
      <c r="G32" s="8">
        <v>19880</v>
      </c>
    </row>
    <row r="33" spans="2:7" x14ac:dyDescent="0.35">
      <c r="B33" s="3" t="s">
        <v>321</v>
      </c>
      <c r="C33" s="3" t="s">
        <v>262</v>
      </c>
      <c r="D33" s="47">
        <v>1</v>
      </c>
      <c r="E33" s="15">
        <v>7.5187969924812026E-3</v>
      </c>
      <c r="F33" s="8">
        <v>25000</v>
      </c>
      <c r="G33" s="8">
        <v>25000</v>
      </c>
    </row>
    <row r="34" spans="2:7" x14ac:dyDescent="0.35">
      <c r="B34" s="3" t="s">
        <v>353</v>
      </c>
      <c r="C34" s="3" t="s">
        <v>262</v>
      </c>
      <c r="D34" s="47">
        <v>3</v>
      </c>
      <c r="E34" s="15">
        <v>2.2556390977443608E-2</v>
      </c>
      <c r="F34" s="8">
        <v>17367.63</v>
      </c>
      <c r="G34" s="8">
        <v>24264.320000000003</v>
      </c>
    </row>
    <row r="35" spans="2:7" x14ac:dyDescent="0.35">
      <c r="B35" s="3" t="s">
        <v>107</v>
      </c>
      <c r="C35" s="3"/>
      <c r="D35" s="47">
        <v>133</v>
      </c>
      <c r="E35" s="15">
        <v>1</v>
      </c>
      <c r="F35" s="8">
        <v>5000</v>
      </c>
      <c r="G35" s="8">
        <v>77573.308270676658</v>
      </c>
    </row>
  </sheetData>
  <mergeCells count="1">
    <mergeCell ref="B2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18CD-AC61-491C-9C39-D3C8E83DA358}">
  <dimension ref="A1:X25"/>
  <sheetViews>
    <sheetView topLeftCell="A6" zoomScale="40" zoomScaleNormal="40" workbookViewId="0">
      <selection activeCell="A25" sqref="A25"/>
    </sheetView>
  </sheetViews>
  <sheetFormatPr defaultRowHeight="14.5" x14ac:dyDescent="0.35"/>
  <cols>
    <col min="1" max="1" width="25.36328125" bestFit="1" customWidth="1"/>
    <col min="2" max="2" width="19.453125" bestFit="1" customWidth="1"/>
    <col min="3" max="3" width="25.36328125" bestFit="1" customWidth="1"/>
    <col min="4" max="5" width="33.26953125" bestFit="1" customWidth="1"/>
    <col min="6" max="7" width="32.81640625" bestFit="1" customWidth="1"/>
    <col min="8" max="23" width="33.26953125" bestFit="1" customWidth="1"/>
    <col min="24" max="25" width="34.1796875" bestFit="1" customWidth="1"/>
  </cols>
  <sheetData>
    <row r="1" spans="1:24" ht="14.5" customHeight="1" x14ac:dyDescent="0.35">
      <c r="A1" s="46" t="s">
        <v>376</v>
      </c>
      <c r="B1" s="46"/>
      <c r="C1" s="46"/>
      <c r="D1" s="46"/>
      <c r="E1" s="46"/>
      <c r="F1" s="46"/>
    </row>
    <row r="2" spans="1:24" ht="14.5" customHeight="1" x14ac:dyDescent="0.35">
      <c r="A2" s="46"/>
      <c r="B2" s="46"/>
      <c r="C2" s="46"/>
      <c r="D2" s="46"/>
      <c r="E2" s="46"/>
      <c r="F2" s="46"/>
    </row>
    <row r="3" spans="1:24" ht="14.5" customHeight="1" x14ac:dyDescent="0.35">
      <c r="A3" s="46"/>
      <c r="B3" s="46"/>
      <c r="C3" s="46"/>
      <c r="D3" s="46"/>
      <c r="E3" s="46"/>
      <c r="F3" s="46"/>
    </row>
    <row r="4" spans="1:24" x14ac:dyDescent="0.35">
      <c r="A4" s="2"/>
    </row>
    <row r="5" spans="1:24" x14ac:dyDescent="0.35">
      <c r="A5" t="s">
        <v>256</v>
      </c>
      <c r="B5" t="s">
        <v>204</v>
      </c>
      <c r="C5" t="s">
        <v>205</v>
      </c>
      <c r="D5" t="s">
        <v>206</v>
      </c>
      <c r="E5" t="s">
        <v>207</v>
      </c>
      <c r="F5" t="s">
        <v>208</v>
      </c>
      <c r="G5" t="s">
        <v>209</v>
      </c>
      <c r="H5" t="s">
        <v>210</v>
      </c>
      <c r="I5" t="s">
        <v>211</v>
      </c>
      <c r="J5" t="s">
        <v>212</v>
      </c>
      <c r="K5" t="s">
        <v>213</v>
      </c>
      <c r="L5" t="s">
        <v>214</v>
      </c>
      <c r="M5" t="s">
        <v>215</v>
      </c>
      <c r="N5" t="s">
        <v>216</v>
      </c>
      <c r="O5" t="s">
        <v>217</v>
      </c>
      <c r="P5" t="s">
        <v>218</v>
      </c>
      <c r="Q5" t="s">
        <v>219</v>
      </c>
      <c r="R5" t="s">
        <v>220</v>
      </c>
      <c r="S5" t="s">
        <v>221</v>
      </c>
      <c r="T5" t="s">
        <v>222</v>
      </c>
      <c r="U5" t="s">
        <v>223</v>
      </c>
      <c r="V5" t="s">
        <v>224</v>
      </c>
    </row>
    <row r="6" spans="1:24" x14ac:dyDescent="0.35">
      <c r="A6" t="s">
        <v>281</v>
      </c>
      <c r="B6" s="7">
        <v>35255.730000000003</v>
      </c>
      <c r="C6" s="7">
        <v>40532.292000000001</v>
      </c>
      <c r="D6" s="7">
        <v>44318.877999999997</v>
      </c>
      <c r="E6" s="7">
        <v>45125.512000000002</v>
      </c>
      <c r="F6" s="7">
        <v>47063.91</v>
      </c>
      <c r="G6" s="7">
        <v>49568.19</v>
      </c>
      <c r="H6" s="7">
        <v>51155.741999999998</v>
      </c>
      <c r="I6" s="7">
        <v>53646.266000000003</v>
      </c>
      <c r="J6" s="7">
        <v>57942.733999999997</v>
      </c>
      <c r="K6" s="7">
        <v>60683.345999999998</v>
      </c>
      <c r="L6" s="7">
        <v>62646.03</v>
      </c>
      <c r="M6" s="7">
        <v>136475.66400000011</v>
      </c>
      <c r="N6" s="7">
        <v>186663.09400000001</v>
      </c>
      <c r="O6" s="7">
        <v>189566.11600000001</v>
      </c>
      <c r="P6" s="7">
        <v>195938.15400000001</v>
      </c>
      <c r="Q6" s="7">
        <v>204044.7</v>
      </c>
      <c r="R6" s="7">
        <v>227373.3000000001</v>
      </c>
      <c r="S6" s="7">
        <v>252854.712</v>
      </c>
      <c r="T6" s="7">
        <v>282641.74800000002</v>
      </c>
      <c r="U6" s="7">
        <v>294996.82</v>
      </c>
      <c r="V6" s="7">
        <v>298635.90999999997</v>
      </c>
    </row>
    <row r="7" spans="1:24" x14ac:dyDescent="0.35">
      <c r="A7" t="s">
        <v>107</v>
      </c>
      <c r="B7">
        <v>35255.730000000003</v>
      </c>
      <c r="C7">
        <v>40532.292000000001</v>
      </c>
      <c r="D7">
        <v>44318.877999999997</v>
      </c>
      <c r="E7">
        <v>45125.512000000002</v>
      </c>
      <c r="F7">
        <v>47063.91</v>
      </c>
      <c r="G7">
        <v>49568.19</v>
      </c>
      <c r="H7">
        <v>51155.741999999998</v>
      </c>
      <c r="I7">
        <v>53646.266000000003</v>
      </c>
      <c r="J7">
        <v>57942.733999999997</v>
      </c>
      <c r="K7">
        <v>60683.345999999998</v>
      </c>
      <c r="L7">
        <v>62646.03</v>
      </c>
      <c r="M7">
        <v>136475.66400000011</v>
      </c>
      <c r="N7">
        <v>186663.09400000001</v>
      </c>
      <c r="O7">
        <v>189566.11600000001</v>
      </c>
      <c r="P7">
        <v>195938.15400000001</v>
      </c>
      <c r="Q7">
        <v>204044.7</v>
      </c>
      <c r="R7">
        <v>227373.3000000001</v>
      </c>
      <c r="S7">
        <v>252854.712</v>
      </c>
      <c r="T7">
        <v>282641.74800000002</v>
      </c>
      <c r="U7">
        <v>294996.82</v>
      </c>
      <c r="V7">
        <v>298635.90999999997</v>
      </c>
    </row>
    <row r="10" spans="1:24" x14ac:dyDescent="0.35">
      <c r="A10" t="s">
        <v>256</v>
      </c>
      <c r="B10" t="s">
        <v>36</v>
      </c>
      <c r="C10" t="s">
        <v>254</v>
      </c>
      <c r="D10" t="s">
        <v>226</v>
      </c>
      <c r="E10" t="s">
        <v>225</v>
      </c>
      <c r="F10" t="s">
        <v>227</v>
      </c>
      <c r="G10" t="s">
        <v>228</v>
      </c>
      <c r="H10" t="s">
        <v>229</v>
      </c>
      <c r="I10" t="s">
        <v>230</v>
      </c>
      <c r="J10" t="s">
        <v>231</v>
      </c>
      <c r="K10" t="s">
        <v>232</v>
      </c>
      <c r="L10" t="s">
        <v>233</v>
      </c>
      <c r="M10" t="s">
        <v>234</v>
      </c>
      <c r="N10" t="s">
        <v>235</v>
      </c>
      <c r="O10" t="s">
        <v>236</v>
      </c>
      <c r="P10" t="s">
        <v>237</v>
      </c>
      <c r="Q10" t="s">
        <v>238</v>
      </c>
      <c r="R10" t="s">
        <v>239</v>
      </c>
      <c r="S10" t="s">
        <v>240</v>
      </c>
      <c r="T10" t="s">
        <v>241</v>
      </c>
      <c r="U10" t="s">
        <v>242</v>
      </c>
      <c r="V10" t="s">
        <v>243</v>
      </c>
      <c r="W10" t="s">
        <v>244</v>
      </c>
      <c r="X10" t="s">
        <v>245</v>
      </c>
    </row>
    <row r="11" spans="1:24" x14ac:dyDescent="0.35">
      <c r="A11" t="s">
        <v>281</v>
      </c>
      <c r="B11">
        <v>0</v>
      </c>
      <c r="C11">
        <v>13</v>
      </c>
      <c r="D11">
        <v>13</v>
      </c>
      <c r="E11">
        <v>12</v>
      </c>
      <c r="F11">
        <v>11</v>
      </c>
      <c r="G11">
        <v>11</v>
      </c>
      <c r="H11">
        <v>10</v>
      </c>
      <c r="I11">
        <v>10</v>
      </c>
      <c r="J11">
        <v>9</v>
      </c>
      <c r="K11">
        <v>8</v>
      </c>
      <c r="L11">
        <v>8</v>
      </c>
      <c r="M11">
        <v>7</v>
      </c>
      <c r="N11">
        <v>7</v>
      </c>
      <c r="O11">
        <v>6</v>
      </c>
      <c r="P11">
        <v>5</v>
      </c>
      <c r="Q11">
        <v>5</v>
      </c>
      <c r="R11">
        <v>4</v>
      </c>
      <c r="S11">
        <v>4</v>
      </c>
      <c r="T11">
        <v>3</v>
      </c>
      <c r="U11">
        <v>2</v>
      </c>
      <c r="V11">
        <v>2</v>
      </c>
      <c r="W11">
        <v>1</v>
      </c>
      <c r="X11">
        <v>1</v>
      </c>
    </row>
    <row r="12" spans="1:24" x14ac:dyDescent="0.35">
      <c r="A12" t="s">
        <v>281</v>
      </c>
      <c r="B12">
        <v>1</v>
      </c>
      <c r="C12">
        <v>10</v>
      </c>
      <c r="D12">
        <v>9</v>
      </c>
      <c r="E12">
        <v>8</v>
      </c>
      <c r="F12">
        <v>7</v>
      </c>
      <c r="G12">
        <v>7</v>
      </c>
      <c r="H12">
        <v>7</v>
      </c>
      <c r="I12">
        <v>5</v>
      </c>
      <c r="J12">
        <v>4</v>
      </c>
      <c r="K12">
        <v>3</v>
      </c>
      <c r="L12">
        <v>3</v>
      </c>
      <c r="M12">
        <v>3</v>
      </c>
      <c r="N12">
        <v>3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</row>
    <row r="13" spans="1:24" x14ac:dyDescent="0.35">
      <c r="A13" t="s">
        <v>107</v>
      </c>
      <c r="C13">
        <v>23</v>
      </c>
      <c r="D13">
        <v>22</v>
      </c>
      <c r="E13">
        <v>20</v>
      </c>
      <c r="F13">
        <v>18</v>
      </c>
      <c r="G13">
        <v>18</v>
      </c>
      <c r="H13">
        <v>17</v>
      </c>
      <c r="I13">
        <v>15</v>
      </c>
      <c r="J13">
        <v>13</v>
      </c>
      <c r="K13">
        <v>11</v>
      </c>
      <c r="L13">
        <v>11</v>
      </c>
      <c r="M13">
        <v>10</v>
      </c>
      <c r="N13">
        <v>10</v>
      </c>
      <c r="O13">
        <v>7</v>
      </c>
      <c r="P13">
        <v>6</v>
      </c>
      <c r="Q13">
        <v>6</v>
      </c>
      <c r="R13">
        <v>5</v>
      </c>
      <c r="S13">
        <v>5</v>
      </c>
      <c r="T13">
        <v>4</v>
      </c>
      <c r="U13">
        <v>3</v>
      </c>
      <c r="V13">
        <v>3</v>
      </c>
      <c r="W13">
        <v>2</v>
      </c>
      <c r="X13">
        <v>2</v>
      </c>
    </row>
    <row r="16" spans="1:24" x14ac:dyDescent="0.35">
      <c r="G16" t="s">
        <v>247</v>
      </c>
    </row>
    <row r="17" spans="1:23" x14ac:dyDescent="0.35">
      <c r="A17" s="9" t="s">
        <v>136</v>
      </c>
      <c r="B17" s="9" t="s">
        <v>255</v>
      </c>
      <c r="C17" s="9" t="s">
        <v>114</v>
      </c>
      <c r="D17" s="9" t="s">
        <v>115</v>
      </c>
      <c r="E17" s="9" t="s">
        <v>116</v>
      </c>
      <c r="F17" s="9" t="s">
        <v>117</v>
      </c>
      <c r="G17" s="9" t="s">
        <v>118</v>
      </c>
      <c r="H17" s="9" t="s">
        <v>119</v>
      </c>
      <c r="I17" s="9" t="s">
        <v>120</v>
      </c>
      <c r="J17" s="9" t="s">
        <v>121</v>
      </c>
      <c r="K17" s="9" t="s">
        <v>122</v>
      </c>
      <c r="L17" s="9" t="s">
        <v>123</v>
      </c>
      <c r="M17" s="9" t="s">
        <v>124</v>
      </c>
      <c r="N17" s="9" t="s">
        <v>125</v>
      </c>
      <c r="O17" s="9" t="s">
        <v>126</v>
      </c>
      <c r="P17" s="9" t="s">
        <v>127</v>
      </c>
      <c r="Q17" s="9" t="s">
        <v>128</v>
      </c>
      <c r="R17" s="9" t="s">
        <v>129</v>
      </c>
      <c r="S17" s="9" t="s">
        <v>130</v>
      </c>
      <c r="T17" s="9" t="s">
        <v>131</v>
      </c>
      <c r="U17" s="9" t="s">
        <v>132</v>
      </c>
      <c r="V17" s="9" t="s">
        <v>133</v>
      </c>
      <c r="W17" s="9" t="s">
        <v>134</v>
      </c>
    </row>
    <row r="18" spans="1:23" x14ac:dyDescent="0.35">
      <c r="A18" s="9" t="s">
        <v>402</v>
      </c>
      <c r="B18" s="3">
        <f>C11</f>
        <v>13</v>
      </c>
      <c r="C18" s="3">
        <f t="shared" ref="C18:W18" si="0">D11</f>
        <v>13</v>
      </c>
      <c r="D18" s="3">
        <f t="shared" si="0"/>
        <v>12</v>
      </c>
      <c r="E18" s="3">
        <f t="shared" si="0"/>
        <v>11</v>
      </c>
      <c r="F18" s="3">
        <f t="shared" si="0"/>
        <v>11</v>
      </c>
      <c r="G18" s="3">
        <f t="shared" si="0"/>
        <v>10</v>
      </c>
      <c r="H18" s="3">
        <f t="shared" si="0"/>
        <v>10</v>
      </c>
      <c r="I18" s="3">
        <f t="shared" si="0"/>
        <v>9</v>
      </c>
      <c r="J18" s="3">
        <f t="shared" si="0"/>
        <v>8</v>
      </c>
      <c r="K18" s="3">
        <f t="shared" si="0"/>
        <v>8</v>
      </c>
      <c r="L18" s="3">
        <f t="shared" si="0"/>
        <v>7</v>
      </c>
      <c r="M18" s="3">
        <f t="shared" si="0"/>
        <v>7</v>
      </c>
      <c r="N18" s="3">
        <f t="shared" si="0"/>
        <v>6</v>
      </c>
      <c r="O18" s="3">
        <f t="shared" si="0"/>
        <v>5</v>
      </c>
      <c r="P18" s="3">
        <f t="shared" si="0"/>
        <v>5</v>
      </c>
      <c r="Q18" s="3">
        <f t="shared" si="0"/>
        <v>4</v>
      </c>
      <c r="R18" s="3">
        <f t="shared" si="0"/>
        <v>4</v>
      </c>
      <c r="S18" s="3">
        <f t="shared" si="0"/>
        <v>3</v>
      </c>
      <c r="T18" s="3">
        <f t="shared" si="0"/>
        <v>2</v>
      </c>
      <c r="U18" s="3">
        <f t="shared" si="0"/>
        <v>2</v>
      </c>
      <c r="V18" s="3">
        <f t="shared" si="0"/>
        <v>1</v>
      </c>
      <c r="W18" s="3">
        <f t="shared" si="0"/>
        <v>1</v>
      </c>
    </row>
    <row r="19" spans="1:23" x14ac:dyDescent="0.35">
      <c r="A19" s="9" t="s">
        <v>246</v>
      </c>
      <c r="B19" s="3">
        <f>C12</f>
        <v>10</v>
      </c>
      <c r="C19" s="3">
        <f t="shared" ref="C19:W19" si="1">D12</f>
        <v>9</v>
      </c>
      <c r="D19" s="3">
        <f t="shared" si="1"/>
        <v>8</v>
      </c>
      <c r="E19" s="3">
        <f t="shared" si="1"/>
        <v>7</v>
      </c>
      <c r="F19" s="3">
        <f t="shared" si="1"/>
        <v>7</v>
      </c>
      <c r="G19" s="3">
        <f t="shared" si="1"/>
        <v>7</v>
      </c>
      <c r="H19" s="3">
        <f t="shared" si="1"/>
        <v>5</v>
      </c>
      <c r="I19" s="3">
        <f t="shared" si="1"/>
        <v>4</v>
      </c>
      <c r="J19" s="3">
        <f t="shared" si="1"/>
        <v>3</v>
      </c>
      <c r="K19" s="3">
        <f t="shared" si="1"/>
        <v>3</v>
      </c>
      <c r="L19" s="3">
        <f t="shared" si="1"/>
        <v>3</v>
      </c>
      <c r="M19" s="3">
        <f t="shared" si="1"/>
        <v>3</v>
      </c>
      <c r="N19" s="3">
        <f t="shared" si="1"/>
        <v>1</v>
      </c>
      <c r="O19" s="3">
        <f t="shared" si="1"/>
        <v>1</v>
      </c>
      <c r="P19" s="3">
        <f t="shared" si="1"/>
        <v>1</v>
      </c>
      <c r="Q19" s="3">
        <f t="shared" si="1"/>
        <v>1</v>
      </c>
      <c r="R19" s="3">
        <f t="shared" si="1"/>
        <v>1</v>
      </c>
      <c r="S19" s="3">
        <f t="shared" si="1"/>
        <v>1</v>
      </c>
      <c r="T19" s="3">
        <f t="shared" si="1"/>
        <v>1</v>
      </c>
      <c r="U19" s="3">
        <f t="shared" si="1"/>
        <v>1</v>
      </c>
      <c r="V19" s="3">
        <f t="shared" si="1"/>
        <v>1</v>
      </c>
      <c r="W19" s="3">
        <f t="shared" si="1"/>
        <v>1</v>
      </c>
    </row>
    <row r="20" spans="1:23" x14ac:dyDescent="0.35">
      <c r="A20" s="9" t="s">
        <v>403</v>
      </c>
      <c r="B20" s="3">
        <f t="shared" ref="B20" si="2">SUM(B18:B19)</f>
        <v>23</v>
      </c>
      <c r="C20" s="3">
        <f t="shared" ref="C20:W20" si="3">SUM(C18:C19)</f>
        <v>22</v>
      </c>
      <c r="D20" s="3">
        <f t="shared" si="3"/>
        <v>20</v>
      </c>
      <c r="E20" s="3">
        <f t="shared" si="3"/>
        <v>18</v>
      </c>
      <c r="F20" s="3">
        <f t="shared" si="3"/>
        <v>18</v>
      </c>
      <c r="G20" s="3">
        <f t="shared" si="3"/>
        <v>17</v>
      </c>
      <c r="H20" s="3">
        <f t="shared" si="3"/>
        <v>15</v>
      </c>
      <c r="I20" s="3">
        <f t="shared" si="3"/>
        <v>13</v>
      </c>
      <c r="J20" s="3">
        <f t="shared" si="3"/>
        <v>11</v>
      </c>
      <c r="K20" s="3">
        <f t="shared" si="3"/>
        <v>11</v>
      </c>
      <c r="L20" s="3">
        <f t="shared" si="3"/>
        <v>10</v>
      </c>
      <c r="M20" s="3">
        <f t="shared" si="3"/>
        <v>10</v>
      </c>
      <c r="N20" s="3">
        <f t="shared" si="3"/>
        <v>7</v>
      </c>
      <c r="O20" s="3">
        <f t="shared" si="3"/>
        <v>6</v>
      </c>
      <c r="P20" s="3">
        <f t="shared" si="3"/>
        <v>6</v>
      </c>
      <c r="Q20" s="3">
        <f t="shared" si="3"/>
        <v>5</v>
      </c>
      <c r="R20" s="3">
        <f t="shared" si="3"/>
        <v>5</v>
      </c>
      <c r="S20" s="3">
        <f t="shared" si="3"/>
        <v>4</v>
      </c>
      <c r="T20" s="3">
        <f t="shared" si="3"/>
        <v>3</v>
      </c>
      <c r="U20" s="3">
        <f t="shared" si="3"/>
        <v>3</v>
      </c>
      <c r="V20" s="3">
        <f t="shared" si="3"/>
        <v>2</v>
      </c>
      <c r="W20" s="3">
        <f t="shared" si="3"/>
        <v>2</v>
      </c>
    </row>
    <row r="21" spans="1:23" x14ac:dyDescent="0.35">
      <c r="A21" s="9" t="s">
        <v>252</v>
      </c>
      <c r="B21" s="4">
        <f>B19/$B$19</f>
        <v>1</v>
      </c>
      <c r="C21" s="4">
        <f t="shared" ref="C21:W21" si="4">C19/$B$19</f>
        <v>0.9</v>
      </c>
      <c r="D21" s="4">
        <f t="shared" si="4"/>
        <v>0.8</v>
      </c>
      <c r="E21" s="4">
        <f t="shared" si="4"/>
        <v>0.7</v>
      </c>
      <c r="F21" s="4">
        <f t="shared" si="4"/>
        <v>0.7</v>
      </c>
      <c r="G21" s="4">
        <f t="shared" si="4"/>
        <v>0.7</v>
      </c>
      <c r="H21" s="4">
        <f t="shared" si="4"/>
        <v>0.5</v>
      </c>
      <c r="I21" s="4">
        <f t="shared" si="4"/>
        <v>0.4</v>
      </c>
      <c r="J21" s="4">
        <f t="shared" si="4"/>
        <v>0.3</v>
      </c>
      <c r="K21" s="4">
        <f t="shared" si="4"/>
        <v>0.3</v>
      </c>
      <c r="L21" s="4">
        <f t="shared" si="4"/>
        <v>0.3</v>
      </c>
      <c r="M21" s="4">
        <f t="shared" si="4"/>
        <v>0.3</v>
      </c>
      <c r="N21" s="4">
        <f t="shared" si="4"/>
        <v>0.1</v>
      </c>
      <c r="O21" s="4">
        <f t="shared" si="4"/>
        <v>0.1</v>
      </c>
      <c r="P21" s="4">
        <f t="shared" si="4"/>
        <v>0.1</v>
      </c>
      <c r="Q21" s="4">
        <f t="shared" si="4"/>
        <v>0.1</v>
      </c>
      <c r="R21" s="4">
        <f t="shared" si="4"/>
        <v>0.1</v>
      </c>
      <c r="S21" s="4">
        <f t="shared" si="4"/>
        <v>0.1</v>
      </c>
      <c r="T21" s="4">
        <f t="shared" si="4"/>
        <v>0.1</v>
      </c>
      <c r="U21" s="4">
        <f t="shared" si="4"/>
        <v>0.1</v>
      </c>
      <c r="V21" s="4">
        <f t="shared" si="4"/>
        <v>0.1</v>
      </c>
      <c r="W21" s="4">
        <f t="shared" si="4"/>
        <v>0.1</v>
      </c>
    </row>
    <row r="22" spans="1:23" x14ac:dyDescent="0.35">
      <c r="A22" s="9" t="s">
        <v>404</v>
      </c>
      <c r="B22" s="4">
        <f t="shared" ref="B22:W22" si="5">B18/B20</f>
        <v>0.56521739130434778</v>
      </c>
      <c r="C22" s="4">
        <f t="shared" si="5"/>
        <v>0.59090909090909094</v>
      </c>
      <c r="D22" s="4">
        <f t="shared" si="5"/>
        <v>0.6</v>
      </c>
      <c r="E22" s="4">
        <f t="shared" si="5"/>
        <v>0.61111111111111116</v>
      </c>
      <c r="F22" s="4">
        <f t="shared" si="5"/>
        <v>0.61111111111111116</v>
      </c>
      <c r="G22" s="4">
        <f t="shared" si="5"/>
        <v>0.58823529411764708</v>
      </c>
      <c r="H22" s="4">
        <f t="shared" si="5"/>
        <v>0.66666666666666663</v>
      </c>
      <c r="I22" s="4">
        <f t="shared" si="5"/>
        <v>0.69230769230769229</v>
      </c>
      <c r="J22" s="4">
        <f t="shared" si="5"/>
        <v>0.72727272727272729</v>
      </c>
      <c r="K22" s="4">
        <f t="shared" si="5"/>
        <v>0.72727272727272729</v>
      </c>
      <c r="L22" s="4">
        <f t="shared" si="5"/>
        <v>0.7</v>
      </c>
      <c r="M22" s="4">
        <f t="shared" si="5"/>
        <v>0.7</v>
      </c>
      <c r="N22" s="4">
        <f t="shared" si="5"/>
        <v>0.8571428571428571</v>
      </c>
      <c r="O22" s="4">
        <f t="shared" si="5"/>
        <v>0.83333333333333337</v>
      </c>
      <c r="P22" s="4">
        <f t="shared" si="5"/>
        <v>0.83333333333333337</v>
      </c>
      <c r="Q22" s="4">
        <f t="shared" si="5"/>
        <v>0.8</v>
      </c>
      <c r="R22" s="4">
        <f t="shared" si="5"/>
        <v>0.8</v>
      </c>
      <c r="S22" s="4">
        <f t="shared" si="5"/>
        <v>0.75</v>
      </c>
      <c r="T22" s="4">
        <f t="shared" si="5"/>
        <v>0.66666666666666663</v>
      </c>
      <c r="U22" s="4">
        <f t="shared" si="5"/>
        <v>0.66666666666666663</v>
      </c>
      <c r="V22" s="4">
        <f t="shared" si="5"/>
        <v>0.5</v>
      </c>
      <c r="W22" s="4">
        <f t="shared" si="5"/>
        <v>0.5</v>
      </c>
    </row>
    <row r="23" spans="1:23" x14ac:dyDescent="0.35">
      <c r="A23" s="9" t="s">
        <v>405</v>
      </c>
      <c r="B23" s="9"/>
      <c r="C23" s="8">
        <f>B7</f>
        <v>35255.730000000003</v>
      </c>
      <c r="D23" s="8">
        <f t="shared" ref="D23:W23" si="6">C7</f>
        <v>40532.292000000001</v>
      </c>
      <c r="E23" s="8">
        <f t="shared" si="6"/>
        <v>44318.877999999997</v>
      </c>
      <c r="F23" s="8">
        <f t="shared" si="6"/>
        <v>45125.512000000002</v>
      </c>
      <c r="G23" s="8">
        <f t="shared" si="6"/>
        <v>47063.91</v>
      </c>
      <c r="H23" s="8">
        <f t="shared" si="6"/>
        <v>49568.19</v>
      </c>
      <c r="I23" s="8">
        <f t="shared" si="6"/>
        <v>51155.741999999998</v>
      </c>
      <c r="J23" s="8">
        <f t="shared" si="6"/>
        <v>53646.266000000003</v>
      </c>
      <c r="K23" s="8">
        <f t="shared" si="6"/>
        <v>57942.733999999997</v>
      </c>
      <c r="L23" s="8">
        <f t="shared" si="6"/>
        <v>60683.345999999998</v>
      </c>
      <c r="M23" s="8">
        <f t="shared" si="6"/>
        <v>62646.03</v>
      </c>
      <c r="N23" s="8">
        <f t="shared" si="6"/>
        <v>136475.66400000011</v>
      </c>
      <c r="O23" s="8">
        <f t="shared" si="6"/>
        <v>186663.09400000001</v>
      </c>
      <c r="P23" s="8">
        <f t="shared" si="6"/>
        <v>189566.11600000001</v>
      </c>
      <c r="Q23" s="8">
        <f t="shared" si="6"/>
        <v>195938.15400000001</v>
      </c>
      <c r="R23" s="8">
        <f t="shared" si="6"/>
        <v>204044.7</v>
      </c>
      <c r="S23" s="8">
        <f t="shared" si="6"/>
        <v>227373.3000000001</v>
      </c>
      <c r="T23" s="8">
        <f t="shared" si="6"/>
        <v>252854.712</v>
      </c>
      <c r="U23" s="8">
        <f t="shared" si="6"/>
        <v>282641.74800000002</v>
      </c>
      <c r="V23" s="8">
        <f t="shared" si="6"/>
        <v>294996.82</v>
      </c>
      <c r="W23" s="8">
        <f t="shared" si="6"/>
        <v>298635.90999999997</v>
      </c>
    </row>
    <row r="24" spans="1:23" x14ac:dyDescent="0.35">
      <c r="A24" s="9" t="s">
        <v>406</v>
      </c>
      <c r="B24" s="21">
        <f>$B$18-B18</f>
        <v>0</v>
      </c>
      <c r="C24" s="21">
        <f t="shared" ref="C24:W24" si="7">$B$18-C18</f>
        <v>0</v>
      </c>
      <c r="D24" s="21">
        <f t="shared" si="7"/>
        <v>1</v>
      </c>
      <c r="E24" s="21">
        <f t="shared" si="7"/>
        <v>2</v>
      </c>
      <c r="F24" s="21">
        <f t="shared" si="7"/>
        <v>2</v>
      </c>
      <c r="G24" s="21">
        <f t="shared" si="7"/>
        <v>3</v>
      </c>
      <c r="H24" s="21">
        <f t="shared" si="7"/>
        <v>3</v>
      </c>
      <c r="I24" s="21">
        <f t="shared" si="7"/>
        <v>4</v>
      </c>
      <c r="J24" s="21">
        <f t="shared" si="7"/>
        <v>5</v>
      </c>
      <c r="K24" s="21">
        <f t="shared" si="7"/>
        <v>5</v>
      </c>
      <c r="L24" s="21">
        <f t="shared" si="7"/>
        <v>6</v>
      </c>
      <c r="M24" s="21">
        <f t="shared" si="7"/>
        <v>6</v>
      </c>
      <c r="N24" s="21">
        <f t="shared" si="7"/>
        <v>7</v>
      </c>
      <c r="O24" s="21">
        <f t="shared" si="7"/>
        <v>8</v>
      </c>
      <c r="P24" s="21">
        <f t="shared" si="7"/>
        <v>8</v>
      </c>
      <c r="Q24" s="21">
        <f t="shared" si="7"/>
        <v>9</v>
      </c>
      <c r="R24" s="21">
        <f t="shared" si="7"/>
        <v>9</v>
      </c>
      <c r="S24" s="21">
        <f t="shared" si="7"/>
        <v>10</v>
      </c>
      <c r="T24" s="21">
        <f t="shared" si="7"/>
        <v>11</v>
      </c>
      <c r="U24" s="21">
        <f t="shared" si="7"/>
        <v>11</v>
      </c>
      <c r="V24" s="21">
        <f t="shared" si="7"/>
        <v>12</v>
      </c>
      <c r="W24" s="21">
        <f t="shared" si="7"/>
        <v>12</v>
      </c>
    </row>
    <row r="25" spans="1:23" x14ac:dyDescent="0.35">
      <c r="A25" s="9" t="s">
        <v>393</v>
      </c>
      <c r="B25" s="21">
        <f>$B$19-B19</f>
        <v>0</v>
      </c>
      <c r="C25" s="21">
        <f t="shared" ref="C25:W25" si="8">$B$19-C19</f>
        <v>1</v>
      </c>
      <c r="D25" s="21">
        <f t="shared" si="8"/>
        <v>2</v>
      </c>
      <c r="E25" s="21">
        <f t="shared" si="8"/>
        <v>3</v>
      </c>
      <c r="F25" s="21">
        <f t="shared" si="8"/>
        <v>3</v>
      </c>
      <c r="G25" s="21">
        <f t="shared" si="8"/>
        <v>3</v>
      </c>
      <c r="H25" s="21">
        <f t="shared" si="8"/>
        <v>5</v>
      </c>
      <c r="I25" s="21">
        <f t="shared" si="8"/>
        <v>6</v>
      </c>
      <c r="J25" s="21">
        <f t="shared" si="8"/>
        <v>7</v>
      </c>
      <c r="K25" s="21">
        <f t="shared" si="8"/>
        <v>7</v>
      </c>
      <c r="L25" s="21">
        <f t="shared" si="8"/>
        <v>7</v>
      </c>
      <c r="M25" s="21">
        <f t="shared" si="8"/>
        <v>7</v>
      </c>
      <c r="N25" s="21">
        <f t="shared" si="8"/>
        <v>9</v>
      </c>
      <c r="O25" s="21">
        <f t="shared" si="8"/>
        <v>9</v>
      </c>
      <c r="P25" s="21">
        <f t="shared" si="8"/>
        <v>9</v>
      </c>
      <c r="Q25" s="21">
        <f t="shared" si="8"/>
        <v>9</v>
      </c>
      <c r="R25" s="21">
        <f t="shared" si="8"/>
        <v>9</v>
      </c>
      <c r="S25" s="21">
        <f t="shared" si="8"/>
        <v>9</v>
      </c>
      <c r="T25" s="21">
        <f t="shared" si="8"/>
        <v>9</v>
      </c>
      <c r="U25" s="21">
        <f t="shared" si="8"/>
        <v>9</v>
      </c>
      <c r="V25" s="21">
        <f t="shared" si="8"/>
        <v>9</v>
      </c>
      <c r="W25" s="21">
        <f t="shared" si="8"/>
        <v>9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5766-6BB0-4AB6-8674-E1C5CE4DBB03}">
  <dimension ref="A1:X25"/>
  <sheetViews>
    <sheetView topLeftCell="A18" zoomScale="40" zoomScaleNormal="40" workbookViewId="0">
      <selection activeCell="A18" sqref="A18:A25"/>
    </sheetView>
  </sheetViews>
  <sheetFormatPr defaultRowHeight="14.5" x14ac:dyDescent="0.35"/>
  <cols>
    <col min="1" max="1" width="25.36328125" bestFit="1" customWidth="1"/>
    <col min="2" max="2" width="19.453125" bestFit="1" customWidth="1"/>
    <col min="3" max="3" width="25.36328125" bestFit="1" customWidth="1"/>
    <col min="4" max="5" width="33.26953125" bestFit="1" customWidth="1"/>
    <col min="6" max="7" width="32.81640625" bestFit="1" customWidth="1"/>
    <col min="8" max="23" width="33.26953125" bestFit="1" customWidth="1"/>
    <col min="24" max="25" width="34.1796875" bestFit="1" customWidth="1"/>
  </cols>
  <sheetData>
    <row r="1" spans="1:24" ht="14.5" customHeight="1" x14ac:dyDescent="0.35">
      <c r="A1" s="46" t="s">
        <v>394</v>
      </c>
      <c r="B1" s="46"/>
      <c r="C1" s="46"/>
      <c r="D1" s="46"/>
      <c r="E1" s="46"/>
      <c r="F1" s="46"/>
    </row>
    <row r="2" spans="1:24" ht="14.5" customHeight="1" x14ac:dyDescent="0.35">
      <c r="A2" s="46"/>
      <c r="B2" s="46"/>
      <c r="C2" s="46"/>
      <c r="D2" s="46"/>
      <c r="E2" s="46"/>
      <c r="F2" s="46"/>
    </row>
    <row r="3" spans="1:24" ht="14.5" customHeight="1" x14ac:dyDescent="0.35">
      <c r="A3" s="46"/>
      <c r="B3" s="46"/>
      <c r="C3" s="46"/>
      <c r="D3" s="46"/>
      <c r="E3" s="46"/>
      <c r="F3" s="46"/>
    </row>
    <row r="4" spans="1:24" x14ac:dyDescent="0.35">
      <c r="A4" s="2"/>
    </row>
    <row r="5" spans="1:24" x14ac:dyDescent="0.35">
      <c r="A5" t="s">
        <v>256</v>
      </c>
      <c r="B5" t="s">
        <v>204</v>
      </c>
      <c r="C5" t="s">
        <v>205</v>
      </c>
      <c r="D5" t="s">
        <v>206</v>
      </c>
      <c r="E5" t="s">
        <v>207</v>
      </c>
      <c r="F5" t="s">
        <v>208</v>
      </c>
      <c r="G5" t="s">
        <v>209</v>
      </c>
      <c r="H5" t="s">
        <v>210</v>
      </c>
      <c r="I5" t="s">
        <v>211</v>
      </c>
      <c r="J5" t="s">
        <v>212</v>
      </c>
      <c r="K5" t="s">
        <v>213</v>
      </c>
      <c r="L5" t="s">
        <v>214</v>
      </c>
      <c r="M5" t="s">
        <v>215</v>
      </c>
      <c r="N5" t="s">
        <v>216</v>
      </c>
      <c r="O5" t="s">
        <v>217</v>
      </c>
      <c r="P5" t="s">
        <v>218</v>
      </c>
      <c r="Q5" t="s">
        <v>219</v>
      </c>
      <c r="R5" t="s">
        <v>220</v>
      </c>
      <c r="S5" t="s">
        <v>221</v>
      </c>
      <c r="T5" t="s">
        <v>222</v>
      </c>
      <c r="U5" t="s">
        <v>223</v>
      </c>
      <c r="V5" t="s">
        <v>224</v>
      </c>
    </row>
    <row r="6" spans="1:24" x14ac:dyDescent="0.35">
      <c r="A6" t="s">
        <v>262</v>
      </c>
      <c r="B6" s="7">
        <v>5000</v>
      </c>
      <c r="C6" s="7">
        <v>15712.4</v>
      </c>
      <c r="D6" s="7">
        <v>18425.036</v>
      </c>
      <c r="E6" s="7">
        <v>19036</v>
      </c>
      <c r="F6" s="7">
        <v>19840</v>
      </c>
      <c r="G6" s="7">
        <v>20740</v>
      </c>
      <c r="H6" s="7">
        <v>22473.462</v>
      </c>
      <c r="I6" s="7">
        <v>23237.86</v>
      </c>
      <c r="J6" s="7">
        <v>25000</v>
      </c>
      <c r="K6" s="7">
        <v>27463.635999999999</v>
      </c>
      <c r="L6" s="7">
        <v>30000</v>
      </c>
      <c r="M6" s="7">
        <v>34610.514000000003</v>
      </c>
      <c r="N6" s="7">
        <v>35046</v>
      </c>
      <c r="O6" s="7">
        <v>38582.447999999997</v>
      </c>
      <c r="P6" s="7">
        <v>42006.79</v>
      </c>
      <c r="Q6" s="7">
        <v>50000</v>
      </c>
      <c r="R6" s="7">
        <v>54336.774000000027</v>
      </c>
      <c r="S6" s="7">
        <v>65042.055999999982</v>
      </c>
      <c r="T6" s="7">
        <v>78281.780000000086</v>
      </c>
      <c r="U6" s="7">
        <v>110403.728</v>
      </c>
      <c r="V6" s="7">
        <v>134983.79999999999</v>
      </c>
    </row>
    <row r="7" spans="1:24" x14ac:dyDescent="0.35">
      <c r="A7" t="s">
        <v>107</v>
      </c>
      <c r="B7">
        <v>5000</v>
      </c>
      <c r="C7">
        <v>15712.4</v>
      </c>
      <c r="D7">
        <v>18425.036</v>
      </c>
      <c r="E7">
        <v>19036</v>
      </c>
      <c r="F7">
        <v>19840</v>
      </c>
      <c r="G7">
        <v>20740</v>
      </c>
      <c r="H7">
        <v>22473.462</v>
      </c>
      <c r="I7">
        <v>23237.86</v>
      </c>
      <c r="J7">
        <v>25000</v>
      </c>
      <c r="K7">
        <v>27463.635999999999</v>
      </c>
      <c r="L7">
        <v>30000</v>
      </c>
      <c r="M7">
        <v>34610.514000000003</v>
      </c>
      <c r="N7">
        <v>35046</v>
      </c>
      <c r="O7">
        <v>38582.447999999997</v>
      </c>
      <c r="P7">
        <v>42006.79</v>
      </c>
      <c r="Q7">
        <v>50000</v>
      </c>
      <c r="R7">
        <v>54336.774000000027</v>
      </c>
      <c r="S7">
        <v>65042.055999999982</v>
      </c>
      <c r="T7">
        <v>78281.780000000086</v>
      </c>
      <c r="U7">
        <v>110403.728</v>
      </c>
      <c r="V7">
        <v>134983.79999999999</v>
      </c>
    </row>
    <row r="10" spans="1:24" x14ac:dyDescent="0.35">
      <c r="A10" t="s">
        <v>256</v>
      </c>
      <c r="B10" t="s">
        <v>36</v>
      </c>
      <c r="C10" t="s">
        <v>254</v>
      </c>
      <c r="D10" t="s">
        <v>226</v>
      </c>
      <c r="E10" t="s">
        <v>225</v>
      </c>
      <c r="F10" t="s">
        <v>227</v>
      </c>
      <c r="G10" t="s">
        <v>228</v>
      </c>
      <c r="H10" t="s">
        <v>229</v>
      </c>
      <c r="I10" t="s">
        <v>230</v>
      </c>
      <c r="J10" t="s">
        <v>231</v>
      </c>
      <c r="K10" t="s">
        <v>232</v>
      </c>
      <c r="L10" t="s">
        <v>233</v>
      </c>
      <c r="M10" t="s">
        <v>234</v>
      </c>
      <c r="N10" t="s">
        <v>235</v>
      </c>
      <c r="O10" t="s">
        <v>236</v>
      </c>
      <c r="P10" t="s">
        <v>237</v>
      </c>
      <c r="Q10" t="s">
        <v>238</v>
      </c>
      <c r="R10" t="s">
        <v>239</v>
      </c>
      <c r="S10" t="s">
        <v>240</v>
      </c>
      <c r="T10" t="s">
        <v>241</v>
      </c>
      <c r="U10" t="s">
        <v>242</v>
      </c>
      <c r="V10" t="s">
        <v>243</v>
      </c>
      <c r="W10" t="s">
        <v>244</v>
      </c>
      <c r="X10" t="s">
        <v>245</v>
      </c>
    </row>
    <row r="11" spans="1:24" x14ac:dyDescent="0.35">
      <c r="A11" t="s">
        <v>262</v>
      </c>
      <c r="B11">
        <v>0</v>
      </c>
      <c r="C11">
        <v>49</v>
      </c>
      <c r="D11">
        <v>49</v>
      </c>
      <c r="E11">
        <v>46</v>
      </c>
      <c r="F11">
        <v>44</v>
      </c>
      <c r="G11">
        <v>41</v>
      </c>
      <c r="H11">
        <v>39</v>
      </c>
      <c r="I11">
        <v>37</v>
      </c>
      <c r="J11">
        <v>34</v>
      </c>
      <c r="K11">
        <v>32</v>
      </c>
      <c r="L11">
        <v>30</v>
      </c>
      <c r="M11">
        <v>27</v>
      </c>
      <c r="N11">
        <v>25</v>
      </c>
      <c r="O11">
        <v>22</v>
      </c>
      <c r="P11">
        <v>20</v>
      </c>
      <c r="Q11">
        <v>17</v>
      </c>
      <c r="R11">
        <v>16</v>
      </c>
      <c r="S11">
        <v>14</v>
      </c>
      <c r="T11">
        <v>10</v>
      </c>
      <c r="U11">
        <v>8</v>
      </c>
      <c r="V11">
        <v>5</v>
      </c>
      <c r="W11">
        <v>3</v>
      </c>
      <c r="X11">
        <v>1</v>
      </c>
    </row>
    <row r="12" spans="1:24" x14ac:dyDescent="0.35">
      <c r="A12" t="s">
        <v>262</v>
      </c>
      <c r="B12">
        <v>1</v>
      </c>
      <c r="C12">
        <v>61</v>
      </c>
      <c r="D12">
        <v>61</v>
      </c>
      <c r="E12">
        <v>55</v>
      </c>
      <c r="F12">
        <v>51</v>
      </c>
      <c r="G12">
        <v>48</v>
      </c>
      <c r="H12">
        <v>47</v>
      </c>
      <c r="I12">
        <v>41</v>
      </c>
      <c r="J12">
        <v>39</v>
      </c>
      <c r="K12">
        <v>39</v>
      </c>
      <c r="L12">
        <v>37</v>
      </c>
      <c r="M12">
        <v>33</v>
      </c>
      <c r="N12">
        <v>32</v>
      </c>
      <c r="O12">
        <v>28</v>
      </c>
      <c r="P12">
        <v>28</v>
      </c>
      <c r="Q12">
        <v>25</v>
      </c>
      <c r="R12">
        <v>21</v>
      </c>
      <c r="S12">
        <v>17</v>
      </c>
      <c r="T12">
        <v>16</v>
      </c>
      <c r="U12">
        <v>14</v>
      </c>
      <c r="V12">
        <v>12</v>
      </c>
      <c r="W12">
        <v>10</v>
      </c>
      <c r="X12">
        <v>9</v>
      </c>
    </row>
    <row r="13" spans="1:24" x14ac:dyDescent="0.35">
      <c r="A13" t="s">
        <v>107</v>
      </c>
      <c r="C13">
        <v>110</v>
      </c>
      <c r="D13">
        <v>110</v>
      </c>
      <c r="E13">
        <v>101</v>
      </c>
      <c r="F13">
        <v>95</v>
      </c>
      <c r="G13">
        <v>89</v>
      </c>
      <c r="H13">
        <v>86</v>
      </c>
      <c r="I13">
        <v>78</v>
      </c>
      <c r="J13">
        <v>73</v>
      </c>
      <c r="K13">
        <v>71</v>
      </c>
      <c r="L13">
        <v>67</v>
      </c>
      <c r="M13">
        <v>60</v>
      </c>
      <c r="N13">
        <v>57</v>
      </c>
      <c r="O13">
        <v>50</v>
      </c>
      <c r="P13">
        <v>48</v>
      </c>
      <c r="Q13">
        <v>42</v>
      </c>
      <c r="R13">
        <v>37</v>
      </c>
      <c r="S13">
        <v>31</v>
      </c>
      <c r="T13">
        <v>26</v>
      </c>
      <c r="U13">
        <v>22</v>
      </c>
      <c r="V13">
        <v>17</v>
      </c>
      <c r="W13">
        <v>13</v>
      </c>
      <c r="X13">
        <v>10</v>
      </c>
    </row>
    <row r="16" spans="1:24" x14ac:dyDescent="0.35">
      <c r="G16" t="s">
        <v>247</v>
      </c>
    </row>
    <row r="17" spans="1:23" x14ac:dyDescent="0.35">
      <c r="A17" s="9" t="s">
        <v>136</v>
      </c>
      <c r="B17" s="9" t="s">
        <v>255</v>
      </c>
      <c r="C17" s="9" t="s">
        <v>114</v>
      </c>
      <c r="D17" s="9" t="s">
        <v>115</v>
      </c>
      <c r="E17" s="9" t="s">
        <v>116</v>
      </c>
      <c r="F17" s="9" t="s">
        <v>117</v>
      </c>
      <c r="G17" s="9" t="s">
        <v>118</v>
      </c>
      <c r="H17" s="9" t="s">
        <v>119</v>
      </c>
      <c r="I17" s="9" t="s">
        <v>120</v>
      </c>
      <c r="J17" s="9" t="s">
        <v>121</v>
      </c>
      <c r="K17" s="9" t="s">
        <v>122</v>
      </c>
      <c r="L17" s="9" t="s">
        <v>123</v>
      </c>
      <c r="M17" s="9" t="s">
        <v>124</v>
      </c>
      <c r="N17" s="9" t="s">
        <v>125</v>
      </c>
      <c r="O17" s="9" t="s">
        <v>126</v>
      </c>
      <c r="P17" s="9" t="s">
        <v>127</v>
      </c>
      <c r="Q17" s="9" t="s">
        <v>128</v>
      </c>
      <c r="R17" s="9" t="s">
        <v>129</v>
      </c>
      <c r="S17" s="9" t="s">
        <v>130</v>
      </c>
      <c r="T17" s="9" t="s">
        <v>131</v>
      </c>
      <c r="U17" s="9" t="s">
        <v>132</v>
      </c>
      <c r="V17" s="9" t="s">
        <v>133</v>
      </c>
      <c r="W17" s="9" t="s">
        <v>134</v>
      </c>
    </row>
    <row r="18" spans="1:23" x14ac:dyDescent="0.35">
      <c r="A18" s="9" t="s">
        <v>402</v>
      </c>
      <c r="B18" s="3">
        <f>C11</f>
        <v>49</v>
      </c>
      <c r="C18" s="3">
        <f t="shared" ref="C18:W18" si="0">D11</f>
        <v>49</v>
      </c>
      <c r="D18" s="3">
        <f t="shared" si="0"/>
        <v>46</v>
      </c>
      <c r="E18" s="3">
        <f t="shared" si="0"/>
        <v>44</v>
      </c>
      <c r="F18" s="3">
        <f t="shared" si="0"/>
        <v>41</v>
      </c>
      <c r="G18" s="3">
        <f t="shared" si="0"/>
        <v>39</v>
      </c>
      <c r="H18" s="3">
        <f t="shared" si="0"/>
        <v>37</v>
      </c>
      <c r="I18" s="3">
        <f t="shared" si="0"/>
        <v>34</v>
      </c>
      <c r="J18" s="3">
        <f t="shared" si="0"/>
        <v>32</v>
      </c>
      <c r="K18" s="3">
        <f t="shared" si="0"/>
        <v>30</v>
      </c>
      <c r="L18" s="3">
        <f t="shared" si="0"/>
        <v>27</v>
      </c>
      <c r="M18" s="3">
        <f t="shared" si="0"/>
        <v>25</v>
      </c>
      <c r="N18" s="3">
        <f t="shared" si="0"/>
        <v>22</v>
      </c>
      <c r="O18" s="3">
        <f t="shared" si="0"/>
        <v>20</v>
      </c>
      <c r="P18" s="3">
        <f t="shared" si="0"/>
        <v>17</v>
      </c>
      <c r="Q18" s="3">
        <f t="shared" si="0"/>
        <v>16</v>
      </c>
      <c r="R18" s="3">
        <f t="shared" si="0"/>
        <v>14</v>
      </c>
      <c r="S18" s="3">
        <f t="shared" si="0"/>
        <v>10</v>
      </c>
      <c r="T18" s="3">
        <f t="shared" si="0"/>
        <v>8</v>
      </c>
      <c r="U18" s="3">
        <f t="shared" si="0"/>
        <v>5</v>
      </c>
      <c r="V18" s="3">
        <f t="shared" si="0"/>
        <v>3</v>
      </c>
      <c r="W18" s="3">
        <f t="shared" si="0"/>
        <v>1</v>
      </c>
    </row>
    <row r="19" spans="1:23" x14ac:dyDescent="0.35">
      <c r="A19" s="9" t="s">
        <v>246</v>
      </c>
      <c r="B19" s="3">
        <f>C12</f>
        <v>61</v>
      </c>
      <c r="C19" s="3">
        <f t="shared" ref="C19:W19" si="1">D12</f>
        <v>61</v>
      </c>
      <c r="D19" s="3">
        <f t="shared" si="1"/>
        <v>55</v>
      </c>
      <c r="E19" s="3">
        <f t="shared" si="1"/>
        <v>51</v>
      </c>
      <c r="F19" s="3">
        <f t="shared" si="1"/>
        <v>48</v>
      </c>
      <c r="G19" s="3">
        <f t="shared" si="1"/>
        <v>47</v>
      </c>
      <c r="H19" s="3">
        <f t="shared" si="1"/>
        <v>41</v>
      </c>
      <c r="I19" s="3">
        <f t="shared" si="1"/>
        <v>39</v>
      </c>
      <c r="J19" s="3">
        <f t="shared" si="1"/>
        <v>39</v>
      </c>
      <c r="K19" s="3">
        <f t="shared" si="1"/>
        <v>37</v>
      </c>
      <c r="L19" s="3">
        <f t="shared" si="1"/>
        <v>33</v>
      </c>
      <c r="M19" s="3">
        <f t="shared" si="1"/>
        <v>32</v>
      </c>
      <c r="N19" s="3">
        <f t="shared" si="1"/>
        <v>28</v>
      </c>
      <c r="O19" s="3">
        <f t="shared" si="1"/>
        <v>28</v>
      </c>
      <c r="P19" s="3">
        <f t="shared" si="1"/>
        <v>25</v>
      </c>
      <c r="Q19" s="3">
        <f t="shared" si="1"/>
        <v>21</v>
      </c>
      <c r="R19" s="3">
        <f t="shared" si="1"/>
        <v>17</v>
      </c>
      <c r="S19" s="3">
        <f t="shared" si="1"/>
        <v>16</v>
      </c>
      <c r="T19" s="3">
        <f t="shared" si="1"/>
        <v>14</v>
      </c>
      <c r="U19" s="3">
        <f t="shared" si="1"/>
        <v>12</v>
      </c>
      <c r="V19" s="3">
        <f t="shared" si="1"/>
        <v>10</v>
      </c>
      <c r="W19" s="3">
        <f t="shared" si="1"/>
        <v>9</v>
      </c>
    </row>
    <row r="20" spans="1:23" x14ac:dyDescent="0.35">
      <c r="A20" s="9" t="s">
        <v>403</v>
      </c>
      <c r="B20" s="3">
        <f t="shared" ref="B20" si="2">SUM(B18:B19)</f>
        <v>110</v>
      </c>
      <c r="C20" s="3">
        <f t="shared" ref="C20:W20" si="3">SUM(C18:C19)</f>
        <v>110</v>
      </c>
      <c r="D20" s="3">
        <f t="shared" si="3"/>
        <v>101</v>
      </c>
      <c r="E20" s="3">
        <f t="shared" si="3"/>
        <v>95</v>
      </c>
      <c r="F20" s="3">
        <f t="shared" si="3"/>
        <v>89</v>
      </c>
      <c r="G20" s="3">
        <f t="shared" si="3"/>
        <v>86</v>
      </c>
      <c r="H20" s="3">
        <f t="shared" si="3"/>
        <v>78</v>
      </c>
      <c r="I20" s="3">
        <f t="shared" si="3"/>
        <v>73</v>
      </c>
      <c r="J20" s="3">
        <f t="shared" si="3"/>
        <v>71</v>
      </c>
      <c r="K20" s="3">
        <f t="shared" si="3"/>
        <v>67</v>
      </c>
      <c r="L20" s="3">
        <f t="shared" si="3"/>
        <v>60</v>
      </c>
      <c r="M20" s="3">
        <f t="shared" si="3"/>
        <v>57</v>
      </c>
      <c r="N20" s="3">
        <f t="shared" si="3"/>
        <v>50</v>
      </c>
      <c r="O20" s="3">
        <f t="shared" si="3"/>
        <v>48</v>
      </c>
      <c r="P20" s="3">
        <f t="shared" si="3"/>
        <v>42</v>
      </c>
      <c r="Q20" s="3">
        <f t="shared" si="3"/>
        <v>37</v>
      </c>
      <c r="R20" s="3">
        <f t="shared" si="3"/>
        <v>31</v>
      </c>
      <c r="S20" s="3">
        <f t="shared" si="3"/>
        <v>26</v>
      </c>
      <c r="T20" s="3">
        <f t="shared" si="3"/>
        <v>22</v>
      </c>
      <c r="U20" s="3">
        <f t="shared" si="3"/>
        <v>17</v>
      </c>
      <c r="V20" s="3">
        <f t="shared" si="3"/>
        <v>13</v>
      </c>
      <c r="W20" s="3">
        <f t="shared" si="3"/>
        <v>10</v>
      </c>
    </row>
    <row r="21" spans="1:23" x14ac:dyDescent="0.35">
      <c r="A21" s="9" t="s">
        <v>252</v>
      </c>
      <c r="B21" s="4">
        <f>B19/$B$19</f>
        <v>1</v>
      </c>
      <c r="C21" s="4">
        <f t="shared" ref="C21:W21" si="4">C19/$B$19</f>
        <v>1</v>
      </c>
      <c r="D21" s="4">
        <f t="shared" si="4"/>
        <v>0.90163934426229508</v>
      </c>
      <c r="E21" s="4">
        <f t="shared" si="4"/>
        <v>0.83606557377049184</v>
      </c>
      <c r="F21" s="4">
        <f t="shared" si="4"/>
        <v>0.78688524590163933</v>
      </c>
      <c r="G21" s="4">
        <f t="shared" si="4"/>
        <v>0.77049180327868849</v>
      </c>
      <c r="H21" s="4">
        <f t="shared" si="4"/>
        <v>0.67213114754098358</v>
      </c>
      <c r="I21" s="4">
        <f t="shared" si="4"/>
        <v>0.63934426229508201</v>
      </c>
      <c r="J21" s="4">
        <f t="shared" si="4"/>
        <v>0.63934426229508201</v>
      </c>
      <c r="K21" s="4">
        <f t="shared" si="4"/>
        <v>0.60655737704918034</v>
      </c>
      <c r="L21" s="4">
        <f t="shared" si="4"/>
        <v>0.54098360655737709</v>
      </c>
      <c r="M21" s="4">
        <f t="shared" si="4"/>
        <v>0.52459016393442626</v>
      </c>
      <c r="N21" s="4">
        <f t="shared" si="4"/>
        <v>0.45901639344262296</v>
      </c>
      <c r="O21" s="4">
        <f t="shared" si="4"/>
        <v>0.45901639344262296</v>
      </c>
      <c r="P21" s="4">
        <f t="shared" si="4"/>
        <v>0.4098360655737705</v>
      </c>
      <c r="Q21" s="4">
        <f t="shared" si="4"/>
        <v>0.34426229508196721</v>
      </c>
      <c r="R21" s="4">
        <f t="shared" si="4"/>
        <v>0.27868852459016391</v>
      </c>
      <c r="S21" s="4">
        <f t="shared" si="4"/>
        <v>0.26229508196721313</v>
      </c>
      <c r="T21" s="4">
        <f t="shared" si="4"/>
        <v>0.22950819672131148</v>
      </c>
      <c r="U21" s="4">
        <f t="shared" si="4"/>
        <v>0.19672131147540983</v>
      </c>
      <c r="V21" s="4">
        <f t="shared" si="4"/>
        <v>0.16393442622950818</v>
      </c>
      <c r="W21" s="4">
        <f t="shared" si="4"/>
        <v>0.14754098360655737</v>
      </c>
    </row>
    <row r="22" spans="1:23" x14ac:dyDescent="0.35">
      <c r="A22" s="9" t="s">
        <v>404</v>
      </c>
      <c r="B22" s="4">
        <f t="shared" ref="B22" si="5">B18/B20</f>
        <v>0.44545454545454544</v>
      </c>
      <c r="C22" s="4">
        <f t="shared" ref="C22:W22" si="6">C18/C20</f>
        <v>0.44545454545454544</v>
      </c>
      <c r="D22" s="4">
        <f t="shared" si="6"/>
        <v>0.45544554455445546</v>
      </c>
      <c r="E22" s="4">
        <f t="shared" si="6"/>
        <v>0.4631578947368421</v>
      </c>
      <c r="F22" s="4">
        <f t="shared" si="6"/>
        <v>0.4606741573033708</v>
      </c>
      <c r="G22" s="4">
        <f t="shared" si="6"/>
        <v>0.45348837209302323</v>
      </c>
      <c r="H22" s="4">
        <f t="shared" si="6"/>
        <v>0.47435897435897434</v>
      </c>
      <c r="I22" s="4">
        <f t="shared" si="6"/>
        <v>0.46575342465753422</v>
      </c>
      <c r="J22" s="4">
        <f t="shared" si="6"/>
        <v>0.45070422535211269</v>
      </c>
      <c r="K22" s="4">
        <f t="shared" si="6"/>
        <v>0.44776119402985076</v>
      </c>
      <c r="L22" s="4">
        <f t="shared" si="6"/>
        <v>0.45</v>
      </c>
      <c r="M22" s="4">
        <f t="shared" si="6"/>
        <v>0.43859649122807015</v>
      </c>
      <c r="N22" s="4">
        <f t="shared" si="6"/>
        <v>0.44</v>
      </c>
      <c r="O22" s="4">
        <f t="shared" si="6"/>
        <v>0.41666666666666669</v>
      </c>
      <c r="P22" s="4">
        <f t="shared" si="6"/>
        <v>0.40476190476190477</v>
      </c>
      <c r="Q22" s="4">
        <f t="shared" si="6"/>
        <v>0.43243243243243246</v>
      </c>
      <c r="R22" s="4">
        <f t="shared" si="6"/>
        <v>0.45161290322580644</v>
      </c>
      <c r="S22" s="4">
        <f t="shared" si="6"/>
        <v>0.38461538461538464</v>
      </c>
      <c r="T22" s="4">
        <f t="shared" si="6"/>
        <v>0.36363636363636365</v>
      </c>
      <c r="U22" s="4">
        <f t="shared" si="6"/>
        <v>0.29411764705882354</v>
      </c>
      <c r="V22" s="4">
        <f t="shared" si="6"/>
        <v>0.23076923076923078</v>
      </c>
      <c r="W22" s="4">
        <f t="shared" si="6"/>
        <v>0.1</v>
      </c>
    </row>
    <row r="23" spans="1:23" x14ac:dyDescent="0.35">
      <c r="A23" s="9" t="s">
        <v>405</v>
      </c>
      <c r="B23" s="9"/>
      <c r="C23" s="8">
        <f>B7</f>
        <v>5000</v>
      </c>
      <c r="D23" s="8">
        <f t="shared" ref="D23:W23" si="7">C7</f>
        <v>15712.4</v>
      </c>
      <c r="E23" s="8">
        <f t="shared" si="7"/>
        <v>18425.036</v>
      </c>
      <c r="F23" s="8">
        <f t="shared" si="7"/>
        <v>19036</v>
      </c>
      <c r="G23" s="8">
        <f t="shared" si="7"/>
        <v>19840</v>
      </c>
      <c r="H23" s="8">
        <f t="shared" si="7"/>
        <v>20740</v>
      </c>
      <c r="I23" s="8">
        <f t="shared" si="7"/>
        <v>22473.462</v>
      </c>
      <c r="J23" s="8">
        <f t="shared" si="7"/>
        <v>23237.86</v>
      </c>
      <c r="K23" s="8">
        <f t="shared" si="7"/>
        <v>25000</v>
      </c>
      <c r="L23" s="8">
        <f t="shared" si="7"/>
        <v>27463.635999999999</v>
      </c>
      <c r="M23" s="8">
        <f t="shared" si="7"/>
        <v>30000</v>
      </c>
      <c r="N23" s="8">
        <f t="shared" si="7"/>
        <v>34610.514000000003</v>
      </c>
      <c r="O23" s="8">
        <f t="shared" si="7"/>
        <v>35046</v>
      </c>
      <c r="P23" s="8">
        <f t="shared" si="7"/>
        <v>38582.447999999997</v>
      </c>
      <c r="Q23" s="8">
        <f t="shared" si="7"/>
        <v>42006.79</v>
      </c>
      <c r="R23" s="8">
        <f t="shared" si="7"/>
        <v>50000</v>
      </c>
      <c r="S23" s="8">
        <f t="shared" si="7"/>
        <v>54336.774000000027</v>
      </c>
      <c r="T23" s="8">
        <f t="shared" si="7"/>
        <v>65042.055999999982</v>
      </c>
      <c r="U23" s="8">
        <f t="shared" si="7"/>
        <v>78281.780000000086</v>
      </c>
      <c r="V23" s="8">
        <f t="shared" si="7"/>
        <v>110403.728</v>
      </c>
      <c r="W23" s="8">
        <f t="shared" si="7"/>
        <v>134983.79999999999</v>
      </c>
    </row>
    <row r="24" spans="1:23" x14ac:dyDescent="0.35">
      <c r="A24" s="9" t="s">
        <v>406</v>
      </c>
      <c r="B24" s="21">
        <f>$B$18-B18</f>
        <v>0</v>
      </c>
      <c r="C24" s="21">
        <f t="shared" ref="C24:W24" si="8">$B$18-C18</f>
        <v>0</v>
      </c>
      <c r="D24" s="21">
        <f t="shared" si="8"/>
        <v>3</v>
      </c>
      <c r="E24" s="21">
        <f t="shared" si="8"/>
        <v>5</v>
      </c>
      <c r="F24" s="21">
        <f t="shared" si="8"/>
        <v>8</v>
      </c>
      <c r="G24" s="21">
        <f t="shared" si="8"/>
        <v>10</v>
      </c>
      <c r="H24" s="21">
        <f t="shared" si="8"/>
        <v>12</v>
      </c>
      <c r="I24" s="21">
        <f t="shared" si="8"/>
        <v>15</v>
      </c>
      <c r="J24" s="21">
        <f t="shared" si="8"/>
        <v>17</v>
      </c>
      <c r="K24" s="21">
        <f t="shared" si="8"/>
        <v>19</v>
      </c>
      <c r="L24" s="21">
        <f t="shared" si="8"/>
        <v>22</v>
      </c>
      <c r="M24" s="21">
        <f t="shared" si="8"/>
        <v>24</v>
      </c>
      <c r="N24" s="21">
        <f t="shared" si="8"/>
        <v>27</v>
      </c>
      <c r="O24" s="21">
        <f t="shared" si="8"/>
        <v>29</v>
      </c>
      <c r="P24" s="21">
        <f t="shared" si="8"/>
        <v>32</v>
      </c>
      <c r="Q24" s="21">
        <f t="shared" si="8"/>
        <v>33</v>
      </c>
      <c r="R24" s="21">
        <f t="shared" si="8"/>
        <v>35</v>
      </c>
      <c r="S24" s="21">
        <f t="shared" si="8"/>
        <v>39</v>
      </c>
      <c r="T24" s="21">
        <f t="shared" si="8"/>
        <v>41</v>
      </c>
      <c r="U24" s="21">
        <f t="shared" si="8"/>
        <v>44</v>
      </c>
      <c r="V24" s="21">
        <f t="shared" si="8"/>
        <v>46</v>
      </c>
      <c r="W24" s="21">
        <f t="shared" si="8"/>
        <v>48</v>
      </c>
    </row>
    <row r="25" spans="1:23" x14ac:dyDescent="0.35">
      <c r="A25" s="9" t="s">
        <v>393</v>
      </c>
      <c r="B25" s="21">
        <f>$B$19-B19</f>
        <v>0</v>
      </c>
      <c r="C25" s="21">
        <f t="shared" ref="C25:W25" si="9">$B$19-C19</f>
        <v>0</v>
      </c>
      <c r="D25" s="21">
        <f t="shared" si="9"/>
        <v>6</v>
      </c>
      <c r="E25" s="21">
        <f t="shared" si="9"/>
        <v>10</v>
      </c>
      <c r="F25" s="21">
        <f t="shared" si="9"/>
        <v>13</v>
      </c>
      <c r="G25" s="21">
        <f t="shared" si="9"/>
        <v>14</v>
      </c>
      <c r="H25" s="21">
        <f t="shared" si="9"/>
        <v>20</v>
      </c>
      <c r="I25" s="21">
        <f t="shared" si="9"/>
        <v>22</v>
      </c>
      <c r="J25" s="21">
        <f t="shared" si="9"/>
        <v>22</v>
      </c>
      <c r="K25" s="21">
        <f t="shared" si="9"/>
        <v>24</v>
      </c>
      <c r="L25" s="21">
        <f t="shared" si="9"/>
        <v>28</v>
      </c>
      <c r="M25" s="21">
        <f t="shared" si="9"/>
        <v>29</v>
      </c>
      <c r="N25" s="21">
        <f t="shared" si="9"/>
        <v>33</v>
      </c>
      <c r="O25" s="21">
        <f t="shared" si="9"/>
        <v>33</v>
      </c>
      <c r="P25" s="21">
        <f t="shared" si="9"/>
        <v>36</v>
      </c>
      <c r="Q25" s="21">
        <f t="shared" si="9"/>
        <v>40</v>
      </c>
      <c r="R25" s="21">
        <f t="shared" si="9"/>
        <v>44</v>
      </c>
      <c r="S25" s="21">
        <f t="shared" si="9"/>
        <v>45</v>
      </c>
      <c r="T25" s="21">
        <f t="shared" si="9"/>
        <v>47</v>
      </c>
      <c r="U25" s="21">
        <f t="shared" si="9"/>
        <v>49</v>
      </c>
      <c r="V25" s="21">
        <f t="shared" si="9"/>
        <v>51</v>
      </c>
      <c r="W25" s="21">
        <f t="shared" si="9"/>
        <v>52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CB81B-B508-4EBD-AD35-46794508C88B}">
  <sheetPr>
    <tabColor rgb="FFFF0000"/>
  </sheetPr>
  <dimension ref="A1:Y25"/>
  <sheetViews>
    <sheetView zoomScale="40" zoomScaleNormal="40" workbookViewId="0">
      <selection activeCell="I34" sqref="I34"/>
    </sheetView>
  </sheetViews>
  <sheetFormatPr defaultRowHeight="14.5" x14ac:dyDescent="0.35"/>
  <cols>
    <col min="1" max="1" width="34" bestFit="1" customWidth="1"/>
    <col min="2" max="2" width="18.6328125" bestFit="1" customWidth="1"/>
    <col min="3" max="3" width="19.453125" bestFit="1" customWidth="1"/>
    <col min="4" max="4" width="25.36328125" bestFit="1" customWidth="1"/>
    <col min="5" max="6" width="33.26953125" bestFit="1" customWidth="1"/>
    <col min="7" max="8" width="32.81640625" bestFit="1" customWidth="1"/>
    <col min="9" max="24" width="33.26953125" bestFit="1" customWidth="1"/>
    <col min="25" max="25" width="34.1796875" bestFit="1" customWidth="1"/>
  </cols>
  <sheetData>
    <row r="1" spans="1:25" x14ac:dyDescent="0.35">
      <c r="A1" s="46" t="s">
        <v>112</v>
      </c>
      <c r="B1" s="46"/>
      <c r="C1" s="46"/>
      <c r="D1" s="46"/>
      <c r="E1" s="46"/>
      <c r="F1" s="46"/>
    </row>
    <row r="2" spans="1:25" x14ac:dyDescent="0.35">
      <c r="A2" s="46"/>
      <c r="B2" s="46"/>
      <c r="C2" s="46"/>
      <c r="D2" s="46"/>
      <c r="E2" s="46"/>
      <c r="F2" s="46"/>
    </row>
    <row r="3" spans="1:25" x14ac:dyDescent="0.35">
      <c r="A3" s="46"/>
      <c r="B3" s="46"/>
      <c r="C3" s="46"/>
      <c r="D3" s="46"/>
      <c r="E3" s="46"/>
      <c r="F3" s="46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204</v>
      </c>
      <c r="D5" t="s">
        <v>205</v>
      </c>
      <c r="E5" t="s">
        <v>206</v>
      </c>
      <c r="F5" t="s">
        <v>207</v>
      </c>
      <c r="G5" t="s">
        <v>208</v>
      </c>
      <c r="H5" t="s">
        <v>209</v>
      </c>
      <c r="I5" t="s">
        <v>210</v>
      </c>
      <c r="J5" t="s">
        <v>211</v>
      </c>
      <c r="K5" t="s">
        <v>212</v>
      </c>
      <c r="L5" t="s">
        <v>213</v>
      </c>
      <c r="M5" t="s">
        <v>214</v>
      </c>
      <c r="N5" t="s">
        <v>215</v>
      </c>
      <c r="O5" t="s">
        <v>216</v>
      </c>
      <c r="P5" t="s">
        <v>217</v>
      </c>
      <c r="Q5" t="s">
        <v>218</v>
      </c>
      <c r="R5" t="s">
        <v>219</v>
      </c>
      <c r="S5" t="s">
        <v>220</v>
      </c>
      <c r="T5" t="s">
        <v>221</v>
      </c>
      <c r="U5" t="s">
        <v>222</v>
      </c>
      <c r="V5" t="s">
        <v>223</v>
      </c>
      <c r="W5" t="s">
        <v>224</v>
      </c>
    </row>
    <row r="6" spans="1:25" x14ac:dyDescent="0.35">
      <c r="A6" t="s">
        <v>183</v>
      </c>
      <c r="B6" t="s">
        <v>53</v>
      </c>
      <c r="C6" s="7">
        <v>200185.1</v>
      </c>
      <c r="D6" s="7">
        <v>200678.35</v>
      </c>
      <c r="E6" s="7">
        <v>200833.98800000001</v>
      </c>
      <c r="F6" s="7">
        <v>203335.45449999999</v>
      </c>
      <c r="G6" s="7">
        <v>206132.084</v>
      </c>
      <c r="H6" s="7">
        <v>210268.38</v>
      </c>
      <c r="I6" s="7">
        <v>240578.77600000001</v>
      </c>
      <c r="J6" s="7">
        <v>246254.52549999999</v>
      </c>
      <c r="K6" s="7">
        <v>249318.614</v>
      </c>
      <c r="L6" s="7">
        <v>279250.00000000012</v>
      </c>
      <c r="M6" s="7">
        <v>297500</v>
      </c>
      <c r="N6" s="7">
        <v>301679.391</v>
      </c>
      <c r="O6" s="7">
        <v>321114.18400000001</v>
      </c>
      <c r="P6" s="7">
        <v>325987.95250000001</v>
      </c>
      <c r="Q6" s="7">
        <v>347664.57799999998</v>
      </c>
      <c r="R6" s="7">
        <v>372571.65</v>
      </c>
      <c r="S6" s="7">
        <v>399884.79399999999</v>
      </c>
      <c r="T6" s="7">
        <v>443839.04049999989</v>
      </c>
      <c r="U6" s="7">
        <v>575445.98</v>
      </c>
      <c r="V6" s="7">
        <v>717686.51049999997</v>
      </c>
      <c r="W6" s="7">
        <v>1154498.28</v>
      </c>
    </row>
    <row r="7" spans="1:25" x14ac:dyDescent="0.35">
      <c r="A7" t="s">
        <v>107</v>
      </c>
      <c r="C7">
        <v>200185.1</v>
      </c>
      <c r="D7">
        <v>200678.35</v>
      </c>
      <c r="E7">
        <v>200833.98800000001</v>
      </c>
      <c r="F7">
        <v>203335.45449999999</v>
      </c>
      <c r="G7">
        <v>206132.084</v>
      </c>
      <c r="H7">
        <v>210268.38</v>
      </c>
      <c r="I7">
        <v>240578.77600000001</v>
      </c>
      <c r="J7">
        <v>246254.52549999999</v>
      </c>
      <c r="K7">
        <v>249318.614</v>
      </c>
      <c r="L7">
        <v>279250.00000000012</v>
      </c>
      <c r="M7">
        <v>297500</v>
      </c>
      <c r="N7">
        <v>301679.391</v>
      </c>
      <c r="O7">
        <v>321114.18400000001</v>
      </c>
      <c r="P7">
        <v>325987.95250000001</v>
      </c>
      <c r="Q7">
        <v>347664.57799999998</v>
      </c>
      <c r="R7">
        <v>372571.65</v>
      </c>
      <c r="S7">
        <v>399884.79399999999</v>
      </c>
      <c r="T7">
        <v>443839.04049999989</v>
      </c>
      <c r="U7">
        <v>575445.98</v>
      </c>
      <c r="V7">
        <v>717686.51049999997</v>
      </c>
      <c r="W7">
        <v>1154498.28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254</v>
      </c>
      <c r="E10" t="s">
        <v>226</v>
      </c>
      <c r="F10" t="s">
        <v>225</v>
      </c>
      <c r="G10" t="s">
        <v>227</v>
      </c>
      <c r="H10" t="s">
        <v>228</v>
      </c>
      <c r="I10" t="s">
        <v>229</v>
      </c>
      <c r="J10" t="s">
        <v>230</v>
      </c>
      <c r="K10" t="s">
        <v>231</v>
      </c>
      <c r="L10" t="s">
        <v>232</v>
      </c>
      <c r="M10" t="s">
        <v>233</v>
      </c>
      <c r="N10" t="s">
        <v>234</v>
      </c>
      <c r="O10" t="s">
        <v>235</v>
      </c>
      <c r="P10" t="s">
        <v>236</v>
      </c>
      <c r="Q10" t="s">
        <v>237</v>
      </c>
      <c r="R10" t="s">
        <v>238</v>
      </c>
      <c r="S10" t="s">
        <v>239</v>
      </c>
      <c r="T10" t="s">
        <v>240</v>
      </c>
      <c r="U10" t="s">
        <v>241</v>
      </c>
      <c r="V10" t="s">
        <v>242</v>
      </c>
      <c r="W10" t="s">
        <v>243</v>
      </c>
      <c r="X10" t="s">
        <v>244</v>
      </c>
      <c r="Y10" t="s">
        <v>245</v>
      </c>
    </row>
    <row r="11" spans="1:25" x14ac:dyDescent="0.35">
      <c r="A11" t="s">
        <v>183</v>
      </c>
      <c r="B11" t="s">
        <v>53</v>
      </c>
      <c r="C11">
        <v>0</v>
      </c>
      <c r="D11">
        <v>38</v>
      </c>
      <c r="E11">
        <v>38</v>
      </c>
      <c r="F11">
        <v>37</v>
      </c>
      <c r="G11">
        <v>34</v>
      </c>
      <c r="H11">
        <v>32</v>
      </c>
      <c r="I11">
        <v>30</v>
      </c>
      <c r="J11">
        <v>28</v>
      </c>
      <c r="K11">
        <v>26</v>
      </c>
      <c r="L11">
        <v>25</v>
      </c>
      <c r="M11">
        <v>23</v>
      </c>
      <c r="N11">
        <v>21</v>
      </c>
      <c r="O11">
        <v>19</v>
      </c>
      <c r="P11">
        <v>17</v>
      </c>
      <c r="Q11">
        <v>15</v>
      </c>
      <c r="R11">
        <v>13</v>
      </c>
      <c r="S11">
        <v>12</v>
      </c>
      <c r="T11">
        <v>10</v>
      </c>
      <c r="U11">
        <v>8</v>
      </c>
      <c r="V11">
        <v>6</v>
      </c>
      <c r="W11">
        <v>5</v>
      </c>
      <c r="X11">
        <v>2</v>
      </c>
      <c r="Y11">
        <v>1</v>
      </c>
    </row>
    <row r="12" spans="1:25" x14ac:dyDescent="0.35">
      <c r="A12" t="s">
        <v>183</v>
      </c>
      <c r="B12" t="s">
        <v>53</v>
      </c>
      <c r="C12">
        <v>1</v>
      </c>
      <c r="D12">
        <v>48</v>
      </c>
      <c r="E12">
        <v>48</v>
      </c>
      <c r="F12">
        <v>45</v>
      </c>
      <c r="G12">
        <v>45</v>
      </c>
      <c r="H12">
        <v>45</v>
      </c>
      <c r="I12">
        <v>45</v>
      </c>
      <c r="J12">
        <v>41</v>
      </c>
      <c r="K12">
        <v>32</v>
      </c>
      <c r="L12">
        <v>30</v>
      </c>
      <c r="M12">
        <v>30</v>
      </c>
      <c r="N12">
        <v>21</v>
      </c>
      <c r="O12">
        <v>17</v>
      </c>
      <c r="P12">
        <v>15</v>
      </c>
      <c r="Q12">
        <v>10</v>
      </c>
      <c r="R12">
        <v>10</v>
      </c>
      <c r="S12">
        <v>10</v>
      </c>
      <c r="T12">
        <v>9</v>
      </c>
      <c r="U12">
        <v>8</v>
      </c>
      <c r="V12">
        <v>6</v>
      </c>
      <c r="W12">
        <v>5</v>
      </c>
      <c r="X12">
        <v>2</v>
      </c>
      <c r="Y12">
        <v>0</v>
      </c>
    </row>
    <row r="13" spans="1:25" x14ac:dyDescent="0.35">
      <c r="A13" t="s">
        <v>107</v>
      </c>
      <c r="D13">
        <v>86</v>
      </c>
      <c r="E13">
        <v>86</v>
      </c>
      <c r="F13">
        <v>82</v>
      </c>
      <c r="G13">
        <v>79</v>
      </c>
      <c r="H13">
        <v>77</v>
      </c>
      <c r="I13">
        <v>75</v>
      </c>
      <c r="J13">
        <v>69</v>
      </c>
      <c r="K13">
        <v>58</v>
      </c>
      <c r="L13">
        <v>55</v>
      </c>
      <c r="M13">
        <v>53</v>
      </c>
      <c r="N13">
        <v>42</v>
      </c>
      <c r="O13">
        <v>36</v>
      </c>
      <c r="P13">
        <v>32</v>
      </c>
      <c r="Q13">
        <v>25</v>
      </c>
      <c r="R13">
        <v>23</v>
      </c>
      <c r="S13">
        <v>22</v>
      </c>
      <c r="T13">
        <v>19</v>
      </c>
      <c r="U13">
        <v>16</v>
      </c>
      <c r="V13">
        <v>12</v>
      </c>
      <c r="W13">
        <v>10</v>
      </c>
      <c r="X13">
        <v>4</v>
      </c>
      <c r="Y13">
        <v>1</v>
      </c>
    </row>
    <row r="16" spans="1:25" x14ac:dyDescent="0.35">
      <c r="H16" t="s">
        <v>247</v>
      </c>
    </row>
    <row r="17" spans="1:23" x14ac:dyDescent="0.35">
      <c r="A17" s="9" t="s">
        <v>136</v>
      </c>
      <c r="B17" s="9" t="s">
        <v>255</v>
      </c>
      <c r="C17" s="9" t="s">
        <v>114</v>
      </c>
      <c r="D17" s="9" t="s">
        <v>115</v>
      </c>
      <c r="E17" s="9" t="s">
        <v>116</v>
      </c>
      <c r="F17" s="9" t="s">
        <v>117</v>
      </c>
      <c r="G17" s="9" t="s">
        <v>118</v>
      </c>
      <c r="H17" s="9" t="s">
        <v>119</v>
      </c>
      <c r="I17" s="9" t="s">
        <v>120</v>
      </c>
      <c r="J17" s="9" t="s">
        <v>121</v>
      </c>
      <c r="K17" s="9" t="s">
        <v>122</v>
      </c>
      <c r="L17" s="9" t="s">
        <v>123</v>
      </c>
      <c r="M17" s="9" t="s">
        <v>124</v>
      </c>
      <c r="N17" s="9" t="s">
        <v>125</v>
      </c>
      <c r="O17" s="9" t="s">
        <v>126</v>
      </c>
      <c r="P17" s="9" t="s">
        <v>127</v>
      </c>
      <c r="Q17" s="9" t="s">
        <v>128</v>
      </c>
      <c r="R17" s="9" t="s">
        <v>129</v>
      </c>
      <c r="S17" s="9" t="s">
        <v>130</v>
      </c>
      <c r="T17" s="9" t="s">
        <v>131</v>
      </c>
      <c r="U17" s="9" t="s">
        <v>132</v>
      </c>
      <c r="V17" s="9" t="s">
        <v>133</v>
      </c>
      <c r="W17" s="9" t="s">
        <v>134</v>
      </c>
    </row>
    <row r="18" spans="1:23" x14ac:dyDescent="0.35">
      <c r="A18" s="9" t="s">
        <v>108</v>
      </c>
      <c r="B18" s="3">
        <f>D11</f>
        <v>38</v>
      </c>
      <c r="C18" s="3">
        <f t="shared" ref="C18:W18" si="0">E11</f>
        <v>38</v>
      </c>
      <c r="D18" s="3">
        <f t="shared" si="0"/>
        <v>37</v>
      </c>
      <c r="E18" s="3">
        <f t="shared" si="0"/>
        <v>34</v>
      </c>
      <c r="F18" s="3">
        <f t="shared" si="0"/>
        <v>32</v>
      </c>
      <c r="G18" s="3">
        <f t="shared" si="0"/>
        <v>30</v>
      </c>
      <c r="H18" s="3">
        <f t="shared" si="0"/>
        <v>28</v>
      </c>
      <c r="I18" s="3">
        <f t="shared" si="0"/>
        <v>26</v>
      </c>
      <c r="J18" s="3">
        <f t="shared" si="0"/>
        <v>25</v>
      </c>
      <c r="K18" s="3">
        <f t="shared" si="0"/>
        <v>23</v>
      </c>
      <c r="L18" s="3">
        <f t="shared" si="0"/>
        <v>21</v>
      </c>
      <c r="M18" s="3">
        <f t="shared" si="0"/>
        <v>19</v>
      </c>
      <c r="N18" s="3">
        <f t="shared" si="0"/>
        <v>17</v>
      </c>
      <c r="O18" s="3">
        <f t="shared" si="0"/>
        <v>15</v>
      </c>
      <c r="P18" s="3">
        <f t="shared" si="0"/>
        <v>13</v>
      </c>
      <c r="Q18" s="3">
        <f t="shared" si="0"/>
        <v>12</v>
      </c>
      <c r="R18" s="3">
        <f t="shared" si="0"/>
        <v>10</v>
      </c>
      <c r="S18" s="3">
        <f t="shared" si="0"/>
        <v>8</v>
      </c>
      <c r="T18" s="3">
        <f t="shared" si="0"/>
        <v>6</v>
      </c>
      <c r="U18" s="3">
        <f t="shared" si="0"/>
        <v>5</v>
      </c>
      <c r="V18" s="3">
        <f t="shared" si="0"/>
        <v>2</v>
      </c>
      <c r="W18" s="3">
        <f t="shared" si="0"/>
        <v>1</v>
      </c>
    </row>
    <row r="19" spans="1:23" x14ac:dyDescent="0.35">
      <c r="A19" s="9" t="s">
        <v>246</v>
      </c>
      <c r="B19" s="3">
        <f>D12</f>
        <v>48</v>
      </c>
      <c r="C19" s="3">
        <f t="shared" ref="C19:W19" si="1">E12</f>
        <v>48</v>
      </c>
      <c r="D19" s="3">
        <f t="shared" si="1"/>
        <v>45</v>
      </c>
      <c r="E19" s="3">
        <f t="shared" si="1"/>
        <v>45</v>
      </c>
      <c r="F19" s="3">
        <f t="shared" si="1"/>
        <v>45</v>
      </c>
      <c r="G19" s="3">
        <f t="shared" si="1"/>
        <v>45</v>
      </c>
      <c r="H19" s="3">
        <f t="shared" si="1"/>
        <v>41</v>
      </c>
      <c r="I19" s="3">
        <f t="shared" si="1"/>
        <v>32</v>
      </c>
      <c r="J19" s="3">
        <f t="shared" si="1"/>
        <v>30</v>
      </c>
      <c r="K19" s="3">
        <f t="shared" si="1"/>
        <v>30</v>
      </c>
      <c r="L19" s="3">
        <f t="shared" si="1"/>
        <v>21</v>
      </c>
      <c r="M19" s="3">
        <f t="shared" si="1"/>
        <v>17</v>
      </c>
      <c r="N19" s="3">
        <f t="shared" si="1"/>
        <v>15</v>
      </c>
      <c r="O19" s="3">
        <f t="shared" si="1"/>
        <v>10</v>
      </c>
      <c r="P19" s="3">
        <f t="shared" si="1"/>
        <v>10</v>
      </c>
      <c r="Q19" s="3">
        <f t="shared" si="1"/>
        <v>10</v>
      </c>
      <c r="R19" s="3">
        <f t="shared" si="1"/>
        <v>9</v>
      </c>
      <c r="S19" s="3">
        <f t="shared" si="1"/>
        <v>8</v>
      </c>
      <c r="T19" s="3">
        <f t="shared" si="1"/>
        <v>6</v>
      </c>
      <c r="U19" s="3">
        <f t="shared" si="1"/>
        <v>5</v>
      </c>
      <c r="V19" s="3">
        <f t="shared" si="1"/>
        <v>2</v>
      </c>
      <c r="W19" s="3">
        <f t="shared" si="1"/>
        <v>0</v>
      </c>
    </row>
    <row r="20" spans="1:23" x14ac:dyDescent="0.35">
      <c r="A20" s="9" t="s">
        <v>109</v>
      </c>
      <c r="B20" s="3">
        <f>SUM(B18:B19)</f>
        <v>86</v>
      </c>
      <c r="C20" s="3">
        <f t="shared" ref="C20:W20" si="2">SUM(C18:C19)</f>
        <v>86</v>
      </c>
      <c r="D20" s="3">
        <f t="shared" si="2"/>
        <v>82</v>
      </c>
      <c r="E20" s="3">
        <f t="shared" si="2"/>
        <v>79</v>
      </c>
      <c r="F20" s="3">
        <f t="shared" si="2"/>
        <v>77</v>
      </c>
      <c r="G20" s="3">
        <f t="shared" si="2"/>
        <v>75</v>
      </c>
      <c r="H20" s="3">
        <f t="shared" si="2"/>
        <v>69</v>
      </c>
      <c r="I20" s="3">
        <f t="shared" si="2"/>
        <v>58</v>
      </c>
      <c r="J20" s="3">
        <f t="shared" si="2"/>
        <v>55</v>
      </c>
      <c r="K20" s="3">
        <f t="shared" si="2"/>
        <v>53</v>
      </c>
      <c r="L20" s="3">
        <f t="shared" si="2"/>
        <v>42</v>
      </c>
      <c r="M20" s="3">
        <f t="shared" si="2"/>
        <v>36</v>
      </c>
      <c r="N20" s="3">
        <f t="shared" si="2"/>
        <v>32</v>
      </c>
      <c r="O20" s="3">
        <f t="shared" si="2"/>
        <v>25</v>
      </c>
      <c r="P20" s="3">
        <f t="shared" si="2"/>
        <v>23</v>
      </c>
      <c r="Q20" s="3">
        <f t="shared" si="2"/>
        <v>22</v>
      </c>
      <c r="R20" s="3">
        <f t="shared" si="2"/>
        <v>19</v>
      </c>
      <c r="S20" s="3">
        <f t="shared" si="2"/>
        <v>16</v>
      </c>
      <c r="T20" s="3">
        <f t="shared" si="2"/>
        <v>12</v>
      </c>
      <c r="U20" s="3">
        <f t="shared" si="2"/>
        <v>10</v>
      </c>
      <c r="V20" s="3">
        <f t="shared" si="2"/>
        <v>4</v>
      </c>
      <c r="W20" s="3">
        <f t="shared" si="2"/>
        <v>1</v>
      </c>
    </row>
    <row r="21" spans="1:23" x14ac:dyDescent="0.35">
      <c r="A21" s="9" t="s">
        <v>252</v>
      </c>
      <c r="B21" s="4">
        <f>B19/$B$19</f>
        <v>1</v>
      </c>
      <c r="C21" s="4">
        <f t="shared" ref="C21:W21" si="3">C19/$B$19</f>
        <v>1</v>
      </c>
      <c r="D21" s="4">
        <f t="shared" si="3"/>
        <v>0.9375</v>
      </c>
      <c r="E21" s="4">
        <f t="shared" si="3"/>
        <v>0.9375</v>
      </c>
      <c r="F21" s="4">
        <f t="shared" si="3"/>
        <v>0.9375</v>
      </c>
      <c r="G21" s="4">
        <f t="shared" si="3"/>
        <v>0.9375</v>
      </c>
      <c r="H21" s="4">
        <f t="shared" si="3"/>
        <v>0.85416666666666663</v>
      </c>
      <c r="I21" s="4">
        <f t="shared" si="3"/>
        <v>0.66666666666666663</v>
      </c>
      <c r="J21" s="4">
        <f t="shared" si="3"/>
        <v>0.625</v>
      </c>
      <c r="K21" s="4">
        <f t="shared" si="3"/>
        <v>0.625</v>
      </c>
      <c r="L21" s="4">
        <f t="shared" si="3"/>
        <v>0.4375</v>
      </c>
      <c r="M21" s="4">
        <f t="shared" si="3"/>
        <v>0.35416666666666669</v>
      </c>
      <c r="N21" s="4">
        <f t="shared" si="3"/>
        <v>0.3125</v>
      </c>
      <c r="O21" s="4">
        <f t="shared" si="3"/>
        <v>0.20833333333333334</v>
      </c>
      <c r="P21" s="4">
        <f t="shared" si="3"/>
        <v>0.20833333333333334</v>
      </c>
      <c r="Q21" s="4">
        <f t="shared" si="3"/>
        <v>0.20833333333333334</v>
      </c>
      <c r="R21" s="4">
        <f t="shared" si="3"/>
        <v>0.1875</v>
      </c>
      <c r="S21" s="4">
        <f t="shared" si="3"/>
        <v>0.16666666666666666</v>
      </c>
      <c r="T21" s="4">
        <f t="shared" si="3"/>
        <v>0.125</v>
      </c>
      <c r="U21" s="4">
        <f t="shared" si="3"/>
        <v>0.10416666666666667</v>
      </c>
      <c r="V21" s="4">
        <f t="shared" si="3"/>
        <v>4.1666666666666664E-2</v>
      </c>
      <c r="W21" s="4">
        <f t="shared" si="3"/>
        <v>0</v>
      </c>
    </row>
    <row r="22" spans="1:23" x14ac:dyDescent="0.35">
      <c r="A22" s="9" t="s">
        <v>135</v>
      </c>
      <c r="B22" s="4">
        <f>B18/B20</f>
        <v>0.44186046511627908</v>
      </c>
      <c r="C22" s="4">
        <f t="shared" ref="C22:W22" si="4">C18/C20</f>
        <v>0.44186046511627908</v>
      </c>
      <c r="D22" s="4">
        <f t="shared" si="4"/>
        <v>0.45121951219512196</v>
      </c>
      <c r="E22" s="4">
        <f t="shared" si="4"/>
        <v>0.43037974683544306</v>
      </c>
      <c r="F22" s="4">
        <f t="shared" si="4"/>
        <v>0.41558441558441561</v>
      </c>
      <c r="G22" s="4">
        <f t="shared" si="4"/>
        <v>0.4</v>
      </c>
      <c r="H22" s="4">
        <f t="shared" si="4"/>
        <v>0.40579710144927539</v>
      </c>
      <c r="I22" s="4">
        <f t="shared" si="4"/>
        <v>0.44827586206896552</v>
      </c>
      <c r="J22" s="4">
        <f t="shared" si="4"/>
        <v>0.45454545454545453</v>
      </c>
      <c r="K22" s="4">
        <f t="shared" si="4"/>
        <v>0.43396226415094341</v>
      </c>
      <c r="L22" s="4">
        <f t="shared" si="4"/>
        <v>0.5</v>
      </c>
      <c r="M22" s="4">
        <f t="shared" si="4"/>
        <v>0.52777777777777779</v>
      </c>
      <c r="N22" s="4">
        <f t="shared" si="4"/>
        <v>0.53125</v>
      </c>
      <c r="O22" s="4">
        <f t="shared" si="4"/>
        <v>0.6</v>
      </c>
      <c r="P22" s="4">
        <f t="shared" si="4"/>
        <v>0.56521739130434778</v>
      </c>
      <c r="Q22" s="4">
        <f t="shared" si="4"/>
        <v>0.54545454545454541</v>
      </c>
      <c r="R22" s="4">
        <f t="shared" si="4"/>
        <v>0.52631578947368418</v>
      </c>
      <c r="S22" s="4">
        <f t="shared" si="4"/>
        <v>0.5</v>
      </c>
      <c r="T22" s="4">
        <f t="shared" si="4"/>
        <v>0.5</v>
      </c>
      <c r="U22" s="4">
        <f t="shared" si="4"/>
        <v>0.5</v>
      </c>
      <c r="V22" s="4">
        <f t="shared" si="4"/>
        <v>0.5</v>
      </c>
      <c r="W22" s="4">
        <f t="shared" si="4"/>
        <v>1</v>
      </c>
    </row>
    <row r="23" spans="1:23" x14ac:dyDescent="0.35">
      <c r="A23" s="9" t="s">
        <v>113</v>
      </c>
      <c r="B23" s="9"/>
      <c r="C23" s="8">
        <f>C7</f>
        <v>200185.1</v>
      </c>
      <c r="D23" s="8">
        <f>D7</f>
        <v>200678.35</v>
      </c>
      <c r="E23" s="8">
        <f t="shared" ref="E23:W23" si="5">E7</f>
        <v>200833.98800000001</v>
      </c>
      <c r="F23" s="8">
        <f t="shared" si="5"/>
        <v>203335.45449999999</v>
      </c>
      <c r="G23" s="8">
        <f t="shared" si="5"/>
        <v>206132.084</v>
      </c>
      <c r="H23" s="8">
        <f t="shared" si="5"/>
        <v>210268.38</v>
      </c>
      <c r="I23" s="8">
        <f t="shared" si="5"/>
        <v>240578.77600000001</v>
      </c>
      <c r="J23" s="8">
        <f t="shared" si="5"/>
        <v>246254.52549999999</v>
      </c>
      <c r="K23" s="8">
        <f t="shared" si="5"/>
        <v>249318.614</v>
      </c>
      <c r="L23" s="8">
        <f t="shared" si="5"/>
        <v>279250.00000000012</v>
      </c>
      <c r="M23" s="8">
        <f t="shared" si="5"/>
        <v>297500</v>
      </c>
      <c r="N23" s="8">
        <f t="shared" si="5"/>
        <v>301679.391</v>
      </c>
      <c r="O23" s="8">
        <f t="shared" si="5"/>
        <v>321114.18400000001</v>
      </c>
      <c r="P23" s="8">
        <f t="shared" si="5"/>
        <v>325987.95250000001</v>
      </c>
      <c r="Q23" s="8">
        <f t="shared" si="5"/>
        <v>347664.57799999998</v>
      </c>
      <c r="R23" s="8">
        <f t="shared" si="5"/>
        <v>372571.65</v>
      </c>
      <c r="S23" s="8">
        <f t="shared" si="5"/>
        <v>399884.79399999999</v>
      </c>
      <c r="T23" s="8">
        <f t="shared" si="5"/>
        <v>443839.04049999989</v>
      </c>
      <c r="U23" s="8">
        <f t="shared" si="5"/>
        <v>575445.98</v>
      </c>
      <c r="V23" s="8">
        <f t="shared" si="5"/>
        <v>717686.51049999997</v>
      </c>
      <c r="W23" s="8">
        <f t="shared" si="5"/>
        <v>1154498.28</v>
      </c>
    </row>
    <row r="24" spans="1:23" x14ac:dyDescent="0.35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23" x14ac:dyDescent="0.35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</sheetData>
  <mergeCells count="1">
    <mergeCell ref="A1:F3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8F63-8C02-4FD9-A808-4E9E9D81BC64}">
  <sheetPr>
    <tabColor rgb="FFFF0000"/>
  </sheetPr>
  <dimension ref="A1:Y25"/>
  <sheetViews>
    <sheetView zoomScale="40" zoomScaleNormal="40" workbookViewId="0">
      <selection activeCell="I41" sqref="I41"/>
    </sheetView>
  </sheetViews>
  <sheetFormatPr defaultRowHeight="14.5" x14ac:dyDescent="0.35"/>
  <cols>
    <col min="1" max="1" width="31.36328125" bestFit="1" customWidth="1"/>
    <col min="2" max="2" width="18.6328125" bestFit="1" customWidth="1"/>
    <col min="3" max="3" width="17" bestFit="1" customWidth="1"/>
    <col min="4" max="4" width="23" bestFit="1" customWidth="1"/>
    <col min="5" max="6" width="31.7265625" bestFit="1" customWidth="1"/>
    <col min="7" max="8" width="31.36328125" bestFit="1" customWidth="1"/>
    <col min="9" max="24" width="31.7265625" bestFit="1" customWidth="1"/>
    <col min="25" max="25" width="32.81640625" bestFit="1" customWidth="1"/>
  </cols>
  <sheetData>
    <row r="1" spans="1:25" x14ac:dyDescent="0.35">
      <c r="A1" s="46" t="s">
        <v>253</v>
      </c>
      <c r="B1" s="46"/>
      <c r="C1" s="46"/>
      <c r="D1" s="46"/>
      <c r="E1" s="46"/>
      <c r="F1" s="46"/>
    </row>
    <row r="2" spans="1:25" x14ac:dyDescent="0.35">
      <c r="A2" s="46"/>
      <c r="B2" s="46"/>
      <c r="C2" s="46"/>
      <c r="D2" s="46"/>
      <c r="E2" s="46"/>
      <c r="F2" s="46"/>
    </row>
    <row r="3" spans="1:25" x14ac:dyDescent="0.35">
      <c r="A3" s="46"/>
      <c r="B3" s="46"/>
      <c r="C3" s="46"/>
      <c r="D3" s="46"/>
      <c r="E3" s="46"/>
      <c r="F3" s="46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204</v>
      </c>
      <c r="D5" t="s">
        <v>205</v>
      </c>
      <c r="E5" t="s">
        <v>206</v>
      </c>
      <c r="F5" t="s">
        <v>207</v>
      </c>
      <c r="G5" t="s">
        <v>208</v>
      </c>
      <c r="H5" t="s">
        <v>209</v>
      </c>
      <c r="I5" t="s">
        <v>210</v>
      </c>
      <c r="J5" t="s">
        <v>211</v>
      </c>
      <c r="K5" t="s">
        <v>212</v>
      </c>
      <c r="L5" t="s">
        <v>213</v>
      </c>
      <c r="M5" t="s">
        <v>214</v>
      </c>
      <c r="N5" t="s">
        <v>215</v>
      </c>
      <c r="O5" t="s">
        <v>216</v>
      </c>
      <c r="P5" t="s">
        <v>217</v>
      </c>
      <c r="Q5" t="s">
        <v>218</v>
      </c>
      <c r="R5" t="s">
        <v>219</v>
      </c>
      <c r="S5" t="s">
        <v>220</v>
      </c>
      <c r="T5" t="s">
        <v>221</v>
      </c>
      <c r="U5" t="s">
        <v>222</v>
      </c>
      <c r="V5" t="s">
        <v>223</v>
      </c>
      <c r="W5" t="s">
        <v>224</v>
      </c>
    </row>
    <row r="6" spans="1:25" x14ac:dyDescent="0.35">
      <c r="A6" t="s">
        <v>182</v>
      </c>
      <c r="B6" t="s">
        <v>53</v>
      </c>
      <c r="C6" s="7">
        <v>202500</v>
      </c>
      <c r="D6" s="7">
        <v>202500</v>
      </c>
      <c r="E6" s="7">
        <v>202500</v>
      </c>
      <c r="F6" s="7">
        <v>202500</v>
      </c>
      <c r="G6" s="7">
        <v>202500</v>
      </c>
      <c r="H6" s="7">
        <v>202500</v>
      </c>
      <c r="I6" s="7">
        <v>202500</v>
      </c>
      <c r="J6" s="7">
        <v>202500</v>
      </c>
      <c r="K6" s="7">
        <v>202655.56</v>
      </c>
      <c r="L6" s="7">
        <v>203161.13</v>
      </c>
      <c r="M6" s="7">
        <v>205963.9</v>
      </c>
      <c r="N6" s="7">
        <v>214477.5</v>
      </c>
      <c r="O6" s="7">
        <v>239730</v>
      </c>
      <c r="P6" s="7">
        <v>248625</v>
      </c>
      <c r="Q6" s="7">
        <v>250000</v>
      </c>
      <c r="R6" s="7">
        <v>250000</v>
      </c>
      <c r="S6" s="7">
        <v>252800</v>
      </c>
      <c r="T6" s="7">
        <v>257232.47500000001</v>
      </c>
      <c r="U6" s="7">
        <v>260254.65</v>
      </c>
      <c r="V6" s="7">
        <v>464072.17499999981</v>
      </c>
      <c r="W6" s="7">
        <v>840000</v>
      </c>
    </row>
    <row r="7" spans="1:25" x14ac:dyDescent="0.35">
      <c r="A7" t="s">
        <v>107</v>
      </c>
      <c r="C7">
        <v>202500</v>
      </c>
      <c r="D7">
        <v>202500</v>
      </c>
      <c r="E7">
        <v>202500</v>
      </c>
      <c r="F7">
        <v>202500</v>
      </c>
      <c r="G7">
        <v>202500</v>
      </c>
      <c r="H7">
        <v>202500</v>
      </c>
      <c r="I7">
        <v>202500</v>
      </c>
      <c r="J7">
        <v>202500</v>
      </c>
      <c r="K7">
        <v>202655.56</v>
      </c>
      <c r="L7">
        <v>203161.13</v>
      </c>
      <c r="M7">
        <v>205963.9</v>
      </c>
      <c r="N7">
        <v>214477.5</v>
      </c>
      <c r="O7">
        <v>239730</v>
      </c>
      <c r="P7">
        <v>248625</v>
      </c>
      <c r="Q7">
        <v>250000</v>
      </c>
      <c r="R7">
        <v>250000</v>
      </c>
      <c r="S7">
        <v>252800</v>
      </c>
      <c r="T7">
        <v>257232.47500000001</v>
      </c>
      <c r="U7">
        <v>260254.65</v>
      </c>
      <c r="V7">
        <v>464072.17499999981</v>
      </c>
      <c r="W7">
        <v>840000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254</v>
      </c>
      <c r="E10" t="s">
        <v>226</v>
      </c>
      <c r="F10" t="s">
        <v>225</v>
      </c>
      <c r="G10" t="s">
        <v>227</v>
      </c>
      <c r="H10" t="s">
        <v>228</v>
      </c>
      <c r="I10" t="s">
        <v>229</v>
      </c>
      <c r="J10" t="s">
        <v>230</v>
      </c>
      <c r="K10" t="s">
        <v>231</v>
      </c>
      <c r="L10" t="s">
        <v>232</v>
      </c>
      <c r="M10" t="s">
        <v>233</v>
      </c>
      <c r="N10" t="s">
        <v>234</v>
      </c>
      <c r="O10" t="s">
        <v>235</v>
      </c>
      <c r="P10" t="s">
        <v>236</v>
      </c>
      <c r="Q10" t="s">
        <v>237</v>
      </c>
      <c r="R10" t="s">
        <v>238</v>
      </c>
      <c r="S10" t="s">
        <v>239</v>
      </c>
      <c r="T10" t="s">
        <v>240</v>
      </c>
      <c r="U10" t="s">
        <v>241</v>
      </c>
      <c r="V10" t="s">
        <v>242</v>
      </c>
      <c r="W10" t="s">
        <v>243</v>
      </c>
      <c r="X10" t="s">
        <v>244</v>
      </c>
      <c r="Y10" t="s">
        <v>245</v>
      </c>
    </row>
    <row r="11" spans="1:25" x14ac:dyDescent="0.35">
      <c r="A11" t="s">
        <v>182</v>
      </c>
      <c r="B11" t="s">
        <v>53</v>
      </c>
      <c r="C11">
        <v>0</v>
      </c>
      <c r="D11">
        <v>14</v>
      </c>
      <c r="E11">
        <v>14</v>
      </c>
      <c r="F11">
        <v>14</v>
      </c>
      <c r="G11">
        <v>14</v>
      </c>
      <c r="H11">
        <v>14</v>
      </c>
      <c r="I11">
        <v>14</v>
      </c>
      <c r="J11">
        <v>14</v>
      </c>
      <c r="K11">
        <v>14</v>
      </c>
      <c r="L11">
        <v>14</v>
      </c>
      <c r="M11">
        <v>8</v>
      </c>
      <c r="N11">
        <v>8</v>
      </c>
      <c r="O11">
        <v>7</v>
      </c>
      <c r="P11">
        <v>6</v>
      </c>
      <c r="Q11">
        <v>6</v>
      </c>
      <c r="R11">
        <v>5</v>
      </c>
      <c r="S11">
        <v>5</v>
      </c>
      <c r="T11">
        <v>5</v>
      </c>
      <c r="U11">
        <v>3</v>
      </c>
      <c r="V11">
        <v>2</v>
      </c>
      <c r="W11">
        <v>2</v>
      </c>
      <c r="X11">
        <v>1</v>
      </c>
      <c r="Y11">
        <v>1</v>
      </c>
    </row>
    <row r="12" spans="1:25" x14ac:dyDescent="0.35">
      <c r="A12" t="s">
        <v>182</v>
      </c>
      <c r="B12" t="s">
        <v>53</v>
      </c>
      <c r="C12">
        <v>1</v>
      </c>
      <c r="D12">
        <v>26</v>
      </c>
      <c r="E12">
        <v>24</v>
      </c>
      <c r="F12">
        <v>24</v>
      </c>
      <c r="G12">
        <v>24</v>
      </c>
      <c r="H12">
        <v>24</v>
      </c>
      <c r="I12">
        <v>24</v>
      </c>
      <c r="J12">
        <v>24</v>
      </c>
      <c r="K12">
        <v>24</v>
      </c>
      <c r="L12">
        <v>24</v>
      </c>
      <c r="M12">
        <v>24</v>
      </c>
      <c r="N12">
        <v>24</v>
      </c>
      <c r="O12">
        <v>23</v>
      </c>
      <c r="P12">
        <v>22</v>
      </c>
      <c r="Q12">
        <v>14</v>
      </c>
      <c r="R12">
        <v>13</v>
      </c>
      <c r="S12">
        <v>13</v>
      </c>
      <c r="T12">
        <v>13</v>
      </c>
      <c r="U12">
        <v>11</v>
      </c>
      <c r="V12">
        <v>11</v>
      </c>
      <c r="W12">
        <v>11</v>
      </c>
      <c r="X12">
        <v>3</v>
      </c>
      <c r="Y12">
        <v>1</v>
      </c>
    </row>
    <row r="13" spans="1:25" x14ac:dyDescent="0.35">
      <c r="A13" t="s">
        <v>107</v>
      </c>
      <c r="D13">
        <v>40</v>
      </c>
      <c r="E13">
        <v>38</v>
      </c>
      <c r="F13">
        <v>38</v>
      </c>
      <c r="G13">
        <v>38</v>
      </c>
      <c r="H13">
        <v>38</v>
      </c>
      <c r="I13">
        <v>38</v>
      </c>
      <c r="J13">
        <v>38</v>
      </c>
      <c r="K13">
        <v>38</v>
      </c>
      <c r="L13">
        <v>38</v>
      </c>
      <c r="M13">
        <v>32</v>
      </c>
      <c r="N13">
        <v>32</v>
      </c>
      <c r="O13">
        <v>30</v>
      </c>
      <c r="P13">
        <v>28</v>
      </c>
      <c r="Q13">
        <v>20</v>
      </c>
      <c r="R13">
        <v>18</v>
      </c>
      <c r="S13">
        <v>18</v>
      </c>
      <c r="T13">
        <v>18</v>
      </c>
      <c r="U13">
        <v>14</v>
      </c>
      <c r="V13">
        <v>13</v>
      </c>
      <c r="W13">
        <v>13</v>
      </c>
      <c r="X13">
        <v>4</v>
      </c>
      <c r="Y13">
        <v>2</v>
      </c>
    </row>
    <row r="16" spans="1:25" x14ac:dyDescent="0.35">
      <c r="H16" t="s">
        <v>247</v>
      </c>
    </row>
    <row r="17" spans="1:23" x14ac:dyDescent="0.35">
      <c r="A17" s="9" t="s">
        <v>136</v>
      </c>
      <c r="B17" s="9" t="s">
        <v>255</v>
      </c>
      <c r="C17" s="9" t="s">
        <v>114</v>
      </c>
      <c r="D17" s="9" t="s">
        <v>115</v>
      </c>
      <c r="E17" s="9" t="s">
        <v>116</v>
      </c>
      <c r="F17" s="9" t="s">
        <v>117</v>
      </c>
      <c r="G17" s="9" t="s">
        <v>118</v>
      </c>
      <c r="H17" s="9" t="s">
        <v>119</v>
      </c>
      <c r="I17" s="9" t="s">
        <v>120</v>
      </c>
      <c r="J17" s="9" t="s">
        <v>121</v>
      </c>
      <c r="K17" s="9" t="s">
        <v>122</v>
      </c>
      <c r="L17" s="9" t="s">
        <v>123</v>
      </c>
      <c r="M17" s="9" t="s">
        <v>124</v>
      </c>
      <c r="N17" s="9" t="s">
        <v>125</v>
      </c>
      <c r="O17" s="9" t="s">
        <v>126</v>
      </c>
      <c r="P17" s="9" t="s">
        <v>127</v>
      </c>
      <c r="Q17" s="9" t="s">
        <v>128</v>
      </c>
      <c r="R17" s="9" t="s">
        <v>129</v>
      </c>
      <c r="S17" s="9" t="s">
        <v>130</v>
      </c>
      <c r="T17" s="9" t="s">
        <v>131</v>
      </c>
      <c r="U17" s="9" t="s">
        <v>132</v>
      </c>
      <c r="V17" s="9" t="s">
        <v>133</v>
      </c>
      <c r="W17" s="9" t="s">
        <v>134</v>
      </c>
    </row>
    <row r="18" spans="1:23" x14ac:dyDescent="0.35">
      <c r="A18" s="9" t="s">
        <v>108</v>
      </c>
      <c r="B18" s="3">
        <f>D11</f>
        <v>14</v>
      </c>
      <c r="C18" s="3">
        <f>E11</f>
        <v>14</v>
      </c>
      <c r="D18" s="3">
        <f t="shared" ref="D18:W18" si="0">F11</f>
        <v>14</v>
      </c>
      <c r="E18" s="3">
        <f t="shared" si="0"/>
        <v>14</v>
      </c>
      <c r="F18" s="3">
        <f t="shared" si="0"/>
        <v>14</v>
      </c>
      <c r="G18" s="3">
        <f t="shared" si="0"/>
        <v>14</v>
      </c>
      <c r="H18" s="3">
        <f t="shared" si="0"/>
        <v>14</v>
      </c>
      <c r="I18" s="3">
        <f t="shared" si="0"/>
        <v>14</v>
      </c>
      <c r="J18" s="3">
        <f t="shared" si="0"/>
        <v>14</v>
      </c>
      <c r="K18" s="3">
        <f t="shared" si="0"/>
        <v>8</v>
      </c>
      <c r="L18" s="3">
        <f t="shared" si="0"/>
        <v>8</v>
      </c>
      <c r="M18" s="3">
        <f t="shared" si="0"/>
        <v>7</v>
      </c>
      <c r="N18" s="3">
        <f t="shared" si="0"/>
        <v>6</v>
      </c>
      <c r="O18" s="3">
        <f t="shared" si="0"/>
        <v>6</v>
      </c>
      <c r="P18" s="3">
        <f t="shared" si="0"/>
        <v>5</v>
      </c>
      <c r="Q18" s="3">
        <f t="shared" si="0"/>
        <v>5</v>
      </c>
      <c r="R18" s="3">
        <f t="shared" si="0"/>
        <v>5</v>
      </c>
      <c r="S18" s="3">
        <f t="shared" si="0"/>
        <v>3</v>
      </c>
      <c r="T18" s="3">
        <f t="shared" si="0"/>
        <v>2</v>
      </c>
      <c r="U18" s="3">
        <f t="shared" si="0"/>
        <v>2</v>
      </c>
      <c r="V18" s="3">
        <f t="shared" si="0"/>
        <v>1</v>
      </c>
      <c r="W18" s="3">
        <f t="shared" si="0"/>
        <v>1</v>
      </c>
    </row>
    <row r="19" spans="1:23" x14ac:dyDescent="0.35">
      <c r="A19" s="9" t="s">
        <v>246</v>
      </c>
      <c r="B19" s="3">
        <f>D12</f>
        <v>26</v>
      </c>
      <c r="C19" s="3">
        <f>E12</f>
        <v>24</v>
      </c>
      <c r="D19" s="3">
        <f t="shared" ref="D19:W19" si="1">F12</f>
        <v>24</v>
      </c>
      <c r="E19" s="3">
        <f t="shared" si="1"/>
        <v>24</v>
      </c>
      <c r="F19" s="3">
        <f t="shared" si="1"/>
        <v>24</v>
      </c>
      <c r="G19" s="3">
        <f t="shared" si="1"/>
        <v>24</v>
      </c>
      <c r="H19" s="3">
        <f t="shared" si="1"/>
        <v>24</v>
      </c>
      <c r="I19" s="3">
        <f t="shared" si="1"/>
        <v>24</v>
      </c>
      <c r="J19" s="3">
        <f t="shared" si="1"/>
        <v>24</v>
      </c>
      <c r="K19" s="3">
        <f t="shared" si="1"/>
        <v>24</v>
      </c>
      <c r="L19" s="3">
        <f t="shared" si="1"/>
        <v>24</v>
      </c>
      <c r="M19" s="3">
        <f t="shared" si="1"/>
        <v>23</v>
      </c>
      <c r="N19" s="3">
        <f t="shared" si="1"/>
        <v>22</v>
      </c>
      <c r="O19" s="3">
        <f t="shared" si="1"/>
        <v>14</v>
      </c>
      <c r="P19" s="3">
        <f t="shared" si="1"/>
        <v>13</v>
      </c>
      <c r="Q19" s="3">
        <f t="shared" si="1"/>
        <v>13</v>
      </c>
      <c r="R19" s="3">
        <f t="shared" si="1"/>
        <v>13</v>
      </c>
      <c r="S19" s="3">
        <f t="shared" si="1"/>
        <v>11</v>
      </c>
      <c r="T19" s="3">
        <f t="shared" si="1"/>
        <v>11</v>
      </c>
      <c r="U19" s="3">
        <f t="shared" si="1"/>
        <v>11</v>
      </c>
      <c r="V19" s="3">
        <f t="shared" si="1"/>
        <v>3</v>
      </c>
      <c r="W19" s="3">
        <f t="shared" si="1"/>
        <v>1</v>
      </c>
    </row>
    <row r="20" spans="1:23" x14ac:dyDescent="0.35">
      <c r="A20" s="9" t="s">
        <v>109</v>
      </c>
      <c r="B20" s="3">
        <f>SUM(B18:B19)</f>
        <v>40</v>
      </c>
      <c r="C20" s="3">
        <f>SUM(C18:C19)</f>
        <v>38</v>
      </c>
      <c r="D20" s="3">
        <f t="shared" ref="D20:W20" si="2">SUM(D18:D19)</f>
        <v>38</v>
      </c>
      <c r="E20" s="3">
        <f t="shared" si="2"/>
        <v>38</v>
      </c>
      <c r="F20" s="3">
        <f t="shared" si="2"/>
        <v>38</v>
      </c>
      <c r="G20" s="3">
        <f t="shared" si="2"/>
        <v>38</v>
      </c>
      <c r="H20" s="3">
        <f t="shared" si="2"/>
        <v>38</v>
      </c>
      <c r="I20" s="3">
        <f t="shared" si="2"/>
        <v>38</v>
      </c>
      <c r="J20" s="3">
        <f t="shared" si="2"/>
        <v>38</v>
      </c>
      <c r="K20" s="3">
        <f t="shared" si="2"/>
        <v>32</v>
      </c>
      <c r="L20" s="3">
        <f t="shared" si="2"/>
        <v>32</v>
      </c>
      <c r="M20" s="3">
        <f t="shared" si="2"/>
        <v>30</v>
      </c>
      <c r="N20" s="3">
        <f t="shared" si="2"/>
        <v>28</v>
      </c>
      <c r="O20" s="3">
        <f t="shared" si="2"/>
        <v>20</v>
      </c>
      <c r="P20" s="3">
        <f t="shared" si="2"/>
        <v>18</v>
      </c>
      <c r="Q20" s="3">
        <f t="shared" si="2"/>
        <v>18</v>
      </c>
      <c r="R20" s="3">
        <f t="shared" si="2"/>
        <v>18</v>
      </c>
      <c r="S20" s="3">
        <f t="shared" si="2"/>
        <v>14</v>
      </c>
      <c r="T20" s="3">
        <f t="shared" si="2"/>
        <v>13</v>
      </c>
      <c r="U20" s="3">
        <f t="shared" si="2"/>
        <v>13</v>
      </c>
      <c r="V20" s="3">
        <f t="shared" si="2"/>
        <v>4</v>
      </c>
      <c r="W20" s="3">
        <f t="shared" si="2"/>
        <v>2</v>
      </c>
    </row>
    <row r="21" spans="1:23" x14ac:dyDescent="0.35">
      <c r="A21" s="9" t="s">
        <v>252</v>
      </c>
      <c r="B21" s="4">
        <f>B19/$B$19</f>
        <v>1</v>
      </c>
      <c r="C21" s="4">
        <f>C19/$B$19</f>
        <v>0.92307692307692313</v>
      </c>
      <c r="D21" s="4">
        <f t="shared" ref="D21:W21" si="3">D19/$B$19</f>
        <v>0.92307692307692313</v>
      </c>
      <c r="E21" s="4">
        <f t="shared" si="3"/>
        <v>0.92307692307692313</v>
      </c>
      <c r="F21" s="4">
        <f t="shared" si="3"/>
        <v>0.92307692307692313</v>
      </c>
      <c r="G21" s="4">
        <f t="shared" si="3"/>
        <v>0.92307692307692313</v>
      </c>
      <c r="H21" s="4">
        <f t="shared" si="3"/>
        <v>0.92307692307692313</v>
      </c>
      <c r="I21" s="4">
        <f t="shared" si="3"/>
        <v>0.92307692307692313</v>
      </c>
      <c r="J21" s="4">
        <f t="shared" si="3"/>
        <v>0.92307692307692313</v>
      </c>
      <c r="K21" s="4">
        <f t="shared" si="3"/>
        <v>0.92307692307692313</v>
      </c>
      <c r="L21" s="4">
        <f t="shared" si="3"/>
        <v>0.92307692307692313</v>
      </c>
      <c r="M21" s="4">
        <f t="shared" si="3"/>
        <v>0.88461538461538458</v>
      </c>
      <c r="N21" s="4">
        <f t="shared" si="3"/>
        <v>0.84615384615384615</v>
      </c>
      <c r="O21" s="4">
        <f t="shared" si="3"/>
        <v>0.53846153846153844</v>
      </c>
      <c r="P21" s="4">
        <f t="shared" si="3"/>
        <v>0.5</v>
      </c>
      <c r="Q21" s="4">
        <f t="shared" si="3"/>
        <v>0.5</v>
      </c>
      <c r="R21" s="4">
        <f t="shared" si="3"/>
        <v>0.5</v>
      </c>
      <c r="S21" s="4">
        <f t="shared" si="3"/>
        <v>0.42307692307692307</v>
      </c>
      <c r="T21" s="4">
        <f t="shared" si="3"/>
        <v>0.42307692307692307</v>
      </c>
      <c r="U21" s="4">
        <f t="shared" si="3"/>
        <v>0.42307692307692307</v>
      </c>
      <c r="V21" s="4">
        <f t="shared" si="3"/>
        <v>0.11538461538461539</v>
      </c>
      <c r="W21" s="4">
        <f t="shared" si="3"/>
        <v>3.8461538461538464E-2</v>
      </c>
    </row>
    <row r="22" spans="1:23" x14ac:dyDescent="0.35">
      <c r="A22" s="9" t="s">
        <v>135</v>
      </c>
      <c r="B22" s="4">
        <f>B18/B20</f>
        <v>0.35</v>
      </c>
      <c r="C22" s="4">
        <f>C18/C20</f>
        <v>0.36842105263157893</v>
      </c>
      <c r="D22" s="4">
        <f t="shared" ref="D22:W22" si="4">D18/D20</f>
        <v>0.36842105263157893</v>
      </c>
      <c r="E22" s="4">
        <f t="shared" si="4"/>
        <v>0.36842105263157893</v>
      </c>
      <c r="F22" s="4">
        <f t="shared" si="4"/>
        <v>0.36842105263157893</v>
      </c>
      <c r="G22" s="4">
        <f t="shared" si="4"/>
        <v>0.36842105263157893</v>
      </c>
      <c r="H22" s="4">
        <f t="shared" si="4"/>
        <v>0.36842105263157893</v>
      </c>
      <c r="I22" s="4">
        <f t="shared" si="4"/>
        <v>0.36842105263157893</v>
      </c>
      <c r="J22" s="4">
        <f t="shared" si="4"/>
        <v>0.36842105263157893</v>
      </c>
      <c r="K22" s="4">
        <f t="shared" si="4"/>
        <v>0.25</v>
      </c>
      <c r="L22" s="4">
        <f t="shared" si="4"/>
        <v>0.25</v>
      </c>
      <c r="M22" s="4">
        <f t="shared" si="4"/>
        <v>0.23333333333333334</v>
      </c>
      <c r="N22" s="4">
        <f t="shared" si="4"/>
        <v>0.21428571428571427</v>
      </c>
      <c r="O22" s="4">
        <f t="shared" si="4"/>
        <v>0.3</v>
      </c>
      <c r="P22" s="4">
        <f t="shared" si="4"/>
        <v>0.27777777777777779</v>
      </c>
      <c r="Q22" s="4">
        <f t="shared" si="4"/>
        <v>0.27777777777777779</v>
      </c>
      <c r="R22" s="4">
        <f t="shared" si="4"/>
        <v>0.27777777777777779</v>
      </c>
      <c r="S22" s="4">
        <f t="shared" si="4"/>
        <v>0.21428571428571427</v>
      </c>
      <c r="T22" s="4">
        <f t="shared" si="4"/>
        <v>0.15384615384615385</v>
      </c>
      <c r="U22" s="4">
        <f t="shared" si="4"/>
        <v>0.15384615384615385</v>
      </c>
      <c r="V22" s="4">
        <f t="shared" si="4"/>
        <v>0.25</v>
      </c>
      <c r="W22" s="4">
        <f t="shared" si="4"/>
        <v>0.5</v>
      </c>
    </row>
    <row r="23" spans="1:23" x14ac:dyDescent="0.35">
      <c r="A23" s="9" t="s">
        <v>113</v>
      </c>
      <c r="B23" s="9"/>
      <c r="C23" s="8">
        <f>C7</f>
        <v>202500</v>
      </c>
      <c r="D23" s="8">
        <f>D7</f>
        <v>202500</v>
      </c>
      <c r="E23" s="8">
        <f t="shared" ref="E23:W23" si="5">E7</f>
        <v>202500</v>
      </c>
      <c r="F23" s="8">
        <f t="shared" si="5"/>
        <v>202500</v>
      </c>
      <c r="G23" s="8">
        <f t="shared" si="5"/>
        <v>202500</v>
      </c>
      <c r="H23" s="8">
        <f t="shared" si="5"/>
        <v>202500</v>
      </c>
      <c r="I23" s="8">
        <f t="shared" si="5"/>
        <v>202500</v>
      </c>
      <c r="J23" s="8">
        <f t="shared" si="5"/>
        <v>202500</v>
      </c>
      <c r="K23" s="8">
        <f t="shared" si="5"/>
        <v>202655.56</v>
      </c>
      <c r="L23" s="8">
        <f t="shared" si="5"/>
        <v>203161.13</v>
      </c>
      <c r="M23" s="8">
        <f t="shared" si="5"/>
        <v>205963.9</v>
      </c>
      <c r="N23" s="8">
        <f t="shared" si="5"/>
        <v>214477.5</v>
      </c>
      <c r="O23" s="8">
        <f t="shared" si="5"/>
        <v>239730</v>
      </c>
      <c r="P23" s="8">
        <f t="shared" si="5"/>
        <v>248625</v>
      </c>
      <c r="Q23" s="8">
        <f t="shared" si="5"/>
        <v>250000</v>
      </c>
      <c r="R23" s="8">
        <f t="shared" si="5"/>
        <v>250000</v>
      </c>
      <c r="S23" s="8">
        <f t="shared" si="5"/>
        <v>252800</v>
      </c>
      <c r="T23" s="8">
        <f t="shared" si="5"/>
        <v>257232.47500000001</v>
      </c>
      <c r="U23" s="8">
        <f t="shared" si="5"/>
        <v>260254.65</v>
      </c>
      <c r="V23" s="8">
        <f t="shared" si="5"/>
        <v>464072.17499999981</v>
      </c>
      <c r="W23" s="8">
        <f t="shared" si="5"/>
        <v>840000</v>
      </c>
    </row>
    <row r="24" spans="1:23" x14ac:dyDescent="0.35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23" x14ac:dyDescent="0.35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</sheetData>
  <mergeCells count="1">
    <mergeCell ref="A1:F3"/>
  </mergeCell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968"/>
  <sheetViews>
    <sheetView workbookViewId="0">
      <selection activeCell="N1" sqref="N1"/>
    </sheetView>
  </sheetViews>
  <sheetFormatPr defaultRowHeight="14.5" x14ac:dyDescent="0.35"/>
  <sheetData>
    <row r="1" spans="1:90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256</v>
      </c>
      <c r="AW1" s="19" t="s">
        <v>137</v>
      </c>
      <c r="AX1" s="19" t="s">
        <v>138</v>
      </c>
      <c r="AY1" s="19" t="s">
        <v>139</v>
      </c>
      <c r="AZ1" s="19" t="s">
        <v>140</v>
      </c>
      <c r="BA1" s="19" t="s">
        <v>141</v>
      </c>
      <c r="BB1" s="19" t="s">
        <v>142</v>
      </c>
      <c r="BC1" s="19" t="s">
        <v>143</v>
      </c>
      <c r="BD1" s="19" t="s">
        <v>144</v>
      </c>
      <c r="BE1" s="19" t="s">
        <v>145</v>
      </c>
      <c r="BF1" s="19" t="s">
        <v>146</v>
      </c>
      <c r="BG1" s="19" t="s">
        <v>147</v>
      </c>
      <c r="BH1" s="19" t="s">
        <v>148</v>
      </c>
      <c r="BI1" s="19" t="s">
        <v>149</v>
      </c>
      <c r="BJ1" s="19" t="s">
        <v>150</v>
      </c>
      <c r="BK1" s="19" t="s">
        <v>151</v>
      </c>
      <c r="BL1" s="19" t="s">
        <v>152</v>
      </c>
      <c r="BM1" s="19" t="s">
        <v>153</v>
      </c>
      <c r="BN1" s="19" t="s">
        <v>154</v>
      </c>
      <c r="BO1" s="19" t="s">
        <v>155</v>
      </c>
      <c r="BP1" s="19" t="s">
        <v>156</v>
      </c>
      <c r="BQ1" s="19" t="s">
        <v>157</v>
      </c>
      <c r="BR1" s="19" t="s">
        <v>158</v>
      </c>
      <c r="BS1" s="19" t="s">
        <v>159</v>
      </c>
      <c r="BT1" s="19" t="s">
        <v>160</v>
      </c>
      <c r="BU1" s="19" t="s">
        <v>161</v>
      </c>
      <c r="BV1" s="19" t="s">
        <v>162</v>
      </c>
      <c r="BW1" s="19" t="s">
        <v>163</v>
      </c>
      <c r="BX1" s="19" t="s">
        <v>164</v>
      </c>
      <c r="BY1" s="19" t="s">
        <v>165</v>
      </c>
      <c r="BZ1" s="19" t="s">
        <v>166</v>
      </c>
      <c r="CA1" s="19" t="s">
        <v>167</v>
      </c>
      <c r="CB1" s="19" t="s">
        <v>168</v>
      </c>
      <c r="CC1" s="19" t="s">
        <v>169</v>
      </c>
      <c r="CD1" s="19" t="s">
        <v>170</v>
      </c>
      <c r="CE1" s="19" t="s">
        <v>171</v>
      </c>
      <c r="CF1" s="19" t="s">
        <v>172</v>
      </c>
      <c r="CG1" s="19" t="s">
        <v>173</v>
      </c>
      <c r="CH1" s="19" t="s">
        <v>174</v>
      </c>
      <c r="CI1" s="19" t="s">
        <v>175</v>
      </c>
      <c r="CJ1" s="19" t="s">
        <v>176</v>
      </c>
      <c r="CK1" s="19" t="s">
        <v>177</v>
      </c>
      <c r="CL1" s="19" t="s">
        <v>178</v>
      </c>
    </row>
    <row r="2" spans="1:90" x14ac:dyDescent="0.35">
      <c r="A2">
        <v>337715</v>
      </c>
      <c r="B2" t="s">
        <v>257</v>
      </c>
      <c r="C2" t="s">
        <v>258</v>
      </c>
      <c r="D2" s="1">
        <v>45778</v>
      </c>
      <c r="E2">
        <v>53850</v>
      </c>
      <c r="F2">
        <v>131</v>
      </c>
      <c r="G2" t="s">
        <v>184</v>
      </c>
      <c r="H2" t="s">
        <v>48</v>
      </c>
      <c r="I2" t="s">
        <v>49</v>
      </c>
      <c r="K2">
        <v>202504307937387</v>
      </c>
      <c r="L2">
        <v>1313300004533</v>
      </c>
      <c r="M2">
        <v>20250430</v>
      </c>
      <c r="N2" t="s">
        <v>193</v>
      </c>
      <c r="P2" t="s">
        <v>259</v>
      </c>
      <c r="Q2" t="s">
        <v>59</v>
      </c>
      <c r="R2">
        <v>22912.5</v>
      </c>
      <c r="S2">
        <v>0</v>
      </c>
      <c r="T2">
        <v>3739148</v>
      </c>
      <c r="U2" t="s">
        <v>260</v>
      </c>
      <c r="V2" t="s">
        <v>261</v>
      </c>
      <c r="W2" t="s">
        <v>51</v>
      </c>
      <c r="Y2" t="s">
        <v>52</v>
      </c>
      <c r="AH2">
        <v>0</v>
      </c>
      <c r="AI2">
        <v>202504</v>
      </c>
      <c r="AJ2" t="s">
        <v>64</v>
      </c>
      <c r="AK2">
        <v>0</v>
      </c>
      <c r="AL2">
        <v>1</v>
      </c>
      <c r="AO2">
        <v>0</v>
      </c>
      <c r="AP2">
        <v>999</v>
      </c>
      <c r="AQ2">
        <v>600</v>
      </c>
      <c r="AR2">
        <v>600999</v>
      </c>
      <c r="AS2" t="s">
        <v>53</v>
      </c>
      <c r="AU2" t="s">
        <v>53</v>
      </c>
      <c r="AV2" t="s">
        <v>262</v>
      </c>
      <c r="AW2">
        <v>5000</v>
      </c>
      <c r="AX2">
        <v>15712.4</v>
      </c>
      <c r="AY2">
        <v>18425.036</v>
      </c>
      <c r="AZ2">
        <v>19036</v>
      </c>
      <c r="BA2">
        <v>19840</v>
      </c>
      <c r="BB2">
        <v>20740</v>
      </c>
      <c r="BC2">
        <v>22473.462</v>
      </c>
      <c r="BD2">
        <v>23237.86</v>
      </c>
      <c r="BE2">
        <v>25000</v>
      </c>
      <c r="BF2">
        <v>27463.635999999999</v>
      </c>
      <c r="BG2">
        <v>30000</v>
      </c>
      <c r="BH2">
        <v>34610.514000000003</v>
      </c>
      <c r="BI2">
        <v>35046</v>
      </c>
      <c r="BJ2">
        <v>38582.447999999997</v>
      </c>
      <c r="BK2">
        <v>42006.79</v>
      </c>
      <c r="BL2">
        <v>50000</v>
      </c>
      <c r="BM2">
        <v>54336.774000000027</v>
      </c>
      <c r="BN2">
        <v>65042.055999999982</v>
      </c>
      <c r="BO2">
        <v>78281.780000000086</v>
      </c>
      <c r="BP2">
        <v>110403.728</v>
      </c>
      <c r="BQ2">
        <v>134983.79999999999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</row>
    <row r="3" spans="1:90" x14ac:dyDescent="0.35">
      <c r="A3">
        <v>337707</v>
      </c>
      <c r="B3" t="s">
        <v>257</v>
      </c>
      <c r="C3" t="s">
        <v>258</v>
      </c>
      <c r="D3" s="1">
        <v>45778</v>
      </c>
      <c r="E3">
        <v>53850</v>
      </c>
      <c r="F3">
        <v>131</v>
      </c>
      <c r="G3" t="s">
        <v>184</v>
      </c>
      <c r="H3" t="s">
        <v>48</v>
      </c>
      <c r="I3" t="s">
        <v>49</v>
      </c>
      <c r="K3">
        <v>202504307937387</v>
      </c>
      <c r="L3">
        <v>1313300004533</v>
      </c>
      <c r="M3">
        <v>20250430</v>
      </c>
      <c r="N3" t="s">
        <v>193</v>
      </c>
      <c r="P3" t="s">
        <v>259</v>
      </c>
      <c r="Q3" t="s">
        <v>59</v>
      </c>
      <c r="R3">
        <v>22912.5</v>
      </c>
      <c r="S3">
        <v>0</v>
      </c>
      <c r="T3">
        <v>3739153</v>
      </c>
      <c r="U3" t="s">
        <v>263</v>
      </c>
      <c r="V3" t="s">
        <v>264</v>
      </c>
      <c r="W3" t="s">
        <v>51</v>
      </c>
      <c r="Y3" t="s">
        <v>52</v>
      </c>
      <c r="AH3">
        <v>0</v>
      </c>
      <c r="AI3">
        <v>202504</v>
      </c>
      <c r="AJ3" t="s">
        <v>64</v>
      </c>
      <c r="AK3">
        <v>0</v>
      </c>
      <c r="AL3">
        <v>1</v>
      </c>
      <c r="AO3">
        <v>0</v>
      </c>
      <c r="AP3">
        <v>999</v>
      </c>
      <c r="AQ3">
        <v>600</v>
      </c>
      <c r="AR3">
        <v>600999</v>
      </c>
      <c r="AS3" t="s">
        <v>53</v>
      </c>
      <c r="AU3" t="s">
        <v>53</v>
      </c>
      <c r="AV3" t="s">
        <v>262</v>
      </c>
      <c r="AW3">
        <v>5000</v>
      </c>
      <c r="AX3">
        <v>15712.4</v>
      </c>
      <c r="AY3">
        <v>18425.036</v>
      </c>
      <c r="AZ3">
        <v>19036</v>
      </c>
      <c r="BA3">
        <v>19840</v>
      </c>
      <c r="BB3">
        <v>20740</v>
      </c>
      <c r="BC3">
        <v>22473.462</v>
      </c>
      <c r="BD3">
        <v>23237.86</v>
      </c>
      <c r="BE3">
        <v>25000</v>
      </c>
      <c r="BF3">
        <v>27463.635999999999</v>
      </c>
      <c r="BG3">
        <v>30000</v>
      </c>
      <c r="BH3">
        <v>34610.514000000003</v>
      </c>
      <c r="BI3">
        <v>35046</v>
      </c>
      <c r="BJ3">
        <v>38582.447999999997</v>
      </c>
      <c r="BK3">
        <v>42006.79</v>
      </c>
      <c r="BL3">
        <v>50000</v>
      </c>
      <c r="BM3">
        <v>54336.774000000027</v>
      </c>
      <c r="BN3">
        <v>65042.055999999982</v>
      </c>
      <c r="BO3">
        <v>78281.780000000086</v>
      </c>
      <c r="BP3">
        <v>110403.728</v>
      </c>
      <c r="BQ3">
        <v>134983.79999999999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</row>
    <row r="4" spans="1:90" x14ac:dyDescent="0.35">
      <c r="A4">
        <v>337657</v>
      </c>
      <c r="B4" t="s">
        <v>257</v>
      </c>
      <c r="C4" t="s">
        <v>258</v>
      </c>
      <c r="D4" s="1">
        <v>45777</v>
      </c>
      <c r="E4">
        <v>53850</v>
      </c>
      <c r="F4">
        <v>140</v>
      </c>
      <c r="G4" t="s">
        <v>265</v>
      </c>
      <c r="H4" t="s">
        <v>48</v>
      </c>
      <c r="I4" t="s">
        <v>49</v>
      </c>
      <c r="K4">
        <v>202504297934891</v>
      </c>
      <c r="L4">
        <v>1403300004431</v>
      </c>
      <c r="M4">
        <v>20250429</v>
      </c>
      <c r="N4" t="s">
        <v>193</v>
      </c>
      <c r="P4" t="s">
        <v>259</v>
      </c>
      <c r="Q4" t="s">
        <v>50</v>
      </c>
      <c r="R4">
        <v>19000</v>
      </c>
      <c r="S4">
        <v>0</v>
      </c>
      <c r="T4">
        <v>3737491</v>
      </c>
      <c r="U4">
        <v>10184280963</v>
      </c>
      <c r="V4" t="s">
        <v>266</v>
      </c>
      <c r="W4" t="s">
        <v>57</v>
      </c>
      <c r="X4" t="s">
        <v>267</v>
      </c>
      <c r="Y4" t="s">
        <v>52</v>
      </c>
      <c r="Z4">
        <v>1403</v>
      </c>
      <c r="AH4">
        <v>0</v>
      </c>
      <c r="AI4">
        <v>202504</v>
      </c>
      <c r="AJ4" t="s">
        <v>55</v>
      </c>
      <c r="AK4">
        <v>0</v>
      </c>
      <c r="AL4">
        <v>1</v>
      </c>
      <c r="AO4">
        <v>0</v>
      </c>
      <c r="AP4">
        <v>999</v>
      </c>
      <c r="AQ4">
        <v>430</v>
      </c>
      <c r="AR4">
        <v>430999</v>
      </c>
      <c r="AT4">
        <v>1</v>
      </c>
      <c r="AU4" t="s">
        <v>58</v>
      </c>
      <c r="AV4" t="s">
        <v>262</v>
      </c>
      <c r="AW4">
        <v>5000</v>
      </c>
      <c r="AX4">
        <v>15712.4</v>
      </c>
      <c r="AY4">
        <v>18425.036</v>
      </c>
      <c r="AZ4">
        <v>19036</v>
      </c>
      <c r="BA4">
        <v>19840</v>
      </c>
      <c r="BB4">
        <v>20740</v>
      </c>
      <c r="BC4">
        <v>22473.462</v>
      </c>
      <c r="BD4">
        <v>23237.86</v>
      </c>
      <c r="BE4">
        <v>25000</v>
      </c>
      <c r="BF4">
        <v>27463.635999999999</v>
      </c>
      <c r="BG4">
        <v>30000</v>
      </c>
      <c r="BH4">
        <v>34610.514000000003</v>
      </c>
      <c r="BI4">
        <v>35046</v>
      </c>
      <c r="BJ4">
        <v>38582.447999999997</v>
      </c>
      <c r="BK4">
        <v>42006.79</v>
      </c>
      <c r="BL4">
        <v>50000</v>
      </c>
      <c r="BM4">
        <v>54336.774000000027</v>
      </c>
      <c r="BN4">
        <v>65042.055999999982</v>
      </c>
      <c r="BO4">
        <v>78281.780000000086</v>
      </c>
      <c r="BP4">
        <v>110403.728</v>
      </c>
      <c r="BQ4">
        <v>134983.79999999999</v>
      </c>
      <c r="BR4">
        <v>1</v>
      </c>
      <c r="BS4">
        <v>1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</row>
    <row r="5" spans="1:90" x14ac:dyDescent="0.35">
      <c r="A5">
        <v>337650</v>
      </c>
      <c r="B5" t="s">
        <v>257</v>
      </c>
      <c r="C5" t="s">
        <v>258</v>
      </c>
      <c r="D5" s="1">
        <v>45777</v>
      </c>
      <c r="E5">
        <v>53850</v>
      </c>
      <c r="F5">
        <v>148</v>
      </c>
      <c r="G5" t="s">
        <v>101</v>
      </c>
      <c r="H5" t="s">
        <v>48</v>
      </c>
      <c r="I5" t="s">
        <v>49</v>
      </c>
      <c r="K5">
        <v>202504297933922</v>
      </c>
      <c r="L5">
        <v>1483309514127</v>
      </c>
      <c r="M5">
        <v>20250429</v>
      </c>
      <c r="N5" t="s">
        <v>193</v>
      </c>
      <c r="P5" t="s">
        <v>195</v>
      </c>
      <c r="Q5" t="s">
        <v>59</v>
      </c>
      <c r="R5">
        <v>19600</v>
      </c>
      <c r="S5">
        <v>0</v>
      </c>
      <c r="T5">
        <v>3600630</v>
      </c>
      <c r="U5" t="s">
        <v>268</v>
      </c>
      <c r="V5" t="s">
        <v>269</v>
      </c>
      <c r="W5" t="s">
        <v>91</v>
      </c>
      <c r="X5" t="s">
        <v>198</v>
      </c>
      <c r="Y5" t="s">
        <v>52</v>
      </c>
      <c r="Z5">
        <v>1063</v>
      </c>
      <c r="AH5">
        <v>0</v>
      </c>
      <c r="AI5">
        <v>202504</v>
      </c>
      <c r="AJ5" t="s">
        <v>64</v>
      </c>
      <c r="AK5">
        <v>0</v>
      </c>
      <c r="AL5">
        <v>1</v>
      </c>
      <c r="AO5">
        <v>0</v>
      </c>
      <c r="AP5">
        <v>999</v>
      </c>
      <c r="AQ5">
        <v>614</v>
      </c>
      <c r="AR5">
        <v>614999</v>
      </c>
      <c r="AT5">
        <v>1</v>
      </c>
      <c r="AU5" t="s">
        <v>62</v>
      </c>
      <c r="AV5" t="s">
        <v>262</v>
      </c>
      <c r="AW5">
        <v>5000</v>
      </c>
      <c r="AX5">
        <v>15712.4</v>
      </c>
      <c r="AY5">
        <v>18425.036</v>
      </c>
      <c r="AZ5">
        <v>19036</v>
      </c>
      <c r="BA5">
        <v>19840</v>
      </c>
      <c r="BB5">
        <v>20740</v>
      </c>
      <c r="BC5">
        <v>22473.462</v>
      </c>
      <c r="BD5">
        <v>23237.86</v>
      </c>
      <c r="BE5">
        <v>25000</v>
      </c>
      <c r="BF5">
        <v>27463.635999999999</v>
      </c>
      <c r="BG5">
        <v>30000</v>
      </c>
      <c r="BH5">
        <v>34610.514000000003</v>
      </c>
      <c r="BI5">
        <v>35046</v>
      </c>
      <c r="BJ5">
        <v>38582.447999999997</v>
      </c>
      <c r="BK5">
        <v>42006.79</v>
      </c>
      <c r="BL5">
        <v>50000</v>
      </c>
      <c r="BM5">
        <v>54336.774000000027</v>
      </c>
      <c r="BN5">
        <v>65042.055999999982</v>
      </c>
      <c r="BO5">
        <v>78281.780000000086</v>
      </c>
      <c r="BP5">
        <v>110403.728</v>
      </c>
      <c r="BQ5">
        <v>134983.79999999999</v>
      </c>
      <c r="BR5">
        <v>1</v>
      </c>
      <c r="BS5">
        <v>1</v>
      </c>
      <c r="BT5">
        <v>1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</row>
    <row r="6" spans="1:90" x14ac:dyDescent="0.35">
      <c r="A6">
        <v>337617</v>
      </c>
      <c r="B6" t="s">
        <v>257</v>
      </c>
      <c r="C6" t="s">
        <v>258</v>
      </c>
      <c r="D6" s="1">
        <v>45777</v>
      </c>
      <c r="E6">
        <v>53850</v>
      </c>
      <c r="F6">
        <v>226</v>
      </c>
      <c r="G6" t="s">
        <v>185</v>
      </c>
      <c r="H6" t="s">
        <v>48</v>
      </c>
      <c r="I6" t="s">
        <v>49</v>
      </c>
      <c r="K6">
        <v>202504297933683</v>
      </c>
      <c r="L6">
        <v>2263300010593</v>
      </c>
      <c r="M6">
        <v>20250429</v>
      </c>
      <c r="N6" t="s">
        <v>193</v>
      </c>
      <c r="P6" t="s">
        <v>259</v>
      </c>
      <c r="Q6" t="s">
        <v>59</v>
      </c>
      <c r="R6">
        <v>30000</v>
      </c>
      <c r="S6">
        <v>0</v>
      </c>
      <c r="T6">
        <v>4530242</v>
      </c>
      <c r="U6" t="s">
        <v>270</v>
      </c>
      <c r="V6" t="s">
        <v>271</v>
      </c>
      <c r="W6" t="s">
        <v>51</v>
      </c>
      <c r="Y6" t="s">
        <v>52</v>
      </c>
      <c r="Z6">
        <v>1932</v>
      </c>
      <c r="AH6">
        <v>0</v>
      </c>
      <c r="AI6">
        <v>202504</v>
      </c>
      <c r="AJ6" t="s">
        <v>179</v>
      </c>
      <c r="AK6">
        <v>1</v>
      </c>
      <c r="AL6">
        <v>1</v>
      </c>
      <c r="AO6">
        <v>0</v>
      </c>
      <c r="AP6">
        <v>999</v>
      </c>
      <c r="AQ6">
        <v>600</v>
      </c>
      <c r="AR6">
        <v>600999</v>
      </c>
      <c r="AS6" t="s">
        <v>53</v>
      </c>
      <c r="AU6" t="s">
        <v>53</v>
      </c>
      <c r="AV6" t="s">
        <v>262</v>
      </c>
      <c r="AW6">
        <v>5000</v>
      </c>
      <c r="AX6">
        <v>15712.4</v>
      </c>
      <c r="AY6">
        <v>18425.036</v>
      </c>
      <c r="AZ6">
        <v>19036</v>
      </c>
      <c r="BA6">
        <v>19840</v>
      </c>
      <c r="BB6">
        <v>20740</v>
      </c>
      <c r="BC6">
        <v>22473.462</v>
      </c>
      <c r="BD6">
        <v>23237.86</v>
      </c>
      <c r="BE6">
        <v>25000</v>
      </c>
      <c r="BF6">
        <v>27463.635999999999</v>
      </c>
      <c r="BG6">
        <v>30000</v>
      </c>
      <c r="BH6">
        <v>34610.514000000003</v>
      </c>
      <c r="BI6">
        <v>35046</v>
      </c>
      <c r="BJ6">
        <v>38582.447999999997</v>
      </c>
      <c r="BK6">
        <v>42006.79</v>
      </c>
      <c r="BL6">
        <v>50000</v>
      </c>
      <c r="BM6">
        <v>54336.774000000027</v>
      </c>
      <c r="BN6">
        <v>65042.055999999982</v>
      </c>
      <c r="BO6">
        <v>78281.780000000086</v>
      </c>
      <c r="BP6">
        <v>110403.728</v>
      </c>
      <c r="BQ6">
        <v>134983.79999999999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</row>
    <row r="7" spans="1:90" x14ac:dyDescent="0.35">
      <c r="A7">
        <v>337615</v>
      </c>
      <c r="B7" t="s">
        <v>257</v>
      </c>
      <c r="C7" t="s">
        <v>258</v>
      </c>
      <c r="D7" s="1">
        <v>45777</v>
      </c>
      <c r="E7">
        <v>53850</v>
      </c>
      <c r="F7">
        <v>140</v>
      </c>
      <c r="G7" t="s">
        <v>265</v>
      </c>
      <c r="H7" t="s">
        <v>48</v>
      </c>
      <c r="I7" t="s">
        <v>49</v>
      </c>
      <c r="K7">
        <v>202504297934895</v>
      </c>
      <c r="L7">
        <v>1403300004431</v>
      </c>
      <c r="M7">
        <v>20250429</v>
      </c>
      <c r="N7" t="s">
        <v>193</v>
      </c>
      <c r="P7" t="s">
        <v>259</v>
      </c>
      <c r="Q7" t="s">
        <v>50</v>
      </c>
      <c r="R7">
        <v>36000</v>
      </c>
      <c r="S7">
        <v>0</v>
      </c>
      <c r="T7">
        <v>3737491</v>
      </c>
      <c r="U7">
        <v>10184280963</v>
      </c>
      <c r="V7" t="s">
        <v>266</v>
      </c>
      <c r="W7" t="s">
        <v>57</v>
      </c>
      <c r="X7" t="s">
        <v>267</v>
      </c>
      <c r="Y7" t="s">
        <v>52</v>
      </c>
      <c r="Z7">
        <v>1403</v>
      </c>
      <c r="AH7">
        <v>0</v>
      </c>
      <c r="AI7">
        <v>202504</v>
      </c>
      <c r="AJ7" t="s">
        <v>55</v>
      </c>
      <c r="AK7">
        <v>0</v>
      </c>
      <c r="AL7">
        <v>1</v>
      </c>
      <c r="AO7">
        <v>0</v>
      </c>
      <c r="AP7">
        <v>999</v>
      </c>
      <c r="AQ7">
        <v>430</v>
      </c>
      <c r="AR7">
        <v>430999</v>
      </c>
      <c r="AT7">
        <v>1</v>
      </c>
      <c r="AU7" t="s">
        <v>58</v>
      </c>
      <c r="AV7" t="s">
        <v>262</v>
      </c>
      <c r="AW7">
        <v>5000</v>
      </c>
      <c r="AX7">
        <v>15712.4</v>
      </c>
      <c r="AY7">
        <v>18425.036</v>
      </c>
      <c r="AZ7">
        <v>19036</v>
      </c>
      <c r="BA7">
        <v>19840</v>
      </c>
      <c r="BB7">
        <v>20740</v>
      </c>
      <c r="BC7">
        <v>22473.462</v>
      </c>
      <c r="BD7">
        <v>23237.86</v>
      </c>
      <c r="BE7">
        <v>25000</v>
      </c>
      <c r="BF7">
        <v>27463.635999999999</v>
      </c>
      <c r="BG7">
        <v>30000</v>
      </c>
      <c r="BH7">
        <v>34610.514000000003</v>
      </c>
      <c r="BI7">
        <v>35046</v>
      </c>
      <c r="BJ7">
        <v>38582.447999999997</v>
      </c>
      <c r="BK7">
        <v>42006.79</v>
      </c>
      <c r="BL7">
        <v>50000</v>
      </c>
      <c r="BM7">
        <v>54336.774000000027</v>
      </c>
      <c r="BN7">
        <v>65042.055999999982</v>
      </c>
      <c r="BO7">
        <v>78281.780000000086</v>
      </c>
      <c r="BP7">
        <v>110403.728</v>
      </c>
      <c r="BQ7">
        <v>134983.79999999999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</row>
    <row r="8" spans="1:90" x14ac:dyDescent="0.35">
      <c r="A8">
        <v>337611</v>
      </c>
      <c r="B8" t="s">
        <v>257</v>
      </c>
      <c r="C8" t="s">
        <v>258</v>
      </c>
      <c r="D8" s="1">
        <v>45777</v>
      </c>
      <c r="E8">
        <v>53850</v>
      </c>
      <c r="F8">
        <v>140</v>
      </c>
      <c r="G8" t="s">
        <v>265</v>
      </c>
      <c r="H8" t="s">
        <v>48</v>
      </c>
      <c r="I8" t="s">
        <v>49</v>
      </c>
      <c r="K8">
        <v>202504297934892</v>
      </c>
      <c r="L8">
        <v>1403300004431</v>
      </c>
      <c r="M8">
        <v>20250429</v>
      </c>
      <c r="N8" t="s">
        <v>193</v>
      </c>
      <c r="P8" t="s">
        <v>259</v>
      </c>
      <c r="Q8" t="s">
        <v>50</v>
      </c>
      <c r="R8">
        <v>19000</v>
      </c>
      <c r="S8">
        <v>0</v>
      </c>
      <c r="T8">
        <v>3737491</v>
      </c>
      <c r="U8">
        <v>10184280963</v>
      </c>
      <c r="V8" t="s">
        <v>266</v>
      </c>
      <c r="W8" t="s">
        <v>57</v>
      </c>
      <c r="X8" t="s">
        <v>267</v>
      </c>
      <c r="Y8" t="s">
        <v>52</v>
      </c>
      <c r="Z8">
        <v>1403</v>
      </c>
      <c r="AH8">
        <v>0</v>
      </c>
      <c r="AI8">
        <v>202504</v>
      </c>
      <c r="AJ8" t="s">
        <v>55</v>
      </c>
      <c r="AK8">
        <v>0</v>
      </c>
      <c r="AL8">
        <v>1</v>
      </c>
      <c r="AO8">
        <v>0</v>
      </c>
      <c r="AP8">
        <v>999</v>
      </c>
      <c r="AQ8">
        <v>430</v>
      </c>
      <c r="AR8">
        <v>430999</v>
      </c>
      <c r="AT8">
        <v>1</v>
      </c>
      <c r="AU8" t="s">
        <v>58</v>
      </c>
      <c r="AV8" t="s">
        <v>262</v>
      </c>
      <c r="AW8">
        <v>5000</v>
      </c>
      <c r="AX8">
        <v>15712.4</v>
      </c>
      <c r="AY8">
        <v>18425.036</v>
      </c>
      <c r="AZ8">
        <v>19036</v>
      </c>
      <c r="BA8">
        <v>19840</v>
      </c>
      <c r="BB8">
        <v>20740</v>
      </c>
      <c r="BC8">
        <v>22473.462</v>
      </c>
      <c r="BD8">
        <v>23237.86</v>
      </c>
      <c r="BE8">
        <v>25000</v>
      </c>
      <c r="BF8">
        <v>27463.635999999999</v>
      </c>
      <c r="BG8">
        <v>30000</v>
      </c>
      <c r="BH8">
        <v>34610.514000000003</v>
      </c>
      <c r="BI8">
        <v>35046</v>
      </c>
      <c r="BJ8">
        <v>38582.447999999997</v>
      </c>
      <c r="BK8">
        <v>42006.79</v>
      </c>
      <c r="BL8">
        <v>50000</v>
      </c>
      <c r="BM8">
        <v>54336.774000000027</v>
      </c>
      <c r="BN8">
        <v>65042.055999999982</v>
      </c>
      <c r="BO8">
        <v>78281.780000000086</v>
      </c>
      <c r="BP8">
        <v>110403.728</v>
      </c>
      <c r="BQ8">
        <v>134983.79999999999</v>
      </c>
      <c r="BR8">
        <v>1</v>
      </c>
      <c r="BS8">
        <v>1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</row>
    <row r="9" spans="1:90" x14ac:dyDescent="0.35">
      <c r="A9">
        <v>337605</v>
      </c>
      <c r="B9" t="s">
        <v>257</v>
      </c>
      <c r="C9" t="s">
        <v>258</v>
      </c>
      <c r="D9" s="1">
        <v>45776</v>
      </c>
      <c r="E9">
        <v>53850</v>
      </c>
      <c r="F9">
        <v>102</v>
      </c>
      <c r="G9" t="s">
        <v>56</v>
      </c>
      <c r="H9" t="s">
        <v>48</v>
      </c>
      <c r="I9" t="s">
        <v>49</v>
      </c>
      <c r="K9">
        <v>202504287929927</v>
      </c>
      <c r="L9">
        <v>1023308727640</v>
      </c>
      <c r="M9">
        <v>20250428</v>
      </c>
      <c r="N9" t="s">
        <v>193</v>
      </c>
      <c r="P9" t="s">
        <v>272</v>
      </c>
      <c r="Q9" t="s">
        <v>59</v>
      </c>
      <c r="R9">
        <v>31215</v>
      </c>
      <c r="S9">
        <v>0</v>
      </c>
      <c r="T9">
        <v>3728814</v>
      </c>
      <c r="U9">
        <v>5509200720</v>
      </c>
      <c r="V9" t="s">
        <v>203</v>
      </c>
      <c r="W9" t="s">
        <v>57</v>
      </c>
      <c r="X9" t="s">
        <v>199</v>
      </c>
      <c r="Y9" t="s">
        <v>52</v>
      </c>
      <c r="Z9">
        <v>739</v>
      </c>
      <c r="AH9">
        <v>0</v>
      </c>
      <c r="AI9">
        <v>202504</v>
      </c>
      <c r="AJ9" t="s">
        <v>179</v>
      </c>
      <c r="AK9">
        <v>1</v>
      </c>
      <c r="AL9">
        <v>1</v>
      </c>
      <c r="AO9">
        <v>0</v>
      </c>
      <c r="AP9">
        <v>999</v>
      </c>
      <c r="AQ9">
        <v>430</v>
      </c>
      <c r="AR9">
        <v>430999</v>
      </c>
      <c r="AT9">
        <v>1</v>
      </c>
      <c r="AU9" t="s">
        <v>58</v>
      </c>
      <c r="AV9" t="s">
        <v>262</v>
      </c>
      <c r="AW9">
        <v>5000</v>
      </c>
      <c r="AX9">
        <v>15712.4</v>
      </c>
      <c r="AY9">
        <v>18425.036</v>
      </c>
      <c r="AZ9">
        <v>19036</v>
      </c>
      <c r="BA9">
        <v>19840</v>
      </c>
      <c r="BB9">
        <v>20740</v>
      </c>
      <c r="BC9">
        <v>22473.462</v>
      </c>
      <c r="BD9">
        <v>23237.86</v>
      </c>
      <c r="BE9">
        <v>25000</v>
      </c>
      <c r="BF9">
        <v>27463.635999999999</v>
      </c>
      <c r="BG9">
        <v>30000</v>
      </c>
      <c r="BH9">
        <v>34610.514000000003</v>
      </c>
      <c r="BI9">
        <v>35046</v>
      </c>
      <c r="BJ9">
        <v>38582.447999999997</v>
      </c>
      <c r="BK9">
        <v>42006.79</v>
      </c>
      <c r="BL9">
        <v>50000</v>
      </c>
      <c r="BM9">
        <v>54336.774000000027</v>
      </c>
      <c r="BN9">
        <v>65042.055999999982</v>
      </c>
      <c r="BO9">
        <v>78281.780000000086</v>
      </c>
      <c r="BP9">
        <v>110403.728</v>
      </c>
      <c r="BQ9">
        <v>134983.79999999999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</row>
    <row r="10" spans="1:90" x14ac:dyDescent="0.35">
      <c r="A10">
        <v>337560</v>
      </c>
      <c r="B10" t="s">
        <v>257</v>
      </c>
      <c r="C10" t="s">
        <v>258</v>
      </c>
      <c r="D10" s="1">
        <v>45776</v>
      </c>
      <c r="E10">
        <v>53850</v>
      </c>
      <c r="F10">
        <v>118</v>
      </c>
      <c r="G10" t="s">
        <v>104</v>
      </c>
      <c r="H10" t="s">
        <v>48</v>
      </c>
      <c r="I10" t="s">
        <v>49</v>
      </c>
      <c r="K10">
        <v>202504287929917</v>
      </c>
      <c r="L10">
        <v>1181208800020</v>
      </c>
      <c r="M10">
        <v>20250428</v>
      </c>
      <c r="N10" t="s">
        <v>193</v>
      </c>
      <c r="P10" t="s">
        <v>273</v>
      </c>
      <c r="Q10" t="s">
        <v>50</v>
      </c>
      <c r="R10">
        <v>26659.09</v>
      </c>
      <c r="S10">
        <v>0</v>
      </c>
      <c r="T10">
        <v>4237439</v>
      </c>
      <c r="U10">
        <v>5982410721</v>
      </c>
      <c r="V10" t="s">
        <v>274</v>
      </c>
      <c r="W10" t="s">
        <v>57</v>
      </c>
      <c r="X10" t="s">
        <v>96</v>
      </c>
      <c r="Y10" t="s">
        <v>52</v>
      </c>
      <c r="Z10">
        <v>1203</v>
      </c>
      <c r="AH10">
        <v>0</v>
      </c>
      <c r="AI10">
        <v>202504</v>
      </c>
      <c r="AJ10" t="s">
        <v>55</v>
      </c>
      <c r="AK10">
        <v>0</v>
      </c>
      <c r="AL10">
        <v>1</v>
      </c>
      <c r="AO10">
        <v>0</v>
      </c>
      <c r="AP10">
        <v>462</v>
      </c>
      <c r="AQ10">
        <v>430</v>
      </c>
      <c r="AR10">
        <v>430462</v>
      </c>
      <c r="AS10" t="s">
        <v>62</v>
      </c>
      <c r="AU10" t="s">
        <v>62</v>
      </c>
      <c r="AV10" t="s">
        <v>262</v>
      </c>
      <c r="AW10">
        <v>5000</v>
      </c>
      <c r="AX10">
        <v>15712.4</v>
      </c>
      <c r="AY10">
        <v>18425.036</v>
      </c>
      <c r="AZ10">
        <v>19036</v>
      </c>
      <c r="BA10">
        <v>19840</v>
      </c>
      <c r="BB10">
        <v>20740</v>
      </c>
      <c r="BC10">
        <v>22473.462</v>
      </c>
      <c r="BD10">
        <v>23237.86</v>
      </c>
      <c r="BE10">
        <v>25000</v>
      </c>
      <c r="BF10">
        <v>27463.635999999999</v>
      </c>
      <c r="BG10">
        <v>30000</v>
      </c>
      <c r="BH10">
        <v>34610.514000000003</v>
      </c>
      <c r="BI10">
        <v>35046</v>
      </c>
      <c r="BJ10">
        <v>38582.447999999997</v>
      </c>
      <c r="BK10">
        <v>42006.79</v>
      </c>
      <c r="BL10">
        <v>50000</v>
      </c>
      <c r="BM10">
        <v>54336.774000000027</v>
      </c>
      <c r="BN10">
        <v>65042.055999999982</v>
      </c>
      <c r="BO10">
        <v>78281.780000000086</v>
      </c>
      <c r="BP10">
        <v>110403.728</v>
      </c>
      <c r="BQ10">
        <v>134983.79999999999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</row>
    <row r="11" spans="1:90" x14ac:dyDescent="0.35">
      <c r="A11">
        <v>337544</v>
      </c>
      <c r="B11" t="s">
        <v>257</v>
      </c>
      <c r="C11" t="s">
        <v>258</v>
      </c>
      <c r="D11" s="1">
        <v>45776</v>
      </c>
      <c r="E11">
        <v>53850</v>
      </c>
      <c r="F11">
        <v>109</v>
      </c>
      <c r="G11" t="s">
        <v>69</v>
      </c>
      <c r="H11" t="s">
        <v>48</v>
      </c>
      <c r="I11" t="s">
        <v>49</v>
      </c>
      <c r="K11">
        <v>202504257929903</v>
      </c>
      <c r="L11">
        <v>1093306672844</v>
      </c>
      <c r="M11">
        <v>20250425</v>
      </c>
      <c r="N11" t="s">
        <v>193</v>
      </c>
      <c r="P11" t="s">
        <v>259</v>
      </c>
      <c r="Q11" t="s">
        <v>59</v>
      </c>
      <c r="R11">
        <v>20740</v>
      </c>
      <c r="S11">
        <v>0</v>
      </c>
      <c r="T11">
        <v>440311</v>
      </c>
      <c r="U11">
        <v>3550290724</v>
      </c>
      <c r="V11" t="s">
        <v>381</v>
      </c>
      <c r="W11" t="s">
        <v>57</v>
      </c>
      <c r="X11" t="s">
        <v>382</v>
      </c>
      <c r="Y11" t="s">
        <v>52</v>
      </c>
      <c r="Z11">
        <v>1903</v>
      </c>
      <c r="AH11">
        <v>0</v>
      </c>
      <c r="AI11">
        <v>202504</v>
      </c>
      <c r="AJ11" t="s">
        <v>64</v>
      </c>
      <c r="AK11">
        <v>0</v>
      </c>
      <c r="AL11">
        <v>1</v>
      </c>
      <c r="AM11">
        <v>440311</v>
      </c>
      <c r="AN11">
        <v>1</v>
      </c>
      <c r="AO11">
        <v>0</v>
      </c>
      <c r="AP11">
        <v>451</v>
      </c>
      <c r="AQ11">
        <v>430</v>
      </c>
      <c r="AR11">
        <v>430451</v>
      </c>
      <c r="AS11" t="s">
        <v>62</v>
      </c>
      <c r="AU11" t="s">
        <v>62</v>
      </c>
      <c r="AV11" t="s">
        <v>262</v>
      </c>
      <c r="AW11">
        <v>5000</v>
      </c>
      <c r="AX11">
        <v>15712.4</v>
      </c>
      <c r="AY11">
        <v>18425.036</v>
      </c>
      <c r="AZ11">
        <v>19036</v>
      </c>
      <c r="BA11">
        <v>19840</v>
      </c>
      <c r="BB11">
        <v>20740</v>
      </c>
      <c r="BC11">
        <v>22473.462</v>
      </c>
      <c r="BD11">
        <v>23237.86</v>
      </c>
      <c r="BE11">
        <v>25000</v>
      </c>
      <c r="BF11">
        <v>27463.635999999999</v>
      </c>
      <c r="BG11">
        <v>30000</v>
      </c>
      <c r="BH11">
        <v>34610.514000000003</v>
      </c>
      <c r="BI11">
        <v>35046</v>
      </c>
      <c r="BJ11">
        <v>38582.447999999997</v>
      </c>
      <c r="BK11">
        <v>42006.79</v>
      </c>
      <c r="BL11">
        <v>50000</v>
      </c>
      <c r="BM11">
        <v>54336.774000000027</v>
      </c>
      <c r="BN11">
        <v>65042.055999999982</v>
      </c>
      <c r="BO11">
        <v>78281.780000000086</v>
      </c>
      <c r="BP11">
        <v>110403.728</v>
      </c>
      <c r="BQ11">
        <v>134983.79999999999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</row>
    <row r="12" spans="1:90" x14ac:dyDescent="0.35">
      <c r="A12">
        <v>337529</v>
      </c>
      <c r="B12" t="s">
        <v>257</v>
      </c>
      <c r="C12" t="s">
        <v>258</v>
      </c>
      <c r="D12" s="1">
        <v>45772</v>
      </c>
      <c r="E12">
        <v>53850</v>
      </c>
      <c r="F12">
        <v>149</v>
      </c>
      <c r="G12" t="s">
        <v>92</v>
      </c>
      <c r="H12" t="s">
        <v>48</v>
      </c>
      <c r="I12" t="s">
        <v>49</v>
      </c>
      <c r="K12">
        <v>202504247923757</v>
      </c>
      <c r="L12">
        <v>1493300664435</v>
      </c>
      <c r="M12">
        <v>20250424</v>
      </c>
      <c r="N12" t="s">
        <v>193</v>
      </c>
      <c r="P12" t="s">
        <v>275</v>
      </c>
      <c r="Q12" t="s">
        <v>59</v>
      </c>
      <c r="R12">
        <v>58685</v>
      </c>
      <c r="S12">
        <v>0</v>
      </c>
      <c r="T12">
        <v>4957449</v>
      </c>
      <c r="U12">
        <v>7480511216</v>
      </c>
      <c r="V12" t="s">
        <v>276</v>
      </c>
      <c r="W12" t="s">
        <v>57</v>
      </c>
      <c r="X12" t="s">
        <v>85</v>
      </c>
      <c r="Y12" t="s">
        <v>52</v>
      </c>
      <c r="Z12">
        <v>1256</v>
      </c>
      <c r="AH12">
        <v>0</v>
      </c>
      <c r="AI12">
        <v>202504</v>
      </c>
      <c r="AJ12" t="s">
        <v>64</v>
      </c>
      <c r="AK12">
        <v>0</v>
      </c>
      <c r="AL12">
        <v>1</v>
      </c>
      <c r="AO12">
        <v>0</v>
      </c>
      <c r="AP12">
        <v>464</v>
      </c>
      <c r="AQ12">
        <v>430</v>
      </c>
      <c r="AR12">
        <v>430464</v>
      </c>
      <c r="AS12" t="s">
        <v>86</v>
      </c>
      <c r="AU12" t="s">
        <v>86</v>
      </c>
      <c r="AV12" t="s">
        <v>262</v>
      </c>
      <c r="AW12">
        <v>5000</v>
      </c>
      <c r="AX12">
        <v>15712.4</v>
      </c>
      <c r="AY12">
        <v>18425.036</v>
      </c>
      <c r="AZ12">
        <v>19036</v>
      </c>
      <c r="BA12">
        <v>19840</v>
      </c>
      <c r="BB12">
        <v>20740</v>
      </c>
      <c r="BC12">
        <v>22473.462</v>
      </c>
      <c r="BD12">
        <v>23237.86</v>
      </c>
      <c r="BE12">
        <v>25000</v>
      </c>
      <c r="BF12">
        <v>27463.635999999999</v>
      </c>
      <c r="BG12">
        <v>30000</v>
      </c>
      <c r="BH12">
        <v>34610.514000000003</v>
      </c>
      <c r="BI12">
        <v>35046</v>
      </c>
      <c r="BJ12">
        <v>38582.447999999997</v>
      </c>
      <c r="BK12">
        <v>42006.79</v>
      </c>
      <c r="BL12">
        <v>50000</v>
      </c>
      <c r="BM12">
        <v>54336.774000000027</v>
      </c>
      <c r="BN12">
        <v>65042.055999999982</v>
      </c>
      <c r="BO12">
        <v>78281.780000000086</v>
      </c>
      <c r="BP12">
        <v>110403.728</v>
      </c>
      <c r="BQ12">
        <v>134983.79999999999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0</v>
      </c>
      <c r="CJ12">
        <v>0</v>
      </c>
      <c r="CK12">
        <v>0</v>
      </c>
      <c r="CL12">
        <v>0</v>
      </c>
    </row>
    <row r="13" spans="1:90" x14ac:dyDescent="0.35">
      <c r="A13">
        <v>337525</v>
      </c>
      <c r="B13" t="s">
        <v>257</v>
      </c>
      <c r="C13" t="s">
        <v>258</v>
      </c>
      <c r="D13" s="1">
        <v>45772</v>
      </c>
      <c r="E13">
        <v>53850</v>
      </c>
      <c r="F13">
        <v>268</v>
      </c>
      <c r="G13" t="s">
        <v>190</v>
      </c>
      <c r="H13" t="s">
        <v>48</v>
      </c>
      <c r="I13" t="s">
        <v>49</v>
      </c>
      <c r="K13">
        <v>202504247923765</v>
      </c>
      <c r="L13">
        <v>2683300002200</v>
      </c>
      <c r="M13">
        <v>20250424</v>
      </c>
      <c r="N13" t="s">
        <v>193</v>
      </c>
      <c r="P13" t="s">
        <v>277</v>
      </c>
      <c r="Q13" t="s">
        <v>59</v>
      </c>
      <c r="R13">
        <v>66000</v>
      </c>
      <c r="S13">
        <v>0</v>
      </c>
      <c r="T13">
        <v>1634613</v>
      </c>
      <c r="U13">
        <v>3489270797</v>
      </c>
      <c r="V13" t="s">
        <v>278</v>
      </c>
      <c r="W13" t="s">
        <v>57</v>
      </c>
      <c r="X13" t="s">
        <v>63</v>
      </c>
      <c r="Y13" t="s">
        <v>52</v>
      </c>
      <c r="Z13">
        <v>1852</v>
      </c>
      <c r="AH13">
        <v>0</v>
      </c>
      <c r="AI13">
        <v>202504</v>
      </c>
      <c r="AJ13" t="s">
        <v>179</v>
      </c>
      <c r="AK13">
        <v>1</v>
      </c>
      <c r="AL13">
        <v>1</v>
      </c>
      <c r="AO13">
        <v>0</v>
      </c>
      <c r="AP13">
        <v>412</v>
      </c>
      <c r="AQ13">
        <v>430</v>
      </c>
      <c r="AR13">
        <v>430412</v>
      </c>
      <c r="AS13" t="s">
        <v>62</v>
      </c>
      <c r="AU13" t="s">
        <v>62</v>
      </c>
      <c r="AV13" t="s">
        <v>262</v>
      </c>
      <c r="AW13">
        <v>5000</v>
      </c>
      <c r="AX13">
        <v>15712.4</v>
      </c>
      <c r="AY13">
        <v>18425.036</v>
      </c>
      <c r="AZ13">
        <v>19036</v>
      </c>
      <c r="BA13">
        <v>19840</v>
      </c>
      <c r="BB13">
        <v>20740</v>
      </c>
      <c r="BC13">
        <v>22473.462</v>
      </c>
      <c r="BD13">
        <v>23237.86</v>
      </c>
      <c r="BE13">
        <v>25000</v>
      </c>
      <c r="BF13">
        <v>27463.635999999999</v>
      </c>
      <c r="BG13">
        <v>30000</v>
      </c>
      <c r="BH13">
        <v>34610.514000000003</v>
      </c>
      <c r="BI13">
        <v>35046</v>
      </c>
      <c r="BJ13">
        <v>38582.447999999997</v>
      </c>
      <c r="BK13">
        <v>42006.79</v>
      </c>
      <c r="BL13">
        <v>50000</v>
      </c>
      <c r="BM13">
        <v>54336.774000000027</v>
      </c>
      <c r="BN13">
        <v>65042.055999999982</v>
      </c>
      <c r="BO13">
        <v>78281.780000000086</v>
      </c>
      <c r="BP13">
        <v>110403.728</v>
      </c>
      <c r="BQ13">
        <v>134983.79999999999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0</v>
      </c>
      <c r="CK13">
        <v>0</v>
      </c>
      <c r="CL13">
        <v>0</v>
      </c>
    </row>
    <row r="14" spans="1:90" x14ac:dyDescent="0.35">
      <c r="A14">
        <v>337523</v>
      </c>
      <c r="B14" t="s">
        <v>257</v>
      </c>
      <c r="C14" t="s">
        <v>258</v>
      </c>
      <c r="D14" s="1">
        <v>45772</v>
      </c>
      <c r="E14">
        <v>53850</v>
      </c>
      <c r="F14">
        <v>108</v>
      </c>
      <c r="G14" t="s">
        <v>99</v>
      </c>
      <c r="H14" t="s">
        <v>48</v>
      </c>
      <c r="I14" t="s">
        <v>49</v>
      </c>
      <c r="K14">
        <v>202504247923749</v>
      </c>
      <c r="L14">
        <v>1081204983779</v>
      </c>
      <c r="M14">
        <v>20250424</v>
      </c>
      <c r="N14" t="s">
        <v>193</v>
      </c>
      <c r="P14" t="s">
        <v>279</v>
      </c>
      <c r="Q14" t="s">
        <v>50</v>
      </c>
      <c r="R14">
        <v>204044.7</v>
      </c>
      <c r="S14">
        <v>0</v>
      </c>
      <c r="T14">
        <v>4983779</v>
      </c>
      <c r="U14">
        <v>5371200725</v>
      </c>
      <c r="V14" t="s">
        <v>280</v>
      </c>
      <c r="W14" t="s">
        <v>57</v>
      </c>
      <c r="X14" t="s">
        <v>100</v>
      </c>
      <c r="Y14" t="s">
        <v>52</v>
      </c>
      <c r="Z14">
        <v>1058</v>
      </c>
      <c r="AH14">
        <v>0</v>
      </c>
      <c r="AI14">
        <v>202504</v>
      </c>
      <c r="AJ14" t="s">
        <v>55</v>
      </c>
      <c r="AK14">
        <v>0</v>
      </c>
      <c r="AL14">
        <v>1</v>
      </c>
      <c r="AO14">
        <v>0</v>
      </c>
      <c r="AP14">
        <v>999</v>
      </c>
      <c r="AQ14">
        <v>430</v>
      </c>
      <c r="AR14">
        <v>430999</v>
      </c>
      <c r="AT14">
        <v>1</v>
      </c>
      <c r="AU14" t="s">
        <v>58</v>
      </c>
      <c r="AV14" t="s">
        <v>281</v>
      </c>
      <c r="AW14">
        <v>35255.730000000003</v>
      </c>
      <c r="AX14">
        <v>40532.292000000001</v>
      </c>
      <c r="AY14">
        <v>44318.877999999997</v>
      </c>
      <c r="AZ14">
        <v>45125.512000000002</v>
      </c>
      <c r="BA14">
        <v>47063.91</v>
      </c>
      <c r="BB14">
        <v>49568.19</v>
      </c>
      <c r="BC14">
        <v>51155.741999999998</v>
      </c>
      <c r="BD14">
        <v>53646.266000000003</v>
      </c>
      <c r="BE14">
        <v>57942.733999999997</v>
      </c>
      <c r="BF14">
        <v>60683.345999999998</v>
      </c>
      <c r="BG14">
        <v>62646.03</v>
      </c>
      <c r="BH14">
        <v>136475.66400000011</v>
      </c>
      <c r="BI14">
        <v>186663.09400000001</v>
      </c>
      <c r="BJ14">
        <v>189566.11600000001</v>
      </c>
      <c r="BK14">
        <v>195938.15400000001</v>
      </c>
      <c r="BL14">
        <v>204044.7</v>
      </c>
      <c r="BM14">
        <v>227373.3000000001</v>
      </c>
      <c r="BN14">
        <v>252854.712</v>
      </c>
      <c r="BO14">
        <v>282641.74800000002</v>
      </c>
      <c r="BP14">
        <v>294996.82</v>
      </c>
      <c r="BQ14">
        <v>298635.90999999997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0</v>
      </c>
    </row>
    <row r="15" spans="1:90" x14ac:dyDescent="0.35">
      <c r="A15">
        <v>337520</v>
      </c>
      <c r="B15" t="s">
        <v>257</v>
      </c>
      <c r="C15" t="s">
        <v>258</v>
      </c>
      <c r="D15" s="1">
        <v>45772</v>
      </c>
      <c r="E15">
        <v>53850</v>
      </c>
      <c r="F15">
        <v>270</v>
      </c>
      <c r="G15" t="s">
        <v>80</v>
      </c>
      <c r="H15" t="s">
        <v>48</v>
      </c>
      <c r="I15" t="s">
        <v>49</v>
      </c>
      <c r="K15">
        <v>202504247924954</v>
      </c>
      <c r="L15">
        <v>2703300000347</v>
      </c>
      <c r="M15">
        <v>20250424</v>
      </c>
      <c r="N15" t="s">
        <v>193</v>
      </c>
      <c r="P15" t="s">
        <v>259</v>
      </c>
      <c r="Q15" t="s">
        <v>50</v>
      </c>
      <c r="R15">
        <v>20000</v>
      </c>
      <c r="S15">
        <v>0</v>
      </c>
      <c r="T15">
        <v>1610246</v>
      </c>
      <c r="U15">
        <v>328280698</v>
      </c>
      <c r="V15" t="s">
        <v>282</v>
      </c>
      <c r="W15" t="s">
        <v>57</v>
      </c>
      <c r="X15" t="s">
        <v>63</v>
      </c>
      <c r="Y15" t="s">
        <v>52</v>
      </c>
      <c r="Z15">
        <v>1413</v>
      </c>
      <c r="AH15">
        <v>0</v>
      </c>
      <c r="AI15">
        <v>202504</v>
      </c>
      <c r="AJ15" t="s">
        <v>64</v>
      </c>
      <c r="AK15">
        <v>0</v>
      </c>
      <c r="AL15">
        <v>1</v>
      </c>
      <c r="AO15">
        <v>0</v>
      </c>
      <c r="AP15">
        <v>412</v>
      </c>
      <c r="AQ15">
        <v>430</v>
      </c>
      <c r="AR15">
        <v>430412</v>
      </c>
      <c r="AS15" t="s">
        <v>62</v>
      </c>
      <c r="AU15" t="s">
        <v>62</v>
      </c>
      <c r="AV15" t="s">
        <v>262</v>
      </c>
      <c r="AW15">
        <v>5000</v>
      </c>
      <c r="AX15">
        <v>15712.4</v>
      </c>
      <c r="AY15">
        <v>18425.036</v>
      </c>
      <c r="AZ15">
        <v>19036</v>
      </c>
      <c r="BA15">
        <v>19840</v>
      </c>
      <c r="BB15">
        <v>20740</v>
      </c>
      <c r="BC15">
        <v>22473.462</v>
      </c>
      <c r="BD15">
        <v>23237.86</v>
      </c>
      <c r="BE15">
        <v>25000</v>
      </c>
      <c r="BF15">
        <v>27463.635999999999</v>
      </c>
      <c r="BG15">
        <v>30000</v>
      </c>
      <c r="BH15">
        <v>34610.514000000003</v>
      </c>
      <c r="BI15">
        <v>35046</v>
      </c>
      <c r="BJ15">
        <v>38582.447999999997</v>
      </c>
      <c r="BK15">
        <v>42006.79</v>
      </c>
      <c r="BL15">
        <v>50000</v>
      </c>
      <c r="BM15">
        <v>54336.774000000027</v>
      </c>
      <c r="BN15">
        <v>65042.055999999982</v>
      </c>
      <c r="BO15">
        <v>78281.780000000086</v>
      </c>
      <c r="BP15">
        <v>110403.728</v>
      </c>
      <c r="BQ15">
        <v>134983.79999999999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</row>
    <row r="16" spans="1:90" x14ac:dyDescent="0.35">
      <c r="A16">
        <v>337488</v>
      </c>
      <c r="B16" t="s">
        <v>257</v>
      </c>
      <c r="C16" t="s">
        <v>258</v>
      </c>
      <c r="D16" s="1">
        <v>45771</v>
      </c>
      <c r="E16">
        <v>53850</v>
      </c>
      <c r="F16">
        <v>261</v>
      </c>
      <c r="G16" t="s">
        <v>84</v>
      </c>
      <c r="H16" t="s">
        <v>48</v>
      </c>
      <c r="I16" t="s">
        <v>49</v>
      </c>
      <c r="K16">
        <v>202504237920255</v>
      </c>
      <c r="L16">
        <v>2613300000045</v>
      </c>
      <c r="M16">
        <v>20250423</v>
      </c>
      <c r="N16" t="s">
        <v>193</v>
      </c>
      <c r="P16" t="s">
        <v>259</v>
      </c>
      <c r="Q16" t="s">
        <v>59</v>
      </c>
      <c r="R16">
        <v>40000</v>
      </c>
      <c r="S16">
        <v>0</v>
      </c>
      <c r="T16">
        <v>1600482</v>
      </c>
      <c r="U16" t="s">
        <v>283</v>
      </c>
      <c r="V16" t="s">
        <v>284</v>
      </c>
      <c r="W16" t="s">
        <v>51</v>
      </c>
      <c r="Y16" t="s">
        <v>52</v>
      </c>
      <c r="Z16">
        <v>1886</v>
      </c>
      <c r="AH16">
        <v>0</v>
      </c>
      <c r="AI16">
        <v>202504</v>
      </c>
      <c r="AJ16" t="s">
        <v>64</v>
      </c>
      <c r="AK16">
        <v>0</v>
      </c>
      <c r="AL16">
        <v>1</v>
      </c>
      <c r="AO16">
        <v>0</v>
      </c>
      <c r="AP16">
        <v>999</v>
      </c>
      <c r="AQ16">
        <v>600</v>
      </c>
      <c r="AR16">
        <v>600999</v>
      </c>
      <c r="AS16" t="s">
        <v>53</v>
      </c>
      <c r="AU16" t="s">
        <v>53</v>
      </c>
      <c r="AV16" t="s">
        <v>262</v>
      </c>
      <c r="AW16">
        <v>5000</v>
      </c>
      <c r="AX16">
        <v>15712.4</v>
      </c>
      <c r="AY16">
        <v>18425.036</v>
      </c>
      <c r="AZ16">
        <v>19036</v>
      </c>
      <c r="BA16">
        <v>19840</v>
      </c>
      <c r="BB16">
        <v>20740</v>
      </c>
      <c r="BC16">
        <v>22473.462</v>
      </c>
      <c r="BD16">
        <v>23237.86</v>
      </c>
      <c r="BE16">
        <v>25000</v>
      </c>
      <c r="BF16">
        <v>27463.635999999999</v>
      </c>
      <c r="BG16">
        <v>30000</v>
      </c>
      <c r="BH16">
        <v>34610.514000000003</v>
      </c>
      <c r="BI16">
        <v>35046</v>
      </c>
      <c r="BJ16">
        <v>38582.447999999997</v>
      </c>
      <c r="BK16">
        <v>42006.79</v>
      </c>
      <c r="BL16">
        <v>50000</v>
      </c>
      <c r="BM16">
        <v>54336.774000000027</v>
      </c>
      <c r="BN16">
        <v>65042.055999999982</v>
      </c>
      <c r="BO16">
        <v>78281.780000000086</v>
      </c>
      <c r="BP16">
        <v>110403.728</v>
      </c>
      <c r="BQ16">
        <v>134983.79999999999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</row>
    <row r="17" spans="1:90" x14ac:dyDescent="0.35">
      <c r="A17">
        <v>337446</v>
      </c>
      <c r="B17" t="s">
        <v>257</v>
      </c>
      <c r="C17" t="s">
        <v>258</v>
      </c>
      <c r="D17" s="1">
        <v>45770</v>
      </c>
      <c r="E17">
        <v>53850</v>
      </c>
      <c r="F17">
        <v>122</v>
      </c>
      <c r="G17" t="s">
        <v>72</v>
      </c>
      <c r="H17" t="s">
        <v>48</v>
      </c>
      <c r="I17" t="s">
        <v>49</v>
      </c>
      <c r="K17">
        <v>202504227915508</v>
      </c>
      <c r="L17">
        <v>1223300001682</v>
      </c>
      <c r="M17">
        <v>20250422</v>
      </c>
      <c r="N17" t="s">
        <v>193</v>
      </c>
      <c r="P17" t="s">
        <v>259</v>
      </c>
      <c r="Q17" t="s">
        <v>50</v>
      </c>
      <c r="R17">
        <v>35057.5</v>
      </c>
      <c r="S17">
        <v>0</v>
      </c>
      <c r="T17">
        <v>3711207</v>
      </c>
      <c r="U17">
        <v>8825020723</v>
      </c>
      <c r="V17" t="s">
        <v>73</v>
      </c>
      <c r="W17" t="s">
        <v>57</v>
      </c>
      <c r="X17" t="s">
        <v>61</v>
      </c>
      <c r="Y17" t="s">
        <v>52</v>
      </c>
      <c r="Z17">
        <v>1696</v>
      </c>
      <c r="AH17">
        <v>0</v>
      </c>
      <c r="AI17">
        <v>202504</v>
      </c>
      <c r="AJ17" t="s">
        <v>55</v>
      </c>
      <c r="AK17">
        <v>0</v>
      </c>
      <c r="AL17">
        <v>1</v>
      </c>
      <c r="AO17">
        <v>0</v>
      </c>
      <c r="AP17">
        <v>620</v>
      </c>
      <c r="AQ17">
        <v>430</v>
      </c>
      <c r="AR17">
        <v>430620</v>
      </c>
      <c r="AS17" t="s">
        <v>62</v>
      </c>
      <c r="AU17" t="s">
        <v>62</v>
      </c>
      <c r="AV17" t="s">
        <v>262</v>
      </c>
      <c r="AW17">
        <v>5000</v>
      </c>
      <c r="AX17">
        <v>15712.4</v>
      </c>
      <c r="AY17">
        <v>18425.036</v>
      </c>
      <c r="AZ17">
        <v>19036</v>
      </c>
      <c r="BA17">
        <v>19840</v>
      </c>
      <c r="BB17">
        <v>20740</v>
      </c>
      <c r="BC17">
        <v>22473.462</v>
      </c>
      <c r="BD17">
        <v>23237.86</v>
      </c>
      <c r="BE17">
        <v>25000</v>
      </c>
      <c r="BF17">
        <v>27463.635999999999</v>
      </c>
      <c r="BG17">
        <v>30000</v>
      </c>
      <c r="BH17">
        <v>34610.514000000003</v>
      </c>
      <c r="BI17">
        <v>35046</v>
      </c>
      <c r="BJ17">
        <v>38582.447999999997</v>
      </c>
      <c r="BK17">
        <v>42006.79</v>
      </c>
      <c r="BL17">
        <v>50000</v>
      </c>
      <c r="BM17">
        <v>54336.774000000027</v>
      </c>
      <c r="BN17">
        <v>65042.055999999982</v>
      </c>
      <c r="BO17">
        <v>78281.780000000086</v>
      </c>
      <c r="BP17">
        <v>110403.728</v>
      </c>
      <c r="BQ17">
        <v>134983.79999999999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</row>
    <row r="18" spans="1:90" x14ac:dyDescent="0.35">
      <c r="A18">
        <v>337379</v>
      </c>
      <c r="B18" t="s">
        <v>257</v>
      </c>
      <c r="C18" t="s">
        <v>258</v>
      </c>
      <c r="D18" s="1">
        <v>45765</v>
      </c>
      <c r="E18">
        <v>53850</v>
      </c>
      <c r="F18">
        <v>168</v>
      </c>
      <c r="G18" t="s">
        <v>187</v>
      </c>
      <c r="H18" t="s">
        <v>48</v>
      </c>
      <c r="I18" t="s">
        <v>49</v>
      </c>
      <c r="K18">
        <v>202504177906995</v>
      </c>
      <c r="L18">
        <v>1683306277782</v>
      </c>
      <c r="M18">
        <v>20250417</v>
      </c>
      <c r="N18" t="s">
        <v>193</v>
      </c>
      <c r="P18" t="s">
        <v>259</v>
      </c>
      <c r="Q18" t="s">
        <v>59</v>
      </c>
      <c r="R18">
        <v>15981.88</v>
      </c>
      <c r="S18">
        <v>0</v>
      </c>
      <c r="T18">
        <v>3743230</v>
      </c>
      <c r="U18" t="s">
        <v>285</v>
      </c>
      <c r="V18" t="s">
        <v>286</v>
      </c>
      <c r="W18" t="s">
        <v>94</v>
      </c>
      <c r="Y18" t="s">
        <v>259</v>
      </c>
      <c r="Z18">
        <v>1358</v>
      </c>
      <c r="AH18">
        <v>0</v>
      </c>
      <c r="AI18">
        <v>202504</v>
      </c>
      <c r="AJ18" t="s">
        <v>179</v>
      </c>
      <c r="AK18">
        <v>1</v>
      </c>
      <c r="AL18">
        <v>1</v>
      </c>
      <c r="AO18">
        <v>0</v>
      </c>
      <c r="AP18">
        <v>999</v>
      </c>
      <c r="AQ18">
        <v>775</v>
      </c>
      <c r="AR18">
        <v>775999</v>
      </c>
      <c r="AS18" t="s">
        <v>53</v>
      </c>
      <c r="AU18" t="s">
        <v>53</v>
      </c>
      <c r="AV18" t="s">
        <v>262</v>
      </c>
      <c r="AW18">
        <v>5000</v>
      </c>
      <c r="AX18">
        <v>15712.4</v>
      </c>
      <c r="AY18">
        <v>18425.036</v>
      </c>
      <c r="AZ18">
        <v>19036</v>
      </c>
      <c r="BA18">
        <v>19840</v>
      </c>
      <c r="BB18">
        <v>20740</v>
      </c>
      <c r="BC18">
        <v>22473.462</v>
      </c>
      <c r="BD18">
        <v>23237.86</v>
      </c>
      <c r="BE18">
        <v>25000</v>
      </c>
      <c r="BF18">
        <v>27463.635999999999</v>
      </c>
      <c r="BG18">
        <v>30000</v>
      </c>
      <c r="BH18">
        <v>34610.514000000003</v>
      </c>
      <c r="BI18">
        <v>35046</v>
      </c>
      <c r="BJ18">
        <v>38582.447999999997</v>
      </c>
      <c r="BK18">
        <v>42006.79</v>
      </c>
      <c r="BL18">
        <v>50000</v>
      </c>
      <c r="BM18">
        <v>54336.774000000027</v>
      </c>
      <c r="BN18">
        <v>65042.055999999982</v>
      </c>
      <c r="BO18">
        <v>78281.780000000086</v>
      </c>
      <c r="BP18">
        <v>110403.728</v>
      </c>
      <c r="BQ18">
        <v>134983.79999999999</v>
      </c>
      <c r="BR18">
        <v>1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</row>
    <row r="19" spans="1:90" x14ac:dyDescent="0.35">
      <c r="A19">
        <v>337350</v>
      </c>
      <c r="B19" t="s">
        <v>257</v>
      </c>
      <c r="C19" t="s">
        <v>258</v>
      </c>
      <c r="D19" s="1">
        <v>45765</v>
      </c>
      <c r="E19">
        <v>53850</v>
      </c>
      <c r="F19">
        <v>109</v>
      </c>
      <c r="G19" t="s">
        <v>69</v>
      </c>
      <c r="H19" t="s">
        <v>48</v>
      </c>
      <c r="I19" t="s">
        <v>49</v>
      </c>
      <c r="K19">
        <v>202504177906991</v>
      </c>
      <c r="L19">
        <v>1093306675356</v>
      </c>
      <c r="M19">
        <v>20250417</v>
      </c>
      <c r="N19" t="s">
        <v>193</v>
      </c>
      <c r="P19" t="s">
        <v>275</v>
      </c>
      <c r="Q19" t="s">
        <v>59</v>
      </c>
      <c r="R19">
        <v>16016</v>
      </c>
      <c r="S19">
        <v>0</v>
      </c>
      <c r="T19">
        <v>4976123</v>
      </c>
      <c r="U19">
        <v>8630940727</v>
      </c>
      <c r="V19" t="s">
        <v>383</v>
      </c>
      <c r="W19" t="s">
        <v>57</v>
      </c>
      <c r="X19" t="s">
        <v>87</v>
      </c>
      <c r="Y19" t="s">
        <v>52</v>
      </c>
      <c r="Z19">
        <v>502</v>
      </c>
      <c r="AH19">
        <v>0</v>
      </c>
      <c r="AI19">
        <v>202504</v>
      </c>
      <c r="AJ19" t="s">
        <v>64</v>
      </c>
      <c r="AK19">
        <v>0</v>
      </c>
      <c r="AL19">
        <v>1</v>
      </c>
      <c r="AM19">
        <v>4976123</v>
      </c>
      <c r="AN19">
        <v>1</v>
      </c>
      <c r="AO19">
        <v>0</v>
      </c>
      <c r="AP19">
        <v>477</v>
      </c>
      <c r="AQ19">
        <v>430</v>
      </c>
      <c r="AR19">
        <v>430477</v>
      </c>
      <c r="AS19" t="s">
        <v>62</v>
      </c>
      <c r="AU19" t="s">
        <v>62</v>
      </c>
      <c r="AV19" t="s">
        <v>262</v>
      </c>
      <c r="AW19">
        <v>5000</v>
      </c>
      <c r="AX19">
        <v>15712.4</v>
      </c>
      <c r="AY19">
        <v>18425.036</v>
      </c>
      <c r="AZ19">
        <v>19036</v>
      </c>
      <c r="BA19">
        <v>19840</v>
      </c>
      <c r="BB19">
        <v>20740</v>
      </c>
      <c r="BC19">
        <v>22473.462</v>
      </c>
      <c r="BD19">
        <v>23237.86</v>
      </c>
      <c r="BE19">
        <v>25000</v>
      </c>
      <c r="BF19">
        <v>27463.635999999999</v>
      </c>
      <c r="BG19">
        <v>30000</v>
      </c>
      <c r="BH19">
        <v>34610.514000000003</v>
      </c>
      <c r="BI19">
        <v>35046</v>
      </c>
      <c r="BJ19">
        <v>38582.447999999997</v>
      </c>
      <c r="BK19">
        <v>42006.79</v>
      </c>
      <c r="BL19">
        <v>50000</v>
      </c>
      <c r="BM19">
        <v>54336.774000000027</v>
      </c>
      <c r="BN19">
        <v>65042.055999999982</v>
      </c>
      <c r="BO19">
        <v>78281.780000000086</v>
      </c>
      <c r="BP19">
        <v>110403.728</v>
      </c>
      <c r="BQ19">
        <v>134983.79999999999</v>
      </c>
      <c r="BR19">
        <v>1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</row>
    <row r="20" spans="1:90" x14ac:dyDescent="0.35">
      <c r="A20">
        <v>337343</v>
      </c>
      <c r="B20" t="s">
        <v>257</v>
      </c>
      <c r="C20" t="s">
        <v>258</v>
      </c>
      <c r="D20" s="1">
        <v>45764</v>
      </c>
      <c r="E20">
        <v>53850</v>
      </c>
      <c r="F20">
        <v>110</v>
      </c>
      <c r="G20" t="s">
        <v>89</v>
      </c>
      <c r="H20" t="s">
        <v>48</v>
      </c>
      <c r="I20" t="s">
        <v>49</v>
      </c>
      <c r="K20">
        <v>202504167903584</v>
      </c>
      <c r="L20">
        <v>1103306288240</v>
      </c>
      <c r="M20">
        <v>20250416</v>
      </c>
      <c r="N20" t="s">
        <v>193</v>
      </c>
      <c r="P20" t="s">
        <v>287</v>
      </c>
      <c r="Q20" t="s">
        <v>59</v>
      </c>
      <c r="R20">
        <v>45394.39</v>
      </c>
      <c r="S20">
        <v>0</v>
      </c>
      <c r="T20">
        <v>4960705</v>
      </c>
      <c r="U20">
        <v>8520490726</v>
      </c>
      <c r="V20" t="s">
        <v>288</v>
      </c>
      <c r="W20" t="s">
        <v>57</v>
      </c>
      <c r="X20" t="s">
        <v>85</v>
      </c>
      <c r="Y20" t="s">
        <v>52</v>
      </c>
      <c r="Z20">
        <v>1696</v>
      </c>
      <c r="AH20">
        <v>0</v>
      </c>
      <c r="AI20">
        <v>202504</v>
      </c>
      <c r="AJ20" t="s">
        <v>55</v>
      </c>
      <c r="AK20">
        <v>0</v>
      </c>
      <c r="AL20">
        <v>1</v>
      </c>
      <c r="AO20">
        <v>0</v>
      </c>
      <c r="AP20">
        <v>464</v>
      </c>
      <c r="AQ20">
        <v>430</v>
      </c>
      <c r="AR20">
        <v>430464</v>
      </c>
      <c r="AS20" t="s">
        <v>86</v>
      </c>
      <c r="AU20" t="s">
        <v>86</v>
      </c>
      <c r="AV20" t="s">
        <v>281</v>
      </c>
      <c r="AW20">
        <v>35255.730000000003</v>
      </c>
      <c r="AX20">
        <v>40532.292000000001</v>
      </c>
      <c r="AY20">
        <v>44318.877999999997</v>
      </c>
      <c r="AZ20">
        <v>45125.512000000002</v>
      </c>
      <c r="BA20">
        <v>47063.91</v>
      </c>
      <c r="BB20">
        <v>49568.19</v>
      </c>
      <c r="BC20">
        <v>51155.741999999998</v>
      </c>
      <c r="BD20">
        <v>53646.266000000003</v>
      </c>
      <c r="BE20">
        <v>57942.733999999997</v>
      </c>
      <c r="BF20">
        <v>60683.345999999998</v>
      </c>
      <c r="BG20">
        <v>62646.03</v>
      </c>
      <c r="BH20">
        <v>136475.66400000011</v>
      </c>
      <c r="BI20">
        <v>186663.09400000001</v>
      </c>
      <c r="BJ20">
        <v>189566.11600000001</v>
      </c>
      <c r="BK20">
        <v>195938.15400000001</v>
      </c>
      <c r="BL20">
        <v>204044.7</v>
      </c>
      <c r="BM20">
        <v>227373.3000000001</v>
      </c>
      <c r="BN20">
        <v>252854.712</v>
      </c>
      <c r="BO20">
        <v>282641.74800000002</v>
      </c>
      <c r="BP20">
        <v>294996.82</v>
      </c>
      <c r="BQ20">
        <v>298635.90999999997</v>
      </c>
      <c r="BR20">
        <v>1</v>
      </c>
      <c r="BS20">
        <v>1</v>
      </c>
      <c r="BT20">
        <v>1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</row>
    <row r="21" spans="1:90" x14ac:dyDescent="0.35">
      <c r="A21">
        <v>337340</v>
      </c>
      <c r="B21" t="s">
        <v>257</v>
      </c>
      <c r="C21" t="s">
        <v>258</v>
      </c>
      <c r="D21" s="1">
        <v>45764</v>
      </c>
      <c r="E21">
        <v>53850</v>
      </c>
      <c r="F21">
        <v>110</v>
      </c>
      <c r="G21" t="s">
        <v>89</v>
      </c>
      <c r="H21" t="s">
        <v>48</v>
      </c>
      <c r="I21" t="s">
        <v>49</v>
      </c>
      <c r="K21">
        <v>202504167903583</v>
      </c>
      <c r="L21">
        <v>1103306288240</v>
      </c>
      <c r="M21">
        <v>20250416</v>
      </c>
      <c r="N21" t="s">
        <v>193</v>
      </c>
      <c r="P21" t="s">
        <v>287</v>
      </c>
      <c r="Q21" t="s">
        <v>59</v>
      </c>
      <c r="R21">
        <v>292570.76</v>
      </c>
      <c r="S21">
        <v>0</v>
      </c>
      <c r="T21">
        <v>4960705</v>
      </c>
      <c r="U21">
        <v>8520490726</v>
      </c>
      <c r="V21" t="s">
        <v>288</v>
      </c>
      <c r="W21" t="s">
        <v>57</v>
      </c>
      <c r="X21" t="s">
        <v>85</v>
      </c>
      <c r="Y21" t="s">
        <v>52</v>
      </c>
      <c r="Z21">
        <v>1696</v>
      </c>
      <c r="AH21">
        <v>0</v>
      </c>
      <c r="AI21">
        <v>202504</v>
      </c>
      <c r="AJ21" t="s">
        <v>55</v>
      </c>
      <c r="AK21">
        <v>0</v>
      </c>
      <c r="AL21">
        <v>1</v>
      </c>
      <c r="AO21">
        <v>0</v>
      </c>
      <c r="AP21">
        <v>464</v>
      </c>
      <c r="AQ21">
        <v>430</v>
      </c>
      <c r="AR21">
        <v>430464</v>
      </c>
      <c r="AS21" t="s">
        <v>86</v>
      </c>
      <c r="AU21" t="s">
        <v>86</v>
      </c>
      <c r="AV21" t="s">
        <v>281</v>
      </c>
      <c r="AW21">
        <v>35255.730000000003</v>
      </c>
      <c r="AX21">
        <v>40532.292000000001</v>
      </c>
      <c r="AY21">
        <v>44318.877999999997</v>
      </c>
      <c r="AZ21">
        <v>45125.512000000002</v>
      </c>
      <c r="BA21">
        <v>47063.91</v>
      </c>
      <c r="BB21">
        <v>49568.19</v>
      </c>
      <c r="BC21">
        <v>51155.741999999998</v>
      </c>
      <c r="BD21">
        <v>53646.266000000003</v>
      </c>
      <c r="BE21">
        <v>57942.733999999997</v>
      </c>
      <c r="BF21">
        <v>60683.345999999998</v>
      </c>
      <c r="BG21">
        <v>62646.03</v>
      </c>
      <c r="BH21">
        <v>136475.66400000011</v>
      </c>
      <c r="BI21">
        <v>186663.09400000001</v>
      </c>
      <c r="BJ21">
        <v>189566.11600000001</v>
      </c>
      <c r="BK21">
        <v>195938.15400000001</v>
      </c>
      <c r="BL21">
        <v>204044.7</v>
      </c>
      <c r="BM21">
        <v>227373.3000000001</v>
      </c>
      <c r="BN21">
        <v>252854.712</v>
      </c>
      <c r="BO21">
        <v>282641.74800000002</v>
      </c>
      <c r="BP21">
        <v>294996.82</v>
      </c>
      <c r="BQ21">
        <v>298635.90999999997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0</v>
      </c>
      <c r="CL21">
        <v>0</v>
      </c>
    </row>
    <row r="22" spans="1:90" x14ac:dyDescent="0.35">
      <c r="A22">
        <v>337339</v>
      </c>
      <c r="B22" t="s">
        <v>257</v>
      </c>
      <c r="C22" t="s">
        <v>258</v>
      </c>
      <c r="D22" s="1">
        <v>45764</v>
      </c>
      <c r="E22">
        <v>53850</v>
      </c>
      <c r="F22">
        <v>109</v>
      </c>
      <c r="G22" t="s">
        <v>69</v>
      </c>
      <c r="H22" t="s">
        <v>48</v>
      </c>
      <c r="I22" t="s">
        <v>49</v>
      </c>
      <c r="K22">
        <v>202504167903578</v>
      </c>
      <c r="L22">
        <v>1093306675356</v>
      </c>
      <c r="M22">
        <v>20250416</v>
      </c>
      <c r="N22" t="s">
        <v>193</v>
      </c>
      <c r="P22" t="s">
        <v>275</v>
      </c>
      <c r="Q22" t="s">
        <v>59</v>
      </c>
      <c r="R22">
        <v>110000</v>
      </c>
      <c r="S22">
        <v>0</v>
      </c>
      <c r="T22">
        <v>4976123</v>
      </c>
      <c r="U22">
        <v>8630940727</v>
      </c>
      <c r="V22" t="s">
        <v>383</v>
      </c>
      <c r="W22" t="s">
        <v>57</v>
      </c>
      <c r="X22" t="s">
        <v>87</v>
      </c>
      <c r="Y22" t="s">
        <v>52</v>
      </c>
      <c r="Z22">
        <v>502</v>
      </c>
      <c r="AH22">
        <v>0</v>
      </c>
      <c r="AI22">
        <v>202504</v>
      </c>
      <c r="AJ22" t="s">
        <v>64</v>
      </c>
      <c r="AK22">
        <v>0</v>
      </c>
      <c r="AL22">
        <v>1</v>
      </c>
      <c r="AM22">
        <v>4976123</v>
      </c>
      <c r="AN22">
        <v>1</v>
      </c>
      <c r="AO22">
        <v>0</v>
      </c>
      <c r="AP22">
        <v>477</v>
      </c>
      <c r="AQ22">
        <v>430</v>
      </c>
      <c r="AR22">
        <v>430477</v>
      </c>
      <c r="AS22" t="s">
        <v>62</v>
      </c>
      <c r="AU22" t="s">
        <v>62</v>
      </c>
      <c r="AV22" t="s">
        <v>262</v>
      </c>
      <c r="AW22">
        <v>5000</v>
      </c>
      <c r="AX22">
        <v>15712.4</v>
      </c>
      <c r="AY22">
        <v>18425.036</v>
      </c>
      <c r="AZ22">
        <v>19036</v>
      </c>
      <c r="BA22">
        <v>19840</v>
      </c>
      <c r="BB22">
        <v>20740</v>
      </c>
      <c r="BC22">
        <v>22473.462</v>
      </c>
      <c r="BD22">
        <v>23237.86</v>
      </c>
      <c r="BE22">
        <v>25000</v>
      </c>
      <c r="BF22">
        <v>27463.635999999999</v>
      </c>
      <c r="BG22">
        <v>30000</v>
      </c>
      <c r="BH22">
        <v>34610.514000000003</v>
      </c>
      <c r="BI22">
        <v>35046</v>
      </c>
      <c r="BJ22">
        <v>38582.447999999997</v>
      </c>
      <c r="BK22">
        <v>42006.79</v>
      </c>
      <c r="BL22">
        <v>50000</v>
      </c>
      <c r="BM22">
        <v>54336.774000000027</v>
      </c>
      <c r="BN22">
        <v>65042.055999999982</v>
      </c>
      <c r="BO22">
        <v>78281.780000000086</v>
      </c>
      <c r="BP22">
        <v>110403.728</v>
      </c>
      <c r="BQ22">
        <v>134983.79999999999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0</v>
      </c>
      <c r="CL22">
        <v>0</v>
      </c>
    </row>
    <row r="23" spans="1:90" x14ac:dyDescent="0.35">
      <c r="A23">
        <v>337323</v>
      </c>
      <c r="B23" t="s">
        <v>257</v>
      </c>
      <c r="C23" t="s">
        <v>258</v>
      </c>
      <c r="D23" s="1">
        <v>45764</v>
      </c>
      <c r="E23">
        <v>53850</v>
      </c>
      <c r="F23">
        <v>271</v>
      </c>
      <c r="G23" t="s">
        <v>95</v>
      </c>
      <c r="H23" t="s">
        <v>48</v>
      </c>
      <c r="I23" t="s">
        <v>49</v>
      </c>
      <c r="K23">
        <v>202504167903565</v>
      </c>
      <c r="L23">
        <v>2713300002851</v>
      </c>
      <c r="M23">
        <v>20250416</v>
      </c>
      <c r="N23" t="s">
        <v>193</v>
      </c>
      <c r="P23" t="s">
        <v>259</v>
      </c>
      <c r="Q23" t="s">
        <v>59</v>
      </c>
      <c r="R23">
        <v>20000</v>
      </c>
      <c r="S23">
        <v>0</v>
      </c>
      <c r="T23">
        <v>1681054</v>
      </c>
      <c r="U23" t="s">
        <v>289</v>
      </c>
      <c r="V23" t="s">
        <v>290</v>
      </c>
      <c r="W23" t="s">
        <v>51</v>
      </c>
      <c r="Y23" t="s">
        <v>52</v>
      </c>
      <c r="Z23">
        <v>1849</v>
      </c>
      <c r="AH23">
        <v>0</v>
      </c>
      <c r="AI23">
        <v>202504</v>
      </c>
      <c r="AJ23" t="s">
        <v>55</v>
      </c>
      <c r="AK23">
        <v>0</v>
      </c>
      <c r="AL23">
        <v>1</v>
      </c>
      <c r="AO23">
        <v>0</v>
      </c>
      <c r="AP23">
        <v>999</v>
      </c>
      <c r="AQ23">
        <v>600</v>
      </c>
      <c r="AR23">
        <v>600999</v>
      </c>
      <c r="AS23" t="s">
        <v>53</v>
      </c>
      <c r="AU23" t="s">
        <v>53</v>
      </c>
      <c r="AV23" t="s">
        <v>262</v>
      </c>
      <c r="AW23">
        <v>5000</v>
      </c>
      <c r="AX23">
        <v>15712.4</v>
      </c>
      <c r="AY23">
        <v>18425.036</v>
      </c>
      <c r="AZ23">
        <v>19036</v>
      </c>
      <c r="BA23">
        <v>19840</v>
      </c>
      <c r="BB23">
        <v>20740</v>
      </c>
      <c r="BC23">
        <v>22473.462</v>
      </c>
      <c r="BD23">
        <v>23237.86</v>
      </c>
      <c r="BE23">
        <v>25000</v>
      </c>
      <c r="BF23">
        <v>27463.635999999999</v>
      </c>
      <c r="BG23">
        <v>30000</v>
      </c>
      <c r="BH23">
        <v>34610.514000000003</v>
      </c>
      <c r="BI23">
        <v>35046</v>
      </c>
      <c r="BJ23">
        <v>38582.447999999997</v>
      </c>
      <c r="BK23">
        <v>42006.79</v>
      </c>
      <c r="BL23">
        <v>50000</v>
      </c>
      <c r="BM23">
        <v>54336.774000000027</v>
      </c>
      <c r="BN23">
        <v>65042.055999999982</v>
      </c>
      <c r="BO23">
        <v>78281.780000000086</v>
      </c>
      <c r="BP23">
        <v>110403.728</v>
      </c>
      <c r="BQ23">
        <v>134983.79999999999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</row>
    <row r="24" spans="1:90" x14ac:dyDescent="0.35">
      <c r="A24">
        <v>329503</v>
      </c>
      <c r="B24" t="s">
        <v>257</v>
      </c>
      <c r="C24" t="s">
        <v>258</v>
      </c>
      <c r="D24" s="1">
        <v>45759</v>
      </c>
      <c r="E24">
        <v>53850</v>
      </c>
      <c r="F24">
        <v>102</v>
      </c>
      <c r="G24" t="s">
        <v>56</v>
      </c>
      <c r="H24" t="s">
        <v>48</v>
      </c>
      <c r="I24" t="s">
        <v>49</v>
      </c>
      <c r="K24">
        <v>202504117888426</v>
      </c>
      <c r="L24">
        <v>1023306274744</v>
      </c>
      <c r="M24">
        <v>20250411</v>
      </c>
      <c r="N24" t="s">
        <v>193</v>
      </c>
      <c r="P24" t="s">
        <v>195</v>
      </c>
      <c r="Q24" t="s">
        <v>59</v>
      </c>
      <c r="R24">
        <v>72027.5</v>
      </c>
      <c r="S24">
        <v>0</v>
      </c>
      <c r="T24">
        <v>4873420</v>
      </c>
      <c r="U24">
        <v>7966910726</v>
      </c>
      <c r="V24" t="s">
        <v>291</v>
      </c>
      <c r="W24" t="s">
        <v>57</v>
      </c>
      <c r="X24" t="s">
        <v>105</v>
      </c>
      <c r="Y24" t="s">
        <v>52</v>
      </c>
      <c r="Z24">
        <v>1443</v>
      </c>
      <c r="AH24">
        <v>0</v>
      </c>
      <c r="AI24">
        <v>202504</v>
      </c>
      <c r="AJ24" t="s">
        <v>55</v>
      </c>
      <c r="AK24">
        <v>0</v>
      </c>
      <c r="AL24">
        <v>1</v>
      </c>
      <c r="AO24">
        <v>0</v>
      </c>
      <c r="AP24">
        <v>433</v>
      </c>
      <c r="AQ24">
        <v>430</v>
      </c>
      <c r="AR24">
        <v>430433</v>
      </c>
      <c r="AS24" t="s">
        <v>62</v>
      </c>
      <c r="AU24" t="s">
        <v>62</v>
      </c>
      <c r="AV24" t="s">
        <v>262</v>
      </c>
      <c r="AW24">
        <v>5000</v>
      </c>
      <c r="AX24">
        <v>15712.4</v>
      </c>
      <c r="AY24">
        <v>18425.036</v>
      </c>
      <c r="AZ24">
        <v>19036</v>
      </c>
      <c r="BA24">
        <v>19840</v>
      </c>
      <c r="BB24">
        <v>20740</v>
      </c>
      <c r="BC24">
        <v>22473.462</v>
      </c>
      <c r="BD24">
        <v>23237.86</v>
      </c>
      <c r="BE24">
        <v>25000</v>
      </c>
      <c r="BF24">
        <v>27463.635999999999</v>
      </c>
      <c r="BG24">
        <v>30000</v>
      </c>
      <c r="BH24">
        <v>34610.514000000003</v>
      </c>
      <c r="BI24">
        <v>35046</v>
      </c>
      <c r="BJ24">
        <v>38582.447999999997</v>
      </c>
      <c r="BK24">
        <v>42006.79</v>
      </c>
      <c r="BL24">
        <v>50000</v>
      </c>
      <c r="BM24">
        <v>54336.774000000027</v>
      </c>
      <c r="BN24">
        <v>65042.055999999982</v>
      </c>
      <c r="BO24">
        <v>78281.780000000086</v>
      </c>
      <c r="BP24">
        <v>110403.728</v>
      </c>
      <c r="BQ24">
        <v>134983.79999999999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0</v>
      </c>
      <c r="CK24">
        <v>0</v>
      </c>
      <c r="CL24">
        <v>0</v>
      </c>
    </row>
    <row r="25" spans="1:90" x14ac:dyDescent="0.35">
      <c r="A25">
        <v>329499</v>
      </c>
      <c r="B25" t="s">
        <v>257</v>
      </c>
      <c r="C25" t="s">
        <v>258</v>
      </c>
      <c r="D25" s="1">
        <v>45759</v>
      </c>
      <c r="E25">
        <v>53850</v>
      </c>
      <c r="F25">
        <v>170</v>
      </c>
      <c r="G25" t="s">
        <v>90</v>
      </c>
      <c r="H25" t="s">
        <v>48</v>
      </c>
      <c r="I25" t="s">
        <v>49</v>
      </c>
      <c r="K25">
        <v>202504117888432</v>
      </c>
      <c r="L25">
        <v>1703306288195</v>
      </c>
      <c r="M25">
        <v>20250411</v>
      </c>
      <c r="N25" t="s">
        <v>193</v>
      </c>
      <c r="P25" t="s">
        <v>195</v>
      </c>
      <c r="Q25" t="s">
        <v>50</v>
      </c>
      <c r="R25">
        <v>342142.36</v>
      </c>
      <c r="S25">
        <v>0</v>
      </c>
      <c r="T25">
        <v>4401631</v>
      </c>
      <c r="U25">
        <v>4724350725</v>
      </c>
      <c r="V25" t="s">
        <v>192</v>
      </c>
      <c r="W25" t="s">
        <v>57</v>
      </c>
      <c r="X25" t="s">
        <v>97</v>
      </c>
      <c r="Y25" t="s">
        <v>52</v>
      </c>
      <c r="Z25">
        <v>1919</v>
      </c>
      <c r="AH25">
        <v>0</v>
      </c>
      <c r="AI25">
        <v>202504</v>
      </c>
      <c r="AJ25" t="s">
        <v>179</v>
      </c>
      <c r="AK25">
        <v>1</v>
      </c>
      <c r="AL25">
        <v>1</v>
      </c>
      <c r="AO25">
        <v>0</v>
      </c>
      <c r="AP25">
        <v>999</v>
      </c>
      <c r="AQ25">
        <v>430</v>
      </c>
      <c r="AR25">
        <v>430999</v>
      </c>
      <c r="AT25">
        <v>1</v>
      </c>
      <c r="AU25" t="s">
        <v>58</v>
      </c>
      <c r="AV25" t="s">
        <v>262</v>
      </c>
      <c r="AW25">
        <v>5000</v>
      </c>
      <c r="AX25">
        <v>15712.4</v>
      </c>
      <c r="AY25">
        <v>18425.036</v>
      </c>
      <c r="AZ25">
        <v>19036</v>
      </c>
      <c r="BA25">
        <v>19840</v>
      </c>
      <c r="BB25">
        <v>20740</v>
      </c>
      <c r="BC25">
        <v>22473.462</v>
      </c>
      <c r="BD25">
        <v>23237.86</v>
      </c>
      <c r="BE25">
        <v>25000</v>
      </c>
      <c r="BF25">
        <v>27463.635999999999</v>
      </c>
      <c r="BG25">
        <v>30000</v>
      </c>
      <c r="BH25">
        <v>34610.514000000003</v>
      </c>
      <c r="BI25">
        <v>35046</v>
      </c>
      <c r="BJ25">
        <v>38582.447999999997</v>
      </c>
      <c r="BK25">
        <v>42006.79</v>
      </c>
      <c r="BL25">
        <v>50000</v>
      </c>
      <c r="BM25">
        <v>54336.774000000027</v>
      </c>
      <c r="BN25">
        <v>65042.055999999982</v>
      </c>
      <c r="BO25">
        <v>78281.780000000086</v>
      </c>
      <c r="BP25">
        <v>110403.728</v>
      </c>
      <c r="BQ25">
        <v>134983.79999999999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</row>
    <row r="26" spans="1:90" x14ac:dyDescent="0.35">
      <c r="A26">
        <v>329497</v>
      </c>
      <c r="B26" t="s">
        <v>257</v>
      </c>
      <c r="C26" t="s">
        <v>258</v>
      </c>
      <c r="D26" s="1">
        <v>45759</v>
      </c>
      <c r="E26">
        <v>53850</v>
      </c>
      <c r="F26">
        <v>102</v>
      </c>
      <c r="G26" t="s">
        <v>56</v>
      </c>
      <c r="H26" t="s">
        <v>48</v>
      </c>
      <c r="I26" t="s">
        <v>49</v>
      </c>
      <c r="K26">
        <v>202504117888427</v>
      </c>
      <c r="L26">
        <v>1023308727580</v>
      </c>
      <c r="M26">
        <v>20250411</v>
      </c>
      <c r="N26" t="s">
        <v>193</v>
      </c>
      <c r="P26" t="s">
        <v>195</v>
      </c>
      <c r="Q26" t="s">
        <v>59</v>
      </c>
      <c r="R26">
        <v>34391.019999999997</v>
      </c>
      <c r="S26">
        <v>0</v>
      </c>
      <c r="T26">
        <v>3727650</v>
      </c>
      <c r="U26">
        <v>8924460721</v>
      </c>
      <c r="V26" t="s">
        <v>292</v>
      </c>
      <c r="W26" t="s">
        <v>57</v>
      </c>
      <c r="X26" t="s">
        <v>293</v>
      </c>
      <c r="Y26" t="s">
        <v>52</v>
      </c>
      <c r="Z26">
        <v>1306</v>
      </c>
      <c r="AH26">
        <v>0</v>
      </c>
      <c r="AI26">
        <v>202504</v>
      </c>
      <c r="AJ26" t="s">
        <v>179</v>
      </c>
      <c r="AK26">
        <v>1</v>
      </c>
      <c r="AL26">
        <v>1</v>
      </c>
      <c r="AO26">
        <v>0</v>
      </c>
      <c r="AP26">
        <v>999</v>
      </c>
      <c r="AQ26">
        <v>430</v>
      </c>
      <c r="AR26">
        <v>430999</v>
      </c>
      <c r="AT26">
        <v>1</v>
      </c>
      <c r="AU26" t="s">
        <v>58</v>
      </c>
      <c r="AV26" t="s">
        <v>262</v>
      </c>
      <c r="AW26">
        <v>5000</v>
      </c>
      <c r="AX26">
        <v>15712.4</v>
      </c>
      <c r="AY26">
        <v>18425.036</v>
      </c>
      <c r="AZ26">
        <v>19036</v>
      </c>
      <c r="BA26">
        <v>19840</v>
      </c>
      <c r="BB26">
        <v>20740</v>
      </c>
      <c r="BC26">
        <v>22473.462</v>
      </c>
      <c r="BD26">
        <v>23237.86</v>
      </c>
      <c r="BE26">
        <v>25000</v>
      </c>
      <c r="BF26">
        <v>27463.635999999999</v>
      </c>
      <c r="BG26">
        <v>30000</v>
      </c>
      <c r="BH26">
        <v>34610.514000000003</v>
      </c>
      <c r="BI26">
        <v>35046</v>
      </c>
      <c r="BJ26">
        <v>38582.447999999997</v>
      </c>
      <c r="BK26">
        <v>42006.79</v>
      </c>
      <c r="BL26">
        <v>50000</v>
      </c>
      <c r="BM26">
        <v>54336.774000000027</v>
      </c>
      <c r="BN26">
        <v>65042.055999999982</v>
      </c>
      <c r="BO26">
        <v>78281.780000000086</v>
      </c>
      <c r="BP26">
        <v>110403.728</v>
      </c>
      <c r="BQ26">
        <v>134983.79999999999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</row>
    <row r="27" spans="1:90" x14ac:dyDescent="0.35">
      <c r="A27">
        <v>329494</v>
      </c>
      <c r="B27" t="s">
        <v>257</v>
      </c>
      <c r="C27" t="s">
        <v>258</v>
      </c>
      <c r="D27" s="1">
        <v>45759</v>
      </c>
      <c r="E27">
        <v>53850</v>
      </c>
      <c r="F27">
        <v>102</v>
      </c>
      <c r="G27" t="s">
        <v>56</v>
      </c>
      <c r="H27" t="s">
        <v>48</v>
      </c>
      <c r="I27" t="s">
        <v>49</v>
      </c>
      <c r="K27">
        <v>202504117888165</v>
      </c>
      <c r="L27">
        <v>2583302250573</v>
      </c>
      <c r="M27">
        <v>20250411</v>
      </c>
      <c r="N27" t="s">
        <v>193</v>
      </c>
      <c r="P27" t="s">
        <v>259</v>
      </c>
      <c r="Q27" t="s">
        <v>59</v>
      </c>
      <c r="R27">
        <v>50650</v>
      </c>
      <c r="S27">
        <v>0</v>
      </c>
      <c r="T27">
        <v>4127428</v>
      </c>
      <c r="U27" t="s">
        <v>294</v>
      </c>
      <c r="V27" t="s">
        <v>295</v>
      </c>
      <c r="W27" t="s">
        <v>67</v>
      </c>
      <c r="X27" t="s">
        <v>296</v>
      </c>
      <c r="Y27" t="s">
        <v>52</v>
      </c>
      <c r="Z27">
        <v>1949</v>
      </c>
      <c r="AH27">
        <v>0</v>
      </c>
      <c r="AI27">
        <v>202504</v>
      </c>
      <c r="AJ27" t="s">
        <v>64</v>
      </c>
      <c r="AK27">
        <v>0</v>
      </c>
      <c r="AL27">
        <v>1</v>
      </c>
      <c r="AO27">
        <v>0</v>
      </c>
      <c r="AP27">
        <v>999</v>
      </c>
      <c r="AQ27">
        <v>615</v>
      </c>
      <c r="AR27">
        <v>615999</v>
      </c>
      <c r="AT27">
        <v>1</v>
      </c>
      <c r="AU27" t="s">
        <v>62</v>
      </c>
      <c r="AV27" t="s">
        <v>262</v>
      </c>
      <c r="AW27">
        <v>5000</v>
      </c>
      <c r="AX27">
        <v>15712.4</v>
      </c>
      <c r="AY27">
        <v>18425.036</v>
      </c>
      <c r="AZ27">
        <v>19036</v>
      </c>
      <c r="BA27">
        <v>19840</v>
      </c>
      <c r="BB27">
        <v>20740</v>
      </c>
      <c r="BC27">
        <v>22473.462</v>
      </c>
      <c r="BD27">
        <v>23237.86</v>
      </c>
      <c r="BE27">
        <v>25000</v>
      </c>
      <c r="BF27">
        <v>27463.635999999999</v>
      </c>
      <c r="BG27">
        <v>30000</v>
      </c>
      <c r="BH27">
        <v>34610.514000000003</v>
      </c>
      <c r="BI27">
        <v>35046</v>
      </c>
      <c r="BJ27">
        <v>38582.447999999997</v>
      </c>
      <c r="BK27">
        <v>42006.79</v>
      </c>
      <c r="BL27">
        <v>50000</v>
      </c>
      <c r="BM27">
        <v>54336.774000000027</v>
      </c>
      <c r="BN27">
        <v>65042.055999999982</v>
      </c>
      <c r="BO27">
        <v>78281.780000000086</v>
      </c>
      <c r="BP27">
        <v>110403.728</v>
      </c>
      <c r="BQ27">
        <v>134983.79999999999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</row>
    <row r="28" spans="1:90" x14ac:dyDescent="0.35">
      <c r="A28">
        <v>329457</v>
      </c>
      <c r="B28" t="s">
        <v>257</v>
      </c>
      <c r="C28" t="s">
        <v>258</v>
      </c>
      <c r="D28" s="1">
        <v>45758</v>
      </c>
      <c r="E28">
        <v>53850</v>
      </c>
      <c r="F28">
        <v>109</v>
      </c>
      <c r="G28" t="s">
        <v>69</v>
      </c>
      <c r="H28" t="s">
        <v>48</v>
      </c>
      <c r="I28" t="s">
        <v>49</v>
      </c>
      <c r="K28">
        <v>202504107885321</v>
      </c>
      <c r="L28">
        <v>1091147800171</v>
      </c>
      <c r="M28">
        <v>20250410</v>
      </c>
      <c r="N28" t="s">
        <v>193</v>
      </c>
      <c r="P28" t="s">
        <v>259</v>
      </c>
      <c r="Q28" t="s">
        <v>59</v>
      </c>
      <c r="R28">
        <v>110672.88</v>
      </c>
      <c r="S28">
        <v>0</v>
      </c>
      <c r="T28">
        <v>3173745</v>
      </c>
      <c r="U28">
        <v>254810724</v>
      </c>
      <c r="V28" t="s">
        <v>297</v>
      </c>
      <c r="W28" t="s">
        <v>57</v>
      </c>
      <c r="X28" t="s">
        <v>298</v>
      </c>
      <c r="Y28" t="s">
        <v>52</v>
      </c>
      <c r="Z28">
        <v>1696</v>
      </c>
      <c r="AH28">
        <v>0</v>
      </c>
      <c r="AI28">
        <v>202504</v>
      </c>
      <c r="AJ28" t="s">
        <v>64</v>
      </c>
      <c r="AK28">
        <v>0</v>
      </c>
      <c r="AL28">
        <v>1</v>
      </c>
      <c r="AO28">
        <v>0</v>
      </c>
      <c r="AP28">
        <v>999</v>
      </c>
      <c r="AQ28">
        <v>430</v>
      </c>
      <c r="AR28">
        <v>430999</v>
      </c>
      <c r="AT28">
        <v>1</v>
      </c>
      <c r="AU28" t="s">
        <v>58</v>
      </c>
      <c r="AV28" t="s">
        <v>262</v>
      </c>
      <c r="AW28">
        <v>5000</v>
      </c>
      <c r="AX28">
        <v>15712.4</v>
      </c>
      <c r="AY28">
        <v>18425.036</v>
      </c>
      <c r="AZ28">
        <v>19036</v>
      </c>
      <c r="BA28">
        <v>19840</v>
      </c>
      <c r="BB28">
        <v>20740</v>
      </c>
      <c r="BC28">
        <v>22473.462</v>
      </c>
      <c r="BD28">
        <v>23237.86</v>
      </c>
      <c r="BE28">
        <v>25000</v>
      </c>
      <c r="BF28">
        <v>27463.635999999999</v>
      </c>
      <c r="BG28">
        <v>30000</v>
      </c>
      <c r="BH28">
        <v>34610.514000000003</v>
      </c>
      <c r="BI28">
        <v>35046</v>
      </c>
      <c r="BJ28">
        <v>38582.447999999997</v>
      </c>
      <c r="BK28">
        <v>42006.79</v>
      </c>
      <c r="BL28">
        <v>50000</v>
      </c>
      <c r="BM28">
        <v>54336.774000000027</v>
      </c>
      <c r="BN28">
        <v>65042.055999999982</v>
      </c>
      <c r="BO28">
        <v>78281.780000000086</v>
      </c>
      <c r="BP28">
        <v>110403.728</v>
      </c>
      <c r="BQ28">
        <v>134983.79999999999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0</v>
      </c>
    </row>
    <row r="29" spans="1:90" x14ac:dyDescent="0.35">
      <c r="A29">
        <v>329448</v>
      </c>
      <c r="B29" t="s">
        <v>257</v>
      </c>
      <c r="C29" t="s">
        <v>258</v>
      </c>
      <c r="D29" s="1">
        <v>45758</v>
      </c>
      <c r="E29">
        <v>53850</v>
      </c>
      <c r="F29">
        <v>109</v>
      </c>
      <c r="G29" t="s">
        <v>69</v>
      </c>
      <c r="H29" t="s">
        <v>48</v>
      </c>
      <c r="I29" t="s">
        <v>49</v>
      </c>
      <c r="K29">
        <v>202504107885308</v>
      </c>
      <c r="L29">
        <v>1093306667367</v>
      </c>
      <c r="M29">
        <v>20250410</v>
      </c>
      <c r="N29" t="s">
        <v>193</v>
      </c>
      <c r="P29" t="s">
        <v>275</v>
      </c>
      <c r="Q29" t="s">
        <v>59</v>
      </c>
      <c r="R29">
        <v>66631.320000000007</v>
      </c>
      <c r="S29">
        <v>0</v>
      </c>
      <c r="T29">
        <v>4026861</v>
      </c>
      <c r="U29">
        <v>5195820724</v>
      </c>
      <c r="V29" t="s">
        <v>384</v>
      </c>
      <c r="W29" t="s">
        <v>57</v>
      </c>
      <c r="X29" t="s">
        <v>87</v>
      </c>
      <c r="Y29" t="s">
        <v>52</v>
      </c>
      <c r="Z29">
        <v>1696</v>
      </c>
      <c r="AH29">
        <v>0</v>
      </c>
      <c r="AI29">
        <v>202504</v>
      </c>
      <c r="AJ29" t="s">
        <v>64</v>
      </c>
      <c r="AK29">
        <v>0</v>
      </c>
      <c r="AL29">
        <v>1</v>
      </c>
      <c r="AM29">
        <v>4026861</v>
      </c>
      <c r="AN29">
        <v>1</v>
      </c>
      <c r="AO29">
        <v>0</v>
      </c>
      <c r="AP29">
        <v>477</v>
      </c>
      <c r="AQ29">
        <v>430</v>
      </c>
      <c r="AR29">
        <v>430477</v>
      </c>
      <c r="AS29" t="s">
        <v>62</v>
      </c>
      <c r="AU29" t="s">
        <v>62</v>
      </c>
      <c r="AV29" t="s">
        <v>262</v>
      </c>
      <c r="AW29">
        <v>5000</v>
      </c>
      <c r="AX29">
        <v>15712.4</v>
      </c>
      <c r="AY29">
        <v>18425.036</v>
      </c>
      <c r="AZ29">
        <v>19036</v>
      </c>
      <c r="BA29">
        <v>19840</v>
      </c>
      <c r="BB29">
        <v>20740</v>
      </c>
      <c r="BC29">
        <v>22473.462</v>
      </c>
      <c r="BD29">
        <v>23237.86</v>
      </c>
      <c r="BE29">
        <v>25000</v>
      </c>
      <c r="BF29">
        <v>27463.635999999999</v>
      </c>
      <c r="BG29">
        <v>30000</v>
      </c>
      <c r="BH29">
        <v>34610.514000000003</v>
      </c>
      <c r="BI29">
        <v>35046</v>
      </c>
      <c r="BJ29">
        <v>38582.447999999997</v>
      </c>
      <c r="BK29">
        <v>42006.79</v>
      </c>
      <c r="BL29">
        <v>50000</v>
      </c>
      <c r="BM29">
        <v>54336.774000000027</v>
      </c>
      <c r="BN29">
        <v>65042.055999999982</v>
      </c>
      <c r="BO29">
        <v>78281.780000000086</v>
      </c>
      <c r="BP29">
        <v>110403.728</v>
      </c>
      <c r="BQ29">
        <v>134983.79999999999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0</v>
      </c>
      <c r="CK29">
        <v>0</v>
      </c>
      <c r="CL29">
        <v>0</v>
      </c>
    </row>
    <row r="30" spans="1:90" x14ac:dyDescent="0.35">
      <c r="A30">
        <v>329429</v>
      </c>
      <c r="B30" t="s">
        <v>257</v>
      </c>
      <c r="C30" t="s">
        <v>258</v>
      </c>
      <c r="D30" s="1">
        <v>45757</v>
      </c>
      <c r="E30">
        <v>53850</v>
      </c>
      <c r="F30">
        <v>175</v>
      </c>
      <c r="G30" t="s">
        <v>66</v>
      </c>
      <c r="H30" t="s">
        <v>48</v>
      </c>
      <c r="I30" t="s">
        <v>49</v>
      </c>
      <c r="K30">
        <v>202504097882373</v>
      </c>
      <c r="L30">
        <v>1753302203813</v>
      </c>
      <c r="M30">
        <v>20250409</v>
      </c>
      <c r="N30" t="s">
        <v>193</v>
      </c>
      <c r="P30" t="s">
        <v>275</v>
      </c>
      <c r="Q30" t="s">
        <v>50</v>
      </c>
      <c r="R30">
        <v>48889.8</v>
      </c>
      <c r="S30">
        <v>0</v>
      </c>
      <c r="T30">
        <v>4907691</v>
      </c>
      <c r="U30">
        <v>1146400773</v>
      </c>
      <c r="V30" t="s">
        <v>299</v>
      </c>
      <c r="W30" t="s">
        <v>57</v>
      </c>
      <c r="X30" t="s">
        <v>199</v>
      </c>
      <c r="Y30" t="s">
        <v>52</v>
      </c>
      <c r="Z30">
        <v>1926</v>
      </c>
      <c r="AH30">
        <v>0</v>
      </c>
      <c r="AI30">
        <v>202504</v>
      </c>
      <c r="AJ30" t="s">
        <v>179</v>
      </c>
      <c r="AK30">
        <v>1</v>
      </c>
      <c r="AL30">
        <v>1</v>
      </c>
      <c r="AO30">
        <v>0</v>
      </c>
      <c r="AP30">
        <v>999</v>
      </c>
      <c r="AQ30">
        <v>430</v>
      </c>
      <c r="AR30">
        <v>430999</v>
      </c>
      <c r="AT30">
        <v>1</v>
      </c>
      <c r="AU30" t="s">
        <v>58</v>
      </c>
      <c r="AV30" t="s">
        <v>262</v>
      </c>
      <c r="AW30">
        <v>5000</v>
      </c>
      <c r="AX30">
        <v>15712.4</v>
      </c>
      <c r="AY30">
        <v>18425.036</v>
      </c>
      <c r="AZ30">
        <v>19036</v>
      </c>
      <c r="BA30">
        <v>19840</v>
      </c>
      <c r="BB30">
        <v>20740</v>
      </c>
      <c r="BC30">
        <v>22473.462</v>
      </c>
      <c r="BD30">
        <v>23237.86</v>
      </c>
      <c r="BE30">
        <v>25000</v>
      </c>
      <c r="BF30">
        <v>27463.635999999999</v>
      </c>
      <c r="BG30">
        <v>30000</v>
      </c>
      <c r="BH30">
        <v>34610.514000000003</v>
      </c>
      <c r="BI30">
        <v>35046</v>
      </c>
      <c r="BJ30">
        <v>38582.447999999997</v>
      </c>
      <c r="BK30">
        <v>42006.79</v>
      </c>
      <c r="BL30">
        <v>50000</v>
      </c>
      <c r="BM30">
        <v>54336.774000000027</v>
      </c>
      <c r="BN30">
        <v>65042.055999999982</v>
      </c>
      <c r="BO30">
        <v>78281.780000000086</v>
      </c>
      <c r="BP30">
        <v>110403.728</v>
      </c>
      <c r="BQ30">
        <v>134983.79999999999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</row>
    <row r="31" spans="1:90" x14ac:dyDescent="0.35">
      <c r="A31">
        <v>329415</v>
      </c>
      <c r="B31" t="s">
        <v>257</v>
      </c>
      <c r="C31" t="s">
        <v>258</v>
      </c>
      <c r="D31" s="1">
        <v>45757</v>
      </c>
      <c r="E31">
        <v>53850</v>
      </c>
      <c r="F31">
        <v>102</v>
      </c>
      <c r="G31" t="s">
        <v>56</v>
      </c>
      <c r="H31" t="s">
        <v>48</v>
      </c>
      <c r="I31" t="s">
        <v>49</v>
      </c>
      <c r="K31">
        <v>202504097882380</v>
      </c>
      <c r="L31">
        <v>1023308727580</v>
      </c>
      <c r="M31">
        <v>20250409</v>
      </c>
      <c r="N31" t="s">
        <v>193</v>
      </c>
      <c r="P31" t="s">
        <v>195</v>
      </c>
      <c r="Q31" t="s">
        <v>59</v>
      </c>
      <c r="R31">
        <v>39920</v>
      </c>
      <c r="S31">
        <v>0</v>
      </c>
      <c r="T31">
        <v>3727650</v>
      </c>
      <c r="U31">
        <v>8924460721</v>
      </c>
      <c r="V31" t="s">
        <v>292</v>
      </c>
      <c r="W31" t="s">
        <v>57</v>
      </c>
      <c r="X31" t="s">
        <v>293</v>
      </c>
      <c r="Y31" t="s">
        <v>52</v>
      </c>
      <c r="Z31">
        <v>1306</v>
      </c>
      <c r="AH31">
        <v>0</v>
      </c>
      <c r="AI31">
        <v>202504</v>
      </c>
      <c r="AJ31" t="s">
        <v>179</v>
      </c>
      <c r="AK31">
        <v>1</v>
      </c>
      <c r="AL31">
        <v>1</v>
      </c>
      <c r="AO31">
        <v>0</v>
      </c>
      <c r="AP31">
        <v>999</v>
      </c>
      <c r="AQ31">
        <v>430</v>
      </c>
      <c r="AR31">
        <v>430999</v>
      </c>
      <c r="AT31">
        <v>1</v>
      </c>
      <c r="AU31" t="s">
        <v>58</v>
      </c>
      <c r="AV31" t="s">
        <v>262</v>
      </c>
      <c r="AW31">
        <v>5000</v>
      </c>
      <c r="AX31">
        <v>15712.4</v>
      </c>
      <c r="AY31">
        <v>18425.036</v>
      </c>
      <c r="AZ31">
        <v>19036</v>
      </c>
      <c r="BA31">
        <v>19840</v>
      </c>
      <c r="BB31">
        <v>20740</v>
      </c>
      <c r="BC31">
        <v>22473.462</v>
      </c>
      <c r="BD31">
        <v>23237.86</v>
      </c>
      <c r="BE31">
        <v>25000</v>
      </c>
      <c r="BF31">
        <v>27463.635999999999</v>
      </c>
      <c r="BG31">
        <v>30000</v>
      </c>
      <c r="BH31">
        <v>34610.514000000003</v>
      </c>
      <c r="BI31">
        <v>35046</v>
      </c>
      <c r="BJ31">
        <v>38582.447999999997</v>
      </c>
      <c r="BK31">
        <v>42006.79</v>
      </c>
      <c r="BL31">
        <v>50000</v>
      </c>
      <c r="BM31">
        <v>54336.774000000027</v>
      </c>
      <c r="BN31">
        <v>65042.055999999982</v>
      </c>
      <c r="BO31">
        <v>78281.780000000086</v>
      </c>
      <c r="BP31">
        <v>110403.728</v>
      </c>
      <c r="BQ31">
        <v>134983.79999999999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</row>
    <row r="32" spans="1:90" x14ac:dyDescent="0.35">
      <c r="A32">
        <v>329392</v>
      </c>
      <c r="B32" t="s">
        <v>257</v>
      </c>
      <c r="C32" t="s">
        <v>258</v>
      </c>
      <c r="D32" s="1">
        <v>45756</v>
      </c>
      <c r="E32">
        <v>53850</v>
      </c>
      <c r="F32">
        <v>110</v>
      </c>
      <c r="G32" t="s">
        <v>89</v>
      </c>
      <c r="H32" t="s">
        <v>48</v>
      </c>
      <c r="I32" t="s">
        <v>49</v>
      </c>
      <c r="K32">
        <v>202504087879265</v>
      </c>
      <c r="L32">
        <v>1103306288240</v>
      </c>
      <c r="M32">
        <v>20250408</v>
      </c>
      <c r="N32" t="s">
        <v>193</v>
      </c>
      <c r="P32" t="s">
        <v>287</v>
      </c>
      <c r="Q32" t="s">
        <v>59</v>
      </c>
      <c r="R32">
        <v>190533.79</v>
      </c>
      <c r="S32">
        <v>0</v>
      </c>
      <c r="T32">
        <v>4960705</v>
      </c>
      <c r="U32">
        <v>8520490726</v>
      </c>
      <c r="V32" t="s">
        <v>288</v>
      </c>
      <c r="W32" t="s">
        <v>57</v>
      </c>
      <c r="X32" t="s">
        <v>85</v>
      </c>
      <c r="Y32" t="s">
        <v>52</v>
      </c>
      <c r="Z32">
        <v>1696</v>
      </c>
      <c r="AH32">
        <v>0</v>
      </c>
      <c r="AI32">
        <v>202504</v>
      </c>
      <c r="AJ32" t="s">
        <v>55</v>
      </c>
      <c r="AK32">
        <v>0</v>
      </c>
      <c r="AL32">
        <v>1</v>
      </c>
      <c r="AO32">
        <v>0</v>
      </c>
      <c r="AP32">
        <v>464</v>
      </c>
      <c r="AQ32">
        <v>430</v>
      </c>
      <c r="AR32">
        <v>430464</v>
      </c>
      <c r="AS32" t="s">
        <v>86</v>
      </c>
      <c r="AU32" t="s">
        <v>86</v>
      </c>
      <c r="AV32" t="s">
        <v>281</v>
      </c>
      <c r="AW32">
        <v>35255.730000000003</v>
      </c>
      <c r="AX32">
        <v>40532.292000000001</v>
      </c>
      <c r="AY32">
        <v>44318.877999999997</v>
      </c>
      <c r="AZ32">
        <v>45125.512000000002</v>
      </c>
      <c r="BA32">
        <v>47063.91</v>
      </c>
      <c r="BB32">
        <v>49568.19</v>
      </c>
      <c r="BC32">
        <v>51155.741999999998</v>
      </c>
      <c r="BD32">
        <v>53646.266000000003</v>
      </c>
      <c r="BE32">
        <v>57942.733999999997</v>
      </c>
      <c r="BF32">
        <v>60683.345999999998</v>
      </c>
      <c r="BG32">
        <v>62646.03</v>
      </c>
      <c r="BH32">
        <v>136475.66400000011</v>
      </c>
      <c r="BI32">
        <v>186663.09400000001</v>
      </c>
      <c r="BJ32">
        <v>189566.11600000001</v>
      </c>
      <c r="BK32">
        <v>195938.15400000001</v>
      </c>
      <c r="BL32">
        <v>204044.7</v>
      </c>
      <c r="BM32">
        <v>227373.3000000001</v>
      </c>
      <c r="BN32">
        <v>252854.712</v>
      </c>
      <c r="BO32">
        <v>282641.74800000002</v>
      </c>
      <c r="BP32">
        <v>294996.82</v>
      </c>
      <c r="BQ32">
        <v>298635.90999999997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</row>
    <row r="33" spans="1:90" x14ac:dyDescent="0.35">
      <c r="A33">
        <v>329379</v>
      </c>
      <c r="B33" t="s">
        <v>257</v>
      </c>
      <c r="C33" t="s">
        <v>258</v>
      </c>
      <c r="D33" s="1">
        <v>45756</v>
      </c>
      <c r="E33">
        <v>53850</v>
      </c>
      <c r="F33">
        <v>125</v>
      </c>
      <c r="G33" t="s">
        <v>68</v>
      </c>
      <c r="H33" t="s">
        <v>48</v>
      </c>
      <c r="I33" t="s">
        <v>49</v>
      </c>
      <c r="K33">
        <v>202504087879279</v>
      </c>
      <c r="L33">
        <v>1253300003471</v>
      </c>
      <c r="M33">
        <v>20250408</v>
      </c>
      <c r="N33" t="s">
        <v>193</v>
      </c>
      <c r="P33" t="s">
        <v>195</v>
      </c>
      <c r="Q33" t="s">
        <v>50</v>
      </c>
      <c r="R33">
        <v>23319.200000000001</v>
      </c>
      <c r="S33">
        <v>0</v>
      </c>
      <c r="T33">
        <v>3735747</v>
      </c>
      <c r="U33">
        <v>9507921212</v>
      </c>
      <c r="V33" t="s">
        <v>300</v>
      </c>
      <c r="W33" t="s">
        <v>57</v>
      </c>
      <c r="X33" t="s">
        <v>76</v>
      </c>
      <c r="Y33" t="s">
        <v>52</v>
      </c>
      <c r="AH33">
        <v>0</v>
      </c>
      <c r="AI33">
        <v>202504</v>
      </c>
      <c r="AJ33" t="s">
        <v>64</v>
      </c>
      <c r="AK33">
        <v>0</v>
      </c>
      <c r="AL33">
        <v>1</v>
      </c>
      <c r="AO33">
        <v>0</v>
      </c>
      <c r="AP33">
        <v>463</v>
      </c>
      <c r="AQ33">
        <v>430</v>
      </c>
      <c r="AR33">
        <v>430463</v>
      </c>
      <c r="AS33" t="s">
        <v>62</v>
      </c>
      <c r="AU33" t="s">
        <v>62</v>
      </c>
      <c r="AV33" t="s">
        <v>262</v>
      </c>
      <c r="AW33">
        <v>5000</v>
      </c>
      <c r="AX33">
        <v>15712.4</v>
      </c>
      <c r="AY33">
        <v>18425.036</v>
      </c>
      <c r="AZ33">
        <v>19036</v>
      </c>
      <c r="BA33">
        <v>19840</v>
      </c>
      <c r="BB33">
        <v>20740</v>
      </c>
      <c r="BC33">
        <v>22473.462</v>
      </c>
      <c r="BD33">
        <v>23237.86</v>
      </c>
      <c r="BE33">
        <v>25000</v>
      </c>
      <c r="BF33">
        <v>27463.635999999999</v>
      </c>
      <c r="BG33">
        <v>30000</v>
      </c>
      <c r="BH33">
        <v>34610.514000000003</v>
      </c>
      <c r="BI33">
        <v>35046</v>
      </c>
      <c r="BJ33">
        <v>38582.447999999997</v>
      </c>
      <c r="BK33">
        <v>42006.79</v>
      </c>
      <c r="BL33">
        <v>50000</v>
      </c>
      <c r="BM33">
        <v>54336.774000000027</v>
      </c>
      <c r="BN33">
        <v>65042.055999999982</v>
      </c>
      <c r="BO33">
        <v>78281.780000000086</v>
      </c>
      <c r="BP33">
        <v>110403.728</v>
      </c>
      <c r="BQ33">
        <v>134983.79999999999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</row>
    <row r="34" spans="1:90" x14ac:dyDescent="0.35">
      <c r="A34">
        <v>329341</v>
      </c>
      <c r="B34" t="s">
        <v>257</v>
      </c>
      <c r="C34" t="s">
        <v>258</v>
      </c>
      <c r="D34" s="1">
        <v>45755</v>
      </c>
      <c r="E34">
        <v>53850</v>
      </c>
      <c r="F34">
        <v>141</v>
      </c>
      <c r="G34" t="s">
        <v>79</v>
      </c>
      <c r="H34" t="s">
        <v>48</v>
      </c>
      <c r="I34" t="s">
        <v>49</v>
      </c>
      <c r="K34">
        <v>202504077874267</v>
      </c>
      <c r="L34">
        <v>1413300003985</v>
      </c>
      <c r="M34">
        <v>20250407</v>
      </c>
      <c r="N34" t="s">
        <v>193</v>
      </c>
      <c r="P34" t="s">
        <v>259</v>
      </c>
      <c r="Q34" t="s">
        <v>50</v>
      </c>
      <c r="R34">
        <v>35000</v>
      </c>
      <c r="S34">
        <v>0</v>
      </c>
      <c r="T34">
        <v>4996689</v>
      </c>
      <c r="U34">
        <v>80010360750</v>
      </c>
      <c r="V34" t="s">
        <v>82</v>
      </c>
      <c r="W34" t="s">
        <v>57</v>
      </c>
      <c r="X34" t="s">
        <v>83</v>
      </c>
      <c r="Y34" t="s">
        <v>52</v>
      </c>
      <c r="Z34">
        <v>1940</v>
      </c>
      <c r="AH34">
        <v>0</v>
      </c>
      <c r="AI34">
        <v>202504</v>
      </c>
      <c r="AJ34" t="s">
        <v>64</v>
      </c>
      <c r="AK34">
        <v>0</v>
      </c>
      <c r="AL34">
        <v>1</v>
      </c>
      <c r="AO34">
        <v>0</v>
      </c>
      <c r="AP34">
        <v>931</v>
      </c>
      <c r="AQ34">
        <v>430</v>
      </c>
      <c r="AR34">
        <v>430931</v>
      </c>
      <c r="AS34" t="s">
        <v>62</v>
      </c>
      <c r="AU34" t="s">
        <v>62</v>
      </c>
      <c r="AV34" t="s">
        <v>262</v>
      </c>
      <c r="AW34">
        <v>5000</v>
      </c>
      <c r="AX34">
        <v>15712.4</v>
      </c>
      <c r="AY34">
        <v>18425.036</v>
      </c>
      <c r="AZ34">
        <v>19036</v>
      </c>
      <c r="BA34">
        <v>19840</v>
      </c>
      <c r="BB34">
        <v>20740</v>
      </c>
      <c r="BC34">
        <v>22473.462</v>
      </c>
      <c r="BD34">
        <v>23237.86</v>
      </c>
      <c r="BE34">
        <v>25000</v>
      </c>
      <c r="BF34">
        <v>27463.635999999999</v>
      </c>
      <c r="BG34">
        <v>30000</v>
      </c>
      <c r="BH34">
        <v>34610.514000000003</v>
      </c>
      <c r="BI34">
        <v>35046</v>
      </c>
      <c r="BJ34">
        <v>38582.447999999997</v>
      </c>
      <c r="BK34">
        <v>42006.79</v>
      </c>
      <c r="BL34">
        <v>50000</v>
      </c>
      <c r="BM34">
        <v>54336.774000000027</v>
      </c>
      <c r="BN34">
        <v>65042.055999999982</v>
      </c>
      <c r="BO34">
        <v>78281.780000000086</v>
      </c>
      <c r="BP34">
        <v>110403.728</v>
      </c>
      <c r="BQ34">
        <v>134983.79999999999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</row>
    <row r="35" spans="1:90" x14ac:dyDescent="0.35">
      <c r="A35">
        <v>329274</v>
      </c>
      <c r="B35" t="s">
        <v>257</v>
      </c>
      <c r="C35" t="s">
        <v>258</v>
      </c>
      <c r="D35" s="1">
        <v>45752</v>
      </c>
      <c r="E35">
        <v>53850</v>
      </c>
      <c r="F35">
        <v>226</v>
      </c>
      <c r="G35" t="s">
        <v>185</v>
      </c>
      <c r="H35" t="s">
        <v>48</v>
      </c>
      <c r="I35" t="s">
        <v>49</v>
      </c>
      <c r="K35">
        <v>202504047867639</v>
      </c>
      <c r="L35">
        <v>1453300003928</v>
      </c>
      <c r="M35">
        <v>20250404</v>
      </c>
      <c r="N35" t="s">
        <v>193</v>
      </c>
      <c r="P35" t="s">
        <v>259</v>
      </c>
      <c r="Q35" t="s">
        <v>59</v>
      </c>
      <c r="R35">
        <v>48000</v>
      </c>
      <c r="S35">
        <v>0</v>
      </c>
      <c r="T35">
        <v>3726295</v>
      </c>
      <c r="U35">
        <v>10503411216</v>
      </c>
      <c r="V35" t="s">
        <v>301</v>
      </c>
      <c r="W35" t="s">
        <v>57</v>
      </c>
      <c r="X35" t="s">
        <v>302</v>
      </c>
      <c r="Y35" t="s">
        <v>52</v>
      </c>
      <c r="Z35">
        <v>1932</v>
      </c>
      <c r="AH35">
        <v>0</v>
      </c>
      <c r="AI35">
        <v>202504</v>
      </c>
      <c r="AJ35" t="s">
        <v>189</v>
      </c>
      <c r="AK35">
        <v>1</v>
      </c>
      <c r="AL35">
        <v>1</v>
      </c>
      <c r="AO35">
        <v>0</v>
      </c>
      <c r="AP35">
        <v>999</v>
      </c>
      <c r="AQ35">
        <v>430</v>
      </c>
      <c r="AR35">
        <v>430999</v>
      </c>
      <c r="AT35">
        <v>1</v>
      </c>
      <c r="AU35" t="s">
        <v>58</v>
      </c>
      <c r="AV35" t="s">
        <v>262</v>
      </c>
      <c r="AW35">
        <v>5000</v>
      </c>
      <c r="AX35">
        <v>15712.4</v>
      </c>
      <c r="AY35">
        <v>18425.036</v>
      </c>
      <c r="AZ35">
        <v>19036</v>
      </c>
      <c r="BA35">
        <v>19840</v>
      </c>
      <c r="BB35">
        <v>20740</v>
      </c>
      <c r="BC35">
        <v>22473.462</v>
      </c>
      <c r="BD35">
        <v>23237.86</v>
      </c>
      <c r="BE35">
        <v>25000</v>
      </c>
      <c r="BF35">
        <v>27463.635999999999</v>
      </c>
      <c r="BG35">
        <v>30000</v>
      </c>
      <c r="BH35">
        <v>34610.514000000003</v>
      </c>
      <c r="BI35">
        <v>35046</v>
      </c>
      <c r="BJ35">
        <v>38582.447999999997</v>
      </c>
      <c r="BK35">
        <v>42006.79</v>
      </c>
      <c r="BL35">
        <v>50000</v>
      </c>
      <c r="BM35">
        <v>54336.774000000027</v>
      </c>
      <c r="BN35">
        <v>65042.055999999982</v>
      </c>
      <c r="BO35">
        <v>78281.780000000086</v>
      </c>
      <c r="BP35">
        <v>110403.728</v>
      </c>
      <c r="BQ35">
        <v>134983.79999999999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</row>
    <row r="36" spans="1:90" x14ac:dyDescent="0.35">
      <c r="A36">
        <v>329256</v>
      </c>
      <c r="B36" t="s">
        <v>257</v>
      </c>
      <c r="C36" t="s">
        <v>258</v>
      </c>
      <c r="D36" s="1">
        <v>45751</v>
      </c>
      <c r="E36">
        <v>53850</v>
      </c>
      <c r="F36">
        <v>136</v>
      </c>
      <c r="G36" t="s">
        <v>70</v>
      </c>
      <c r="H36" t="s">
        <v>48</v>
      </c>
      <c r="I36" t="s">
        <v>49</v>
      </c>
      <c r="K36">
        <v>202504037865363</v>
      </c>
      <c r="L36">
        <v>1363300004021</v>
      </c>
      <c r="M36">
        <v>20250403</v>
      </c>
      <c r="N36" t="s">
        <v>193</v>
      </c>
      <c r="P36" t="s">
        <v>272</v>
      </c>
      <c r="Q36" t="s">
        <v>59</v>
      </c>
      <c r="R36">
        <v>40161.040000000001</v>
      </c>
      <c r="S36">
        <v>0</v>
      </c>
      <c r="T36">
        <v>4943632</v>
      </c>
      <c r="U36">
        <v>1429720749</v>
      </c>
      <c r="V36" t="s">
        <v>303</v>
      </c>
      <c r="W36" t="s">
        <v>57</v>
      </c>
      <c r="X36" t="s">
        <v>78</v>
      </c>
      <c r="Y36" t="s">
        <v>52</v>
      </c>
      <c r="Z36">
        <v>1627</v>
      </c>
      <c r="AH36">
        <v>0</v>
      </c>
      <c r="AI36">
        <v>202504</v>
      </c>
      <c r="AJ36" t="s">
        <v>179</v>
      </c>
      <c r="AK36">
        <v>1</v>
      </c>
      <c r="AL36">
        <v>1</v>
      </c>
      <c r="AO36">
        <v>0</v>
      </c>
      <c r="AP36">
        <v>999</v>
      </c>
      <c r="AQ36">
        <v>430</v>
      </c>
      <c r="AR36">
        <v>430999</v>
      </c>
      <c r="AT36">
        <v>1</v>
      </c>
      <c r="AU36" t="s">
        <v>58</v>
      </c>
      <c r="AV36" t="s">
        <v>262</v>
      </c>
      <c r="AW36">
        <v>5000</v>
      </c>
      <c r="AX36">
        <v>15712.4</v>
      </c>
      <c r="AY36">
        <v>18425.036</v>
      </c>
      <c r="AZ36">
        <v>19036</v>
      </c>
      <c r="BA36">
        <v>19840</v>
      </c>
      <c r="BB36">
        <v>20740</v>
      </c>
      <c r="BC36">
        <v>22473.462</v>
      </c>
      <c r="BD36">
        <v>23237.86</v>
      </c>
      <c r="BE36">
        <v>25000</v>
      </c>
      <c r="BF36">
        <v>27463.635999999999</v>
      </c>
      <c r="BG36">
        <v>30000</v>
      </c>
      <c r="BH36">
        <v>34610.514000000003</v>
      </c>
      <c r="BI36">
        <v>35046</v>
      </c>
      <c r="BJ36">
        <v>38582.447999999997</v>
      </c>
      <c r="BK36">
        <v>42006.79</v>
      </c>
      <c r="BL36">
        <v>50000</v>
      </c>
      <c r="BM36">
        <v>54336.774000000027</v>
      </c>
      <c r="BN36">
        <v>65042.055999999982</v>
      </c>
      <c r="BO36">
        <v>78281.780000000086</v>
      </c>
      <c r="BP36">
        <v>110403.728</v>
      </c>
      <c r="BQ36">
        <v>134983.79999999999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</row>
    <row r="37" spans="1:90" x14ac:dyDescent="0.35">
      <c r="A37">
        <v>329253</v>
      </c>
      <c r="B37" t="s">
        <v>257</v>
      </c>
      <c r="C37" t="s">
        <v>258</v>
      </c>
      <c r="D37" s="1">
        <v>45751</v>
      </c>
      <c r="E37">
        <v>53850</v>
      </c>
      <c r="F37">
        <v>108</v>
      </c>
      <c r="G37" t="s">
        <v>99</v>
      </c>
      <c r="H37" t="s">
        <v>48</v>
      </c>
      <c r="I37" t="s">
        <v>49</v>
      </c>
      <c r="K37">
        <v>202504037865354</v>
      </c>
      <c r="L37">
        <v>1081204983779</v>
      </c>
      <c r="M37">
        <v>20250403</v>
      </c>
      <c r="N37" t="s">
        <v>193</v>
      </c>
      <c r="P37" t="s">
        <v>279</v>
      </c>
      <c r="Q37" t="s">
        <v>50</v>
      </c>
      <c r="R37">
        <v>59374.89</v>
      </c>
      <c r="S37">
        <v>0</v>
      </c>
      <c r="T37">
        <v>4983779</v>
      </c>
      <c r="U37">
        <v>5371200725</v>
      </c>
      <c r="V37" t="s">
        <v>280</v>
      </c>
      <c r="W37" t="s">
        <v>57</v>
      </c>
      <c r="X37" t="s">
        <v>100</v>
      </c>
      <c r="Y37" t="s">
        <v>52</v>
      </c>
      <c r="Z37">
        <v>1058</v>
      </c>
      <c r="AH37">
        <v>0</v>
      </c>
      <c r="AI37">
        <v>202504</v>
      </c>
      <c r="AJ37" t="s">
        <v>55</v>
      </c>
      <c r="AK37">
        <v>0</v>
      </c>
      <c r="AL37">
        <v>1</v>
      </c>
      <c r="AO37">
        <v>0</v>
      </c>
      <c r="AP37">
        <v>999</v>
      </c>
      <c r="AQ37">
        <v>430</v>
      </c>
      <c r="AR37">
        <v>430999</v>
      </c>
      <c r="AT37">
        <v>1</v>
      </c>
      <c r="AU37" t="s">
        <v>58</v>
      </c>
      <c r="AV37" t="s">
        <v>281</v>
      </c>
      <c r="AW37">
        <v>35255.730000000003</v>
      </c>
      <c r="AX37">
        <v>40532.292000000001</v>
      </c>
      <c r="AY37">
        <v>44318.877999999997</v>
      </c>
      <c r="AZ37">
        <v>45125.512000000002</v>
      </c>
      <c r="BA37">
        <v>47063.91</v>
      </c>
      <c r="BB37">
        <v>49568.19</v>
      </c>
      <c r="BC37">
        <v>51155.741999999998</v>
      </c>
      <c r="BD37">
        <v>53646.266000000003</v>
      </c>
      <c r="BE37">
        <v>57942.733999999997</v>
      </c>
      <c r="BF37">
        <v>60683.345999999998</v>
      </c>
      <c r="BG37">
        <v>62646.03</v>
      </c>
      <c r="BH37">
        <v>136475.66400000011</v>
      </c>
      <c r="BI37">
        <v>186663.09400000001</v>
      </c>
      <c r="BJ37">
        <v>189566.11600000001</v>
      </c>
      <c r="BK37">
        <v>195938.15400000001</v>
      </c>
      <c r="BL37">
        <v>204044.7</v>
      </c>
      <c r="BM37">
        <v>227373.3000000001</v>
      </c>
      <c r="BN37">
        <v>252854.712</v>
      </c>
      <c r="BO37">
        <v>282641.74800000002</v>
      </c>
      <c r="BP37">
        <v>294996.82</v>
      </c>
      <c r="BQ37">
        <v>298635.90999999997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</row>
    <row r="38" spans="1:90" x14ac:dyDescent="0.35">
      <c r="A38">
        <v>329251</v>
      </c>
      <c r="B38" t="s">
        <v>257</v>
      </c>
      <c r="C38" t="s">
        <v>258</v>
      </c>
      <c r="D38" s="1">
        <v>45751</v>
      </c>
      <c r="E38">
        <v>53850</v>
      </c>
      <c r="F38">
        <v>108</v>
      </c>
      <c r="G38" t="s">
        <v>99</v>
      </c>
      <c r="H38" t="s">
        <v>48</v>
      </c>
      <c r="I38" t="s">
        <v>49</v>
      </c>
      <c r="K38">
        <v>202504037865352</v>
      </c>
      <c r="L38">
        <v>1081204983779</v>
      </c>
      <c r="M38">
        <v>20250403</v>
      </c>
      <c r="N38" t="s">
        <v>193</v>
      </c>
      <c r="P38" t="s">
        <v>279</v>
      </c>
      <c r="Q38" t="s">
        <v>50</v>
      </c>
      <c r="R38">
        <v>52214.11</v>
      </c>
      <c r="S38">
        <v>0</v>
      </c>
      <c r="T38">
        <v>4983779</v>
      </c>
      <c r="U38">
        <v>5371200725</v>
      </c>
      <c r="V38" t="s">
        <v>280</v>
      </c>
      <c r="W38" t="s">
        <v>57</v>
      </c>
      <c r="X38" t="s">
        <v>100</v>
      </c>
      <c r="Y38" t="s">
        <v>52</v>
      </c>
      <c r="Z38">
        <v>1058</v>
      </c>
      <c r="AH38">
        <v>0</v>
      </c>
      <c r="AI38">
        <v>202504</v>
      </c>
      <c r="AJ38" t="s">
        <v>55</v>
      </c>
      <c r="AK38">
        <v>0</v>
      </c>
      <c r="AL38">
        <v>1</v>
      </c>
      <c r="AO38">
        <v>0</v>
      </c>
      <c r="AP38">
        <v>999</v>
      </c>
      <c r="AQ38">
        <v>430</v>
      </c>
      <c r="AR38">
        <v>430999</v>
      </c>
      <c r="AT38">
        <v>1</v>
      </c>
      <c r="AU38" t="s">
        <v>58</v>
      </c>
      <c r="AV38" t="s">
        <v>281</v>
      </c>
      <c r="AW38">
        <v>35255.730000000003</v>
      </c>
      <c r="AX38">
        <v>40532.292000000001</v>
      </c>
      <c r="AY38">
        <v>44318.877999999997</v>
      </c>
      <c r="AZ38">
        <v>45125.512000000002</v>
      </c>
      <c r="BA38">
        <v>47063.91</v>
      </c>
      <c r="BB38">
        <v>49568.19</v>
      </c>
      <c r="BC38">
        <v>51155.741999999998</v>
      </c>
      <c r="BD38">
        <v>53646.266000000003</v>
      </c>
      <c r="BE38">
        <v>57942.733999999997</v>
      </c>
      <c r="BF38">
        <v>60683.345999999998</v>
      </c>
      <c r="BG38">
        <v>62646.03</v>
      </c>
      <c r="BH38">
        <v>136475.66400000011</v>
      </c>
      <c r="BI38">
        <v>186663.09400000001</v>
      </c>
      <c r="BJ38">
        <v>189566.11600000001</v>
      </c>
      <c r="BK38">
        <v>195938.15400000001</v>
      </c>
      <c r="BL38">
        <v>204044.7</v>
      </c>
      <c r="BM38">
        <v>227373.3000000001</v>
      </c>
      <c r="BN38">
        <v>252854.712</v>
      </c>
      <c r="BO38">
        <v>282641.74800000002</v>
      </c>
      <c r="BP38">
        <v>294996.82</v>
      </c>
      <c r="BQ38">
        <v>298635.90999999997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</row>
    <row r="39" spans="1:90" x14ac:dyDescent="0.35">
      <c r="A39">
        <v>329250</v>
      </c>
      <c r="B39" t="s">
        <v>257</v>
      </c>
      <c r="C39" t="s">
        <v>258</v>
      </c>
      <c r="D39" s="1">
        <v>45751</v>
      </c>
      <c r="E39">
        <v>53850</v>
      </c>
      <c r="F39">
        <v>108</v>
      </c>
      <c r="G39" t="s">
        <v>99</v>
      </c>
      <c r="H39" t="s">
        <v>48</v>
      </c>
      <c r="I39" t="s">
        <v>49</v>
      </c>
      <c r="K39">
        <v>202504037865358</v>
      </c>
      <c r="L39">
        <v>1081204983779</v>
      </c>
      <c r="M39">
        <v>20250403</v>
      </c>
      <c r="N39" t="s">
        <v>193</v>
      </c>
      <c r="P39" t="s">
        <v>279</v>
      </c>
      <c r="Q39" t="s">
        <v>50</v>
      </c>
      <c r="R39">
        <v>185695.42</v>
      </c>
      <c r="S39">
        <v>0</v>
      </c>
      <c r="T39">
        <v>4983779</v>
      </c>
      <c r="U39">
        <v>5371200725</v>
      </c>
      <c r="V39" t="s">
        <v>280</v>
      </c>
      <c r="W39" t="s">
        <v>57</v>
      </c>
      <c r="X39" t="s">
        <v>100</v>
      </c>
      <c r="Y39" t="s">
        <v>52</v>
      </c>
      <c r="Z39">
        <v>1058</v>
      </c>
      <c r="AH39">
        <v>0</v>
      </c>
      <c r="AI39">
        <v>202504</v>
      </c>
      <c r="AJ39" t="s">
        <v>55</v>
      </c>
      <c r="AK39">
        <v>0</v>
      </c>
      <c r="AL39">
        <v>1</v>
      </c>
      <c r="AO39">
        <v>0</v>
      </c>
      <c r="AP39">
        <v>999</v>
      </c>
      <c r="AQ39">
        <v>430</v>
      </c>
      <c r="AR39">
        <v>430999</v>
      </c>
      <c r="AT39">
        <v>1</v>
      </c>
      <c r="AU39" t="s">
        <v>58</v>
      </c>
      <c r="AV39" t="s">
        <v>281</v>
      </c>
      <c r="AW39">
        <v>35255.730000000003</v>
      </c>
      <c r="AX39">
        <v>40532.292000000001</v>
      </c>
      <c r="AY39">
        <v>44318.877999999997</v>
      </c>
      <c r="AZ39">
        <v>45125.512000000002</v>
      </c>
      <c r="BA39">
        <v>47063.91</v>
      </c>
      <c r="BB39">
        <v>49568.19</v>
      </c>
      <c r="BC39">
        <v>51155.741999999998</v>
      </c>
      <c r="BD39">
        <v>53646.266000000003</v>
      </c>
      <c r="BE39">
        <v>57942.733999999997</v>
      </c>
      <c r="BF39">
        <v>60683.345999999998</v>
      </c>
      <c r="BG39">
        <v>62646.03</v>
      </c>
      <c r="BH39">
        <v>136475.66400000011</v>
      </c>
      <c r="BI39">
        <v>186663.09400000001</v>
      </c>
      <c r="BJ39">
        <v>189566.11600000001</v>
      </c>
      <c r="BK39">
        <v>195938.15400000001</v>
      </c>
      <c r="BL39">
        <v>204044.7</v>
      </c>
      <c r="BM39">
        <v>227373.3000000001</v>
      </c>
      <c r="BN39">
        <v>252854.712</v>
      </c>
      <c r="BO39">
        <v>282641.74800000002</v>
      </c>
      <c r="BP39">
        <v>294996.82</v>
      </c>
      <c r="BQ39">
        <v>298635.90999999997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</row>
    <row r="40" spans="1:90" x14ac:dyDescent="0.35">
      <c r="A40">
        <v>329247</v>
      </c>
      <c r="B40" t="s">
        <v>257</v>
      </c>
      <c r="C40" t="s">
        <v>258</v>
      </c>
      <c r="D40" s="1">
        <v>45751</v>
      </c>
      <c r="E40">
        <v>53850</v>
      </c>
      <c r="F40">
        <v>108</v>
      </c>
      <c r="G40" t="s">
        <v>99</v>
      </c>
      <c r="H40" t="s">
        <v>48</v>
      </c>
      <c r="I40" t="s">
        <v>49</v>
      </c>
      <c r="K40">
        <v>202504037865350</v>
      </c>
      <c r="L40">
        <v>1081204983779</v>
      </c>
      <c r="M40">
        <v>20250403</v>
      </c>
      <c r="N40" t="s">
        <v>193</v>
      </c>
      <c r="P40" t="s">
        <v>279</v>
      </c>
      <c r="Q40" t="s">
        <v>50</v>
      </c>
      <c r="R40">
        <v>49568.19</v>
      </c>
      <c r="S40">
        <v>0</v>
      </c>
      <c r="T40">
        <v>4983779</v>
      </c>
      <c r="U40">
        <v>5371200725</v>
      </c>
      <c r="V40" t="s">
        <v>280</v>
      </c>
      <c r="W40" t="s">
        <v>57</v>
      </c>
      <c r="X40" t="s">
        <v>100</v>
      </c>
      <c r="Y40" t="s">
        <v>52</v>
      </c>
      <c r="Z40">
        <v>1058</v>
      </c>
      <c r="AH40">
        <v>0</v>
      </c>
      <c r="AI40">
        <v>202504</v>
      </c>
      <c r="AJ40" t="s">
        <v>55</v>
      </c>
      <c r="AK40">
        <v>0</v>
      </c>
      <c r="AL40">
        <v>1</v>
      </c>
      <c r="AO40">
        <v>0</v>
      </c>
      <c r="AP40">
        <v>999</v>
      </c>
      <c r="AQ40">
        <v>430</v>
      </c>
      <c r="AR40">
        <v>430999</v>
      </c>
      <c r="AT40">
        <v>1</v>
      </c>
      <c r="AU40" t="s">
        <v>58</v>
      </c>
      <c r="AV40" t="s">
        <v>281</v>
      </c>
      <c r="AW40">
        <v>35255.730000000003</v>
      </c>
      <c r="AX40">
        <v>40532.292000000001</v>
      </c>
      <c r="AY40">
        <v>44318.877999999997</v>
      </c>
      <c r="AZ40">
        <v>45125.512000000002</v>
      </c>
      <c r="BA40">
        <v>47063.91</v>
      </c>
      <c r="BB40">
        <v>49568.19</v>
      </c>
      <c r="BC40">
        <v>51155.741999999998</v>
      </c>
      <c r="BD40">
        <v>53646.266000000003</v>
      </c>
      <c r="BE40">
        <v>57942.733999999997</v>
      </c>
      <c r="BF40">
        <v>60683.345999999998</v>
      </c>
      <c r="BG40">
        <v>62646.03</v>
      </c>
      <c r="BH40">
        <v>136475.66400000011</v>
      </c>
      <c r="BI40">
        <v>186663.09400000001</v>
      </c>
      <c r="BJ40">
        <v>189566.11600000001</v>
      </c>
      <c r="BK40">
        <v>195938.15400000001</v>
      </c>
      <c r="BL40">
        <v>204044.7</v>
      </c>
      <c r="BM40">
        <v>227373.3000000001</v>
      </c>
      <c r="BN40">
        <v>252854.712</v>
      </c>
      <c r="BO40">
        <v>282641.74800000002</v>
      </c>
      <c r="BP40">
        <v>294996.82</v>
      </c>
      <c r="BQ40">
        <v>298635.90999999997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</row>
    <row r="41" spans="1:90" x14ac:dyDescent="0.35">
      <c r="A41">
        <v>329244</v>
      </c>
      <c r="B41" t="s">
        <v>257</v>
      </c>
      <c r="C41" t="s">
        <v>258</v>
      </c>
      <c r="D41" s="1">
        <v>45751</v>
      </c>
      <c r="E41">
        <v>53850</v>
      </c>
      <c r="F41">
        <v>103</v>
      </c>
      <c r="G41" t="s">
        <v>60</v>
      </c>
      <c r="H41" t="s">
        <v>48</v>
      </c>
      <c r="I41" t="s">
        <v>49</v>
      </c>
      <c r="K41">
        <v>202504037865347</v>
      </c>
      <c r="L41">
        <v>1033306976736</v>
      </c>
      <c r="M41">
        <v>20250403</v>
      </c>
      <c r="N41" t="s">
        <v>193</v>
      </c>
      <c r="P41" t="s">
        <v>272</v>
      </c>
      <c r="Q41" t="s">
        <v>59</v>
      </c>
      <c r="R41">
        <v>48601</v>
      </c>
      <c r="S41">
        <v>0</v>
      </c>
      <c r="T41">
        <v>4127133</v>
      </c>
      <c r="U41">
        <v>5762170727</v>
      </c>
      <c r="V41" t="s">
        <v>304</v>
      </c>
      <c r="W41" t="s">
        <v>57</v>
      </c>
      <c r="X41" t="s">
        <v>199</v>
      </c>
      <c r="Y41" t="s">
        <v>52</v>
      </c>
      <c r="Z41">
        <v>739</v>
      </c>
      <c r="AH41">
        <v>0</v>
      </c>
      <c r="AI41">
        <v>202504</v>
      </c>
      <c r="AJ41" t="s">
        <v>179</v>
      </c>
      <c r="AK41">
        <v>1</v>
      </c>
      <c r="AL41">
        <v>1</v>
      </c>
      <c r="AO41">
        <v>0</v>
      </c>
      <c r="AP41">
        <v>999</v>
      </c>
      <c r="AQ41">
        <v>430</v>
      </c>
      <c r="AR41">
        <v>430999</v>
      </c>
      <c r="AT41">
        <v>1</v>
      </c>
      <c r="AU41" t="s">
        <v>58</v>
      </c>
      <c r="AV41" t="s">
        <v>262</v>
      </c>
      <c r="AW41">
        <v>5000</v>
      </c>
      <c r="AX41">
        <v>15712.4</v>
      </c>
      <c r="AY41">
        <v>18425.036</v>
      </c>
      <c r="AZ41">
        <v>19036</v>
      </c>
      <c r="BA41">
        <v>19840</v>
      </c>
      <c r="BB41">
        <v>20740</v>
      </c>
      <c r="BC41">
        <v>22473.462</v>
      </c>
      <c r="BD41">
        <v>23237.86</v>
      </c>
      <c r="BE41">
        <v>25000</v>
      </c>
      <c r="BF41">
        <v>27463.635999999999</v>
      </c>
      <c r="BG41">
        <v>30000</v>
      </c>
      <c r="BH41">
        <v>34610.514000000003</v>
      </c>
      <c r="BI41">
        <v>35046</v>
      </c>
      <c r="BJ41">
        <v>38582.447999999997</v>
      </c>
      <c r="BK41">
        <v>42006.79</v>
      </c>
      <c r="BL41">
        <v>50000</v>
      </c>
      <c r="BM41">
        <v>54336.774000000027</v>
      </c>
      <c r="BN41">
        <v>65042.055999999982</v>
      </c>
      <c r="BO41">
        <v>78281.780000000086</v>
      </c>
      <c r="BP41">
        <v>110403.728</v>
      </c>
      <c r="BQ41">
        <v>134983.79999999999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</row>
    <row r="42" spans="1:90" x14ac:dyDescent="0.35">
      <c r="A42">
        <v>329203</v>
      </c>
      <c r="B42" t="s">
        <v>257</v>
      </c>
      <c r="C42" t="s">
        <v>258</v>
      </c>
      <c r="D42" s="1">
        <v>45750</v>
      </c>
      <c r="E42">
        <v>53850</v>
      </c>
      <c r="F42">
        <v>175</v>
      </c>
      <c r="G42" t="s">
        <v>66</v>
      </c>
      <c r="H42" t="s">
        <v>48</v>
      </c>
      <c r="I42" t="s">
        <v>49</v>
      </c>
      <c r="K42">
        <v>202504027862311</v>
      </c>
      <c r="L42">
        <v>1753302203813</v>
      </c>
      <c r="M42">
        <v>20250402</v>
      </c>
      <c r="N42" t="s">
        <v>193</v>
      </c>
      <c r="P42" t="s">
        <v>275</v>
      </c>
      <c r="Q42" t="s">
        <v>50</v>
      </c>
      <c r="R42">
        <v>241232.45</v>
      </c>
      <c r="S42">
        <v>0</v>
      </c>
      <c r="T42">
        <v>4907691</v>
      </c>
      <c r="U42">
        <v>1146400773</v>
      </c>
      <c r="V42" t="s">
        <v>299</v>
      </c>
      <c r="W42" t="s">
        <v>57</v>
      </c>
      <c r="X42" t="s">
        <v>199</v>
      </c>
      <c r="Y42" t="s">
        <v>52</v>
      </c>
      <c r="Z42">
        <v>1926</v>
      </c>
      <c r="AH42">
        <v>0</v>
      </c>
      <c r="AI42">
        <v>202504</v>
      </c>
      <c r="AJ42" t="s">
        <v>179</v>
      </c>
      <c r="AK42">
        <v>1</v>
      </c>
      <c r="AL42">
        <v>1</v>
      </c>
      <c r="AO42">
        <v>0</v>
      </c>
      <c r="AP42">
        <v>999</v>
      </c>
      <c r="AQ42">
        <v>430</v>
      </c>
      <c r="AR42">
        <v>430999</v>
      </c>
      <c r="AT42">
        <v>1</v>
      </c>
      <c r="AU42" t="s">
        <v>58</v>
      </c>
      <c r="AV42" t="s">
        <v>262</v>
      </c>
      <c r="AW42">
        <v>5000</v>
      </c>
      <c r="AX42">
        <v>15712.4</v>
      </c>
      <c r="AY42">
        <v>18425.036</v>
      </c>
      <c r="AZ42">
        <v>19036</v>
      </c>
      <c r="BA42">
        <v>19840</v>
      </c>
      <c r="BB42">
        <v>20740</v>
      </c>
      <c r="BC42">
        <v>22473.462</v>
      </c>
      <c r="BD42">
        <v>23237.86</v>
      </c>
      <c r="BE42">
        <v>25000</v>
      </c>
      <c r="BF42">
        <v>27463.635999999999</v>
      </c>
      <c r="BG42">
        <v>30000</v>
      </c>
      <c r="BH42">
        <v>34610.514000000003</v>
      </c>
      <c r="BI42">
        <v>35046</v>
      </c>
      <c r="BJ42">
        <v>38582.447999999997</v>
      </c>
      <c r="BK42">
        <v>42006.79</v>
      </c>
      <c r="BL42">
        <v>50000</v>
      </c>
      <c r="BM42">
        <v>54336.774000000027</v>
      </c>
      <c r="BN42">
        <v>65042.055999999982</v>
      </c>
      <c r="BO42">
        <v>78281.780000000086</v>
      </c>
      <c r="BP42">
        <v>110403.728</v>
      </c>
      <c r="BQ42">
        <v>134983.79999999999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</row>
    <row r="43" spans="1:90" x14ac:dyDescent="0.35">
      <c r="A43">
        <v>329199</v>
      </c>
      <c r="B43" t="s">
        <v>257</v>
      </c>
      <c r="C43" t="s">
        <v>258</v>
      </c>
      <c r="D43" s="1">
        <v>45750</v>
      </c>
      <c r="E43">
        <v>53850</v>
      </c>
      <c r="F43">
        <v>148</v>
      </c>
      <c r="G43" t="s">
        <v>101</v>
      </c>
      <c r="H43" t="s">
        <v>48</v>
      </c>
      <c r="I43" t="s">
        <v>49</v>
      </c>
      <c r="K43">
        <v>202504027862309</v>
      </c>
      <c r="L43">
        <v>1483300003872</v>
      </c>
      <c r="M43">
        <v>20250402</v>
      </c>
      <c r="N43" t="s">
        <v>193</v>
      </c>
      <c r="P43" t="s">
        <v>275</v>
      </c>
      <c r="Q43" t="s">
        <v>59</v>
      </c>
      <c r="R43">
        <v>18885.599999999999</v>
      </c>
      <c r="S43">
        <v>0</v>
      </c>
      <c r="T43">
        <v>4602337</v>
      </c>
      <c r="U43">
        <v>1418030621</v>
      </c>
      <c r="V43" t="s">
        <v>102</v>
      </c>
      <c r="W43" t="s">
        <v>57</v>
      </c>
      <c r="X43" t="s">
        <v>103</v>
      </c>
      <c r="Y43" t="s">
        <v>52</v>
      </c>
      <c r="Z43">
        <v>982</v>
      </c>
      <c r="AH43">
        <v>0</v>
      </c>
      <c r="AI43">
        <v>202504</v>
      </c>
      <c r="AJ43" t="s">
        <v>55</v>
      </c>
      <c r="AK43">
        <v>0</v>
      </c>
      <c r="AL43">
        <v>1</v>
      </c>
      <c r="AO43">
        <v>0</v>
      </c>
      <c r="AP43">
        <v>999</v>
      </c>
      <c r="AQ43">
        <v>430</v>
      </c>
      <c r="AR43">
        <v>430999</v>
      </c>
      <c r="AT43">
        <v>1</v>
      </c>
      <c r="AU43" t="s">
        <v>58</v>
      </c>
      <c r="AV43" t="s">
        <v>262</v>
      </c>
      <c r="AW43">
        <v>5000</v>
      </c>
      <c r="AX43">
        <v>15712.4</v>
      </c>
      <c r="AY43">
        <v>18425.036</v>
      </c>
      <c r="AZ43">
        <v>19036</v>
      </c>
      <c r="BA43">
        <v>19840</v>
      </c>
      <c r="BB43">
        <v>20740</v>
      </c>
      <c r="BC43">
        <v>22473.462</v>
      </c>
      <c r="BD43">
        <v>23237.86</v>
      </c>
      <c r="BE43">
        <v>25000</v>
      </c>
      <c r="BF43">
        <v>27463.635999999999</v>
      </c>
      <c r="BG43">
        <v>30000</v>
      </c>
      <c r="BH43">
        <v>34610.514000000003</v>
      </c>
      <c r="BI43">
        <v>35046</v>
      </c>
      <c r="BJ43">
        <v>38582.447999999997</v>
      </c>
      <c r="BK43">
        <v>42006.79</v>
      </c>
      <c r="BL43">
        <v>50000</v>
      </c>
      <c r="BM43">
        <v>54336.774000000027</v>
      </c>
      <c r="BN43">
        <v>65042.055999999982</v>
      </c>
      <c r="BO43">
        <v>78281.780000000086</v>
      </c>
      <c r="BP43">
        <v>110403.728</v>
      </c>
      <c r="BQ43">
        <v>134983.79999999999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</row>
    <row r="44" spans="1:90" x14ac:dyDescent="0.35">
      <c r="A44">
        <v>329187</v>
      </c>
      <c r="B44" t="s">
        <v>257</v>
      </c>
      <c r="C44" t="s">
        <v>258</v>
      </c>
      <c r="D44" s="1">
        <v>45749</v>
      </c>
      <c r="E44">
        <v>53850</v>
      </c>
      <c r="F44">
        <v>149</v>
      </c>
      <c r="G44" t="s">
        <v>92</v>
      </c>
      <c r="H44" t="s">
        <v>48</v>
      </c>
      <c r="I44" t="s">
        <v>49</v>
      </c>
      <c r="K44">
        <v>202504017858292</v>
      </c>
      <c r="L44">
        <v>1493300662197</v>
      </c>
      <c r="M44">
        <v>20250401</v>
      </c>
      <c r="N44" t="s">
        <v>193</v>
      </c>
      <c r="P44" t="s">
        <v>275</v>
      </c>
      <c r="Q44" t="s">
        <v>50</v>
      </c>
      <c r="R44">
        <v>5000</v>
      </c>
      <c r="S44">
        <v>0</v>
      </c>
      <c r="T44">
        <v>4636425</v>
      </c>
      <c r="U44">
        <v>6517081219</v>
      </c>
      <c r="V44" t="s">
        <v>305</v>
      </c>
      <c r="W44" t="s">
        <v>57</v>
      </c>
      <c r="X44" t="s">
        <v>88</v>
      </c>
      <c r="Y44" t="s">
        <v>52</v>
      </c>
      <c r="Z44">
        <v>1256</v>
      </c>
      <c r="AH44">
        <v>0</v>
      </c>
      <c r="AI44">
        <v>202504</v>
      </c>
      <c r="AJ44" t="s">
        <v>55</v>
      </c>
      <c r="AK44">
        <v>0</v>
      </c>
      <c r="AL44">
        <v>1</v>
      </c>
      <c r="AO44">
        <v>0</v>
      </c>
      <c r="AP44">
        <v>999</v>
      </c>
      <c r="AQ44">
        <v>430</v>
      </c>
      <c r="AR44">
        <v>430999</v>
      </c>
      <c r="AT44">
        <v>1</v>
      </c>
      <c r="AU44" t="s">
        <v>58</v>
      </c>
      <c r="AV44" t="s">
        <v>262</v>
      </c>
      <c r="AW44">
        <v>5000</v>
      </c>
      <c r="AX44">
        <v>15712.4</v>
      </c>
      <c r="AY44">
        <v>18425.036</v>
      </c>
      <c r="AZ44">
        <v>19036</v>
      </c>
      <c r="BA44">
        <v>19840</v>
      </c>
      <c r="BB44">
        <v>20740</v>
      </c>
      <c r="BC44">
        <v>22473.462</v>
      </c>
      <c r="BD44">
        <v>23237.86</v>
      </c>
      <c r="BE44">
        <v>25000</v>
      </c>
      <c r="BF44">
        <v>27463.635999999999</v>
      </c>
      <c r="BG44">
        <v>30000</v>
      </c>
      <c r="BH44">
        <v>34610.514000000003</v>
      </c>
      <c r="BI44">
        <v>35046</v>
      </c>
      <c r="BJ44">
        <v>38582.447999999997</v>
      </c>
      <c r="BK44">
        <v>42006.79</v>
      </c>
      <c r="BL44">
        <v>50000</v>
      </c>
      <c r="BM44">
        <v>54336.774000000027</v>
      </c>
      <c r="BN44">
        <v>65042.055999999982</v>
      </c>
      <c r="BO44">
        <v>78281.780000000086</v>
      </c>
      <c r="BP44">
        <v>110403.728</v>
      </c>
      <c r="BQ44">
        <v>134983.79999999999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</row>
    <row r="45" spans="1:90" x14ac:dyDescent="0.35">
      <c r="A45">
        <v>329186</v>
      </c>
      <c r="B45" t="s">
        <v>257</v>
      </c>
      <c r="C45" t="s">
        <v>258</v>
      </c>
      <c r="D45" s="1">
        <v>45749</v>
      </c>
      <c r="E45">
        <v>53850</v>
      </c>
      <c r="F45">
        <v>270</v>
      </c>
      <c r="G45" t="s">
        <v>80</v>
      </c>
      <c r="H45" t="s">
        <v>48</v>
      </c>
      <c r="I45" t="s">
        <v>49</v>
      </c>
      <c r="K45">
        <v>202504017858297</v>
      </c>
      <c r="L45">
        <v>2703300010876</v>
      </c>
      <c r="M45">
        <v>20250401</v>
      </c>
      <c r="N45" t="s">
        <v>193</v>
      </c>
      <c r="P45" t="s">
        <v>259</v>
      </c>
      <c r="Q45" t="s">
        <v>59</v>
      </c>
      <c r="R45">
        <v>132253.26</v>
      </c>
      <c r="S45">
        <v>0</v>
      </c>
      <c r="T45">
        <v>3741353</v>
      </c>
      <c r="U45" t="s">
        <v>306</v>
      </c>
      <c r="V45" t="s">
        <v>307</v>
      </c>
      <c r="W45" t="s">
        <v>94</v>
      </c>
      <c r="Y45" t="s">
        <v>259</v>
      </c>
      <c r="Z45">
        <v>1809</v>
      </c>
      <c r="AH45">
        <v>0</v>
      </c>
      <c r="AI45">
        <v>202504</v>
      </c>
      <c r="AJ45" t="s">
        <v>64</v>
      </c>
      <c r="AK45">
        <v>0</v>
      </c>
      <c r="AL45">
        <v>1</v>
      </c>
      <c r="AO45">
        <v>0</v>
      </c>
      <c r="AP45">
        <v>999</v>
      </c>
      <c r="AQ45">
        <v>775</v>
      </c>
      <c r="AR45">
        <v>775999</v>
      </c>
      <c r="AS45" t="s">
        <v>53</v>
      </c>
      <c r="AU45" t="s">
        <v>53</v>
      </c>
      <c r="AV45" t="s">
        <v>262</v>
      </c>
      <c r="AW45">
        <v>5000</v>
      </c>
      <c r="AX45">
        <v>15712.4</v>
      </c>
      <c r="AY45">
        <v>18425.036</v>
      </c>
      <c r="AZ45">
        <v>19036</v>
      </c>
      <c r="BA45">
        <v>19840</v>
      </c>
      <c r="BB45">
        <v>20740</v>
      </c>
      <c r="BC45">
        <v>22473.462</v>
      </c>
      <c r="BD45">
        <v>23237.86</v>
      </c>
      <c r="BE45">
        <v>25000</v>
      </c>
      <c r="BF45">
        <v>27463.635999999999</v>
      </c>
      <c r="BG45">
        <v>30000</v>
      </c>
      <c r="BH45">
        <v>34610.514000000003</v>
      </c>
      <c r="BI45">
        <v>35046</v>
      </c>
      <c r="BJ45">
        <v>38582.447999999997</v>
      </c>
      <c r="BK45">
        <v>42006.79</v>
      </c>
      <c r="BL45">
        <v>50000</v>
      </c>
      <c r="BM45">
        <v>54336.774000000027</v>
      </c>
      <c r="BN45">
        <v>65042.055999999982</v>
      </c>
      <c r="BO45">
        <v>78281.780000000086</v>
      </c>
      <c r="BP45">
        <v>110403.728</v>
      </c>
      <c r="BQ45">
        <v>134983.79999999999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0</v>
      </c>
    </row>
    <row r="46" spans="1:90" x14ac:dyDescent="0.35">
      <c r="A46">
        <v>329183</v>
      </c>
      <c r="B46" t="s">
        <v>257</v>
      </c>
      <c r="C46" t="s">
        <v>258</v>
      </c>
      <c r="D46" s="1">
        <v>45749</v>
      </c>
      <c r="E46">
        <v>53850</v>
      </c>
      <c r="F46">
        <v>140</v>
      </c>
      <c r="G46" t="s">
        <v>265</v>
      </c>
      <c r="H46" t="s">
        <v>48</v>
      </c>
      <c r="I46" t="s">
        <v>49</v>
      </c>
      <c r="K46">
        <v>202504017857376</v>
      </c>
      <c r="L46">
        <v>1403300003116</v>
      </c>
      <c r="M46">
        <v>20250401</v>
      </c>
      <c r="N46" t="s">
        <v>193</v>
      </c>
      <c r="P46" t="s">
        <v>308</v>
      </c>
      <c r="Q46" t="s">
        <v>59</v>
      </c>
      <c r="R46">
        <v>20000</v>
      </c>
      <c r="S46">
        <v>0</v>
      </c>
      <c r="T46">
        <v>4089951</v>
      </c>
      <c r="U46" t="s">
        <v>309</v>
      </c>
      <c r="V46" t="s">
        <v>310</v>
      </c>
      <c r="W46" t="s">
        <v>51</v>
      </c>
      <c r="Y46" t="s">
        <v>52</v>
      </c>
      <c r="Z46">
        <v>1403</v>
      </c>
      <c r="AH46">
        <v>0</v>
      </c>
      <c r="AI46">
        <v>202504</v>
      </c>
      <c r="AJ46" t="s">
        <v>179</v>
      </c>
      <c r="AK46">
        <v>1</v>
      </c>
      <c r="AL46">
        <v>1</v>
      </c>
      <c r="AO46">
        <v>0</v>
      </c>
      <c r="AP46">
        <v>999</v>
      </c>
      <c r="AQ46">
        <v>600</v>
      </c>
      <c r="AR46">
        <v>600999</v>
      </c>
      <c r="AS46" t="s">
        <v>53</v>
      </c>
      <c r="AU46" t="s">
        <v>53</v>
      </c>
      <c r="AV46" t="s">
        <v>262</v>
      </c>
      <c r="AW46">
        <v>5000</v>
      </c>
      <c r="AX46">
        <v>15712.4</v>
      </c>
      <c r="AY46">
        <v>18425.036</v>
      </c>
      <c r="AZ46">
        <v>19036</v>
      </c>
      <c r="BA46">
        <v>19840</v>
      </c>
      <c r="BB46">
        <v>20740</v>
      </c>
      <c r="BC46">
        <v>22473.462</v>
      </c>
      <c r="BD46">
        <v>23237.86</v>
      </c>
      <c r="BE46">
        <v>25000</v>
      </c>
      <c r="BF46">
        <v>27463.635999999999</v>
      </c>
      <c r="BG46">
        <v>30000</v>
      </c>
      <c r="BH46">
        <v>34610.514000000003</v>
      </c>
      <c r="BI46">
        <v>35046</v>
      </c>
      <c r="BJ46">
        <v>38582.447999999997</v>
      </c>
      <c r="BK46">
        <v>42006.79</v>
      </c>
      <c r="BL46">
        <v>50000</v>
      </c>
      <c r="BM46">
        <v>54336.774000000027</v>
      </c>
      <c r="BN46">
        <v>65042.055999999982</v>
      </c>
      <c r="BO46">
        <v>78281.780000000086</v>
      </c>
      <c r="BP46">
        <v>110403.728</v>
      </c>
      <c r="BQ46">
        <v>134983.79999999999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</row>
    <row r="47" spans="1:90" x14ac:dyDescent="0.35">
      <c r="A47">
        <v>329179</v>
      </c>
      <c r="B47" t="s">
        <v>257</v>
      </c>
      <c r="C47" t="s">
        <v>258</v>
      </c>
      <c r="D47" s="1">
        <v>45749</v>
      </c>
      <c r="E47">
        <v>53850</v>
      </c>
      <c r="F47">
        <v>140</v>
      </c>
      <c r="G47" t="s">
        <v>265</v>
      </c>
      <c r="H47" t="s">
        <v>48</v>
      </c>
      <c r="I47" t="s">
        <v>49</v>
      </c>
      <c r="K47">
        <v>202504017857376</v>
      </c>
      <c r="L47">
        <v>1403300003116</v>
      </c>
      <c r="M47">
        <v>20250401</v>
      </c>
      <c r="N47" t="s">
        <v>193</v>
      </c>
      <c r="P47" t="s">
        <v>308</v>
      </c>
      <c r="Q47" t="s">
        <v>59</v>
      </c>
      <c r="R47">
        <v>20000</v>
      </c>
      <c r="S47">
        <v>0</v>
      </c>
      <c r="T47">
        <v>4090758</v>
      </c>
      <c r="U47" t="s">
        <v>311</v>
      </c>
      <c r="V47" t="s">
        <v>312</v>
      </c>
      <c r="W47" t="s">
        <v>51</v>
      </c>
      <c r="Y47" t="s">
        <v>52</v>
      </c>
      <c r="Z47">
        <v>1403</v>
      </c>
      <c r="AH47">
        <v>0</v>
      </c>
      <c r="AI47">
        <v>202504</v>
      </c>
      <c r="AJ47" t="s">
        <v>179</v>
      </c>
      <c r="AK47">
        <v>1</v>
      </c>
      <c r="AL47">
        <v>1</v>
      </c>
      <c r="AO47">
        <v>0</v>
      </c>
      <c r="AP47">
        <v>999</v>
      </c>
      <c r="AQ47">
        <v>600</v>
      </c>
      <c r="AR47">
        <v>600999</v>
      </c>
      <c r="AS47" t="s">
        <v>53</v>
      </c>
      <c r="AU47" t="s">
        <v>53</v>
      </c>
      <c r="AV47" t="s">
        <v>262</v>
      </c>
      <c r="AW47">
        <v>5000</v>
      </c>
      <c r="AX47">
        <v>15712.4</v>
      </c>
      <c r="AY47">
        <v>18425.036</v>
      </c>
      <c r="AZ47">
        <v>19036</v>
      </c>
      <c r="BA47">
        <v>19840</v>
      </c>
      <c r="BB47">
        <v>20740</v>
      </c>
      <c r="BC47">
        <v>22473.462</v>
      </c>
      <c r="BD47">
        <v>23237.86</v>
      </c>
      <c r="BE47">
        <v>25000</v>
      </c>
      <c r="BF47">
        <v>27463.635999999999</v>
      </c>
      <c r="BG47">
        <v>30000</v>
      </c>
      <c r="BH47">
        <v>34610.514000000003</v>
      </c>
      <c r="BI47">
        <v>35046</v>
      </c>
      <c r="BJ47">
        <v>38582.447999999997</v>
      </c>
      <c r="BK47">
        <v>42006.79</v>
      </c>
      <c r="BL47">
        <v>50000</v>
      </c>
      <c r="BM47">
        <v>54336.774000000027</v>
      </c>
      <c r="BN47">
        <v>65042.055999999982</v>
      </c>
      <c r="BO47">
        <v>78281.780000000086</v>
      </c>
      <c r="BP47">
        <v>110403.728</v>
      </c>
      <c r="BQ47">
        <v>134983.79999999999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</row>
    <row r="48" spans="1:90" x14ac:dyDescent="0.35">
      <c r="A48">
        <v>329167</v>
      </c>
      <c r="B48" t="s">
        <v>257</v>
      </c>
      <c r="C48" t="s">
        <v>258</v>
      </c>
      <c r="D48" s="1">
        <v>45749</v>
      </c>
      <c r="E48">
        <v>53850</v>
      </c>
      <c r="F48">
        <v>270</v>
      </c>
      <c r="G48" t="s">
        <v>80</v>
      </c>
      <c r="H48" t="s">
        <v>48</v>
      </c>
      <c r="I48" t="s">
        <v>49</v>
      </c>
      <c r="K48">
        <v>202504017858299</v>
      </c>
      <c r="L48">
        <v>2703300010876</v>
      </c>
      <c r="M48">
        <v>20250401</v>
      </c>
      <c r="N48" t="s">
        <v>193</v>
      </c>
      <c r="P48" t="s">
        <v>259</v>
      </c>
      <c r="Q48" t="s">
        <v>59</v>
      </c>
      <c r="R48">
        <v>22180.77</v>
      </c>
      <c r="S48">
        <v>0</v>
      </c>
      <c r="T48">
        <v>3741353</v>
      </c>
      <c r="U48" t="s">
        <v>306</v>
      </c>
      <c r="V48" t="s">
        <v>307</v>
      </c>
      <c r="W48" t="s">
        <v>94</v>
      </c>
      <c r="Y48" t="s">
        <v>259</v>
      </c>
      <c r="Z48">
        <v>1809</v>
      </c>
      <c r="AH48">
        <v>0</v>
      </c>
      <c r="AI48">
        <v>202504</v>
      </c>
      <c r="AJ48" t="s">
        <v>64</v>
      </c>
      <c r="AK48">
        <v>0</v>
      </c>
      <c r="AL48">
        <v>1</v>
      </c>
      <c r="AO48">
        <v>0</v>
      </c>
      <c r="AP48">
        <v>999</v>
      </c>
      <c r="AQ48">
        <v>775</v>
      </c>
      <c r="AR48">
        <v>775999</v>
      </c>
      <c r="AS48" t="s">
        <v>53</v>
      </c>
      <c r="AU48" t="s">
        <v>53</v>
      </c>
      <c r="AV48" t="s">
        <v>262</v>
      </c>
      <c r="AW48">
        <v>5000</v>
      </c>
      <c r="AX48">
        <v>15712.4</v>
      </c>
      <c r="AY48">
        <v>18425.036</v>
      </c>
      <c r="AZ48">
        <v>19036</v>
      </c>
      <c r="BA48">
        <v>19840</v>
      </c>
      <c r="BB48">
        <v>20740</v>
      </c>
      <c r="BC48">
        <v>22473.462</v>
      </c>
      <c r="BD48">
        <v>23237.86</v>
      </c>
      <c r="BE48">
        <v>25000</v>
      </c>
      <c r="BF48">
        <v>27463.635999999999</v>
      </c>
      <c r="BG48">
        <v>30000</v>
      </c>
      <c r="BH48">
        <v>34610.514000000003</v>
      </c>
      <c r="BI48">
        <v>35046</v>
      </c>
      <c r="BJ48">
        <v>38582.447999999997</v>
      </c>
      <c r="BK48">
        <v>42006.79</v>
      </c>
      <c r="BL48">
        <v>50000</v>
      </c>
      <c r="BM48">
        <v>54336.774000000027</v>
      </c>
      <c r="BN48">
        <v>65042.055999999982</v>
      </c>
      <c r="BO48">
        <v>78281.780000000086</v>
      </c>
      <c r="BP48">
        <v>110403.728</v>
      </c>
      <c r="BQ48">
        <v>134983.79999999999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</row>
    <row r="49" spans="1:90" x14ac:dyDescent="0.35">
      <c r="A49">
        <v>329161</v>
      </c>
      <c r="B49" t="s">
        <v>257</v>
      </c>
      <c r="C49" t="s">
        <v>258</v>
      </c>
      <c r="D49" s="1">
        <v>45749</v>
      </c>
      <c r="E49">
        <v>53850</v>
      </c>
      <c r="F49">
        <v>270</v>
      </c>
      <c r="G49" t="s">
        <v>80</v>
      </c>
      <c r="H49" t="s">
        <v>48</v>
      </c>
      <c r="I49" t="s">
        <v>49</v>
      </c>
      <c r="K49">
        <v>202504017858298</v>
      </c>
      <c r="L49">
        <v>2703300010876</v>
      </c>
      <c r="M49">
        <v>20250401</v>
      </c>
      <c r="N49" t="s">
        <v>193</v>
      </c>
      <c r="P49" t="s">
        <v>259</v>
      </c>
      <c r="Q49" t="s">
        <v>59</v>
      </c>
      <c r="R49">
        <v>38228.06</v>
      </c>
      <c r="S49">
        <v>0</v>
      </c>
      <c r="T49">
        <v>3741353</v>
      </c>
      <c r="U49" t="s">
        <v>306</v>
      </c>
      <c r="V49" t="s">
        <v>307</v>
      </c>
      <c r="W49" t="s">
        <v>94</v>
      </c>
      <c r="Y49" t="s">
        <v>259</v>
      </c>
      <c r="Z49">
        <v>1809</v>
      </c>
      <c r="AH49">
        <v>0</v>
      </c>
      <c r="AI49">
        <v>202504</v>
      </c>
      <c r="AJ49" t="s">
        <v>64</v>
      </c>
      <c r="AK49">
        <v>0</v>
      </c>
      <c r="AL49">
        <v>1</v>
      </c>
      <c r="AO49">
        <v>0</v>
      </c>
      <c r="AP49">
        <v>999</v>
      </c>
      <c r="AQ49">
        <v>775</v>
      </c>
      <c r="AR49">
        <v>775999</v>
      </c>
      <c r="AS49" t="s">
        <v>53</v>
      </c>
      <c r="AU49" t="s">
        <v>53</v>
      </c>
      <c r="AV49" t="s">
        <v>262</v>
      </c>
      <c r="AW49">
        <v>5000</v>
      </c>
      <c r="AX49">
        <v>15712.4</v>
      </c>
      <c r="AY49">
        <v>18425.036</v>
      </c>
      <c r="AZ49">
        <v>19036</v>
      </c>
      <c r="BA49">
        <v>19840</v>
      </c>
      <c r="BB49">
        <v>20740</v>
      </c>
      <c r="BC49">
        <v>22473.462</v>
      </c>
      <c r="BD49">
        <v>23237.86</v>
      </c>
      <c r="BE49">
        <v>25000</v>
      </c>
      <c r="BF49">
        <v>27463.635999999999</v>
      </c>
      <c r="BG49">
        <v>30000</v>
      </c>
      <c r="BH49">
        <v>34610.514000000003</v>
      </c>
      <c r="BI49">
        <v>35046</v>
      </c>
      <c r="BJ49">
        <v>38582.447999999997</v>
      </c>
      <c r="BK49">
        <v>42006.79</v>
      </c>
      <c r="BL49">
        <v>50000</v>
      </c>
      <c r="BM49">
        <v>54336.774000000027</v>
      </c>
      <c r="BN49">
        <v>65042.055999999982</v>
      </c>
      <c r="BO49">
        <v>78281.780000000086</v>
      </c>
      <c r="BP49">
        <v>110403.728</v>
      </c>
      <c r="BQ49">
        <v>134983.79999999999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</row>
    <row r="50" spans="1:90" x14ac:dyDescent="0.35">
      <c r="A50">
        <v>348514</v>
      </c>
      <c r="B50" t="s">
        <v>257</v>
      </c>
      <c r="C50" t="s">
        <v>258</v>
      </c>
      <c r="D50" s="1">
        <v>45808</v>
      </c>
      <c r="E50">
        <v>53850</v>
      </c>
      <c r="F50">
        <v>104</v>
      </c>
      <c r="G50" t="s">
        <v>54</v>
      </c>
      <c r="H50" t="s">
        <v>48</v>
      </c>
      <c r="I50" t="s">
        <v>49</v>
      </c>
      <c r="K50">
        <v>202505308025935</v>
      </c>
      <c r="L50">
        <v>1041204801448</v>
      </c>
      <c r="M50">
        <v>20250530</v>
      </c>
      <c r="N50" t="s">
        <v>193</v>
      </c>
      <c r="P50" t="s">
        <v>279</v>
      </c>
      <c r="Q50" t="s">
        <v>50</v>
      </c>
      <c r="R50">
        <v>50000</v>
      </c>
      <c r="S50">
        <v>0</v>
      </c>
      <c r="T50">
        <v>4801448</v>
      </c>
      <c r="U50">
        <v>7244980723</v>
      </c>
      <c r="V50" t="s">
        <v>313</v>
      </c>
      <c r="W50" t="s">
        <v>57</v>
      </c>
      <c r="X50" t="s">
        <v>97</v>
      </c>
      <c r="Y50" t="s">
        <v>52</v>
      </c>
      <c r="Z50">
        <v>727</v>
      </c>
      <c r="AH50">
        <v>0</v>
      </c>
      <c r="AI50">
        <v>202505</v>
      </c>
      <c r="AK50">
        <v>1</v>
      </c>
      <c r="AL50">
        <v>1</v>
      </c>
      <c r="AO50">
        <v>0</v>
      </c>
      <c r="AP50">
        <v>999</v>
      </c>
      <c r="AQ50">
        <v>430</v>
      </c>
      <c r="AR50">
        <v>430999</v>
      </c>
      <c r="AT50">
        <v>1</v>
      </c>
      <c r="AU50" t="s">
        <v>58</v>
      </c>
      <c r="AV50" t="s">
        <v>281</v>
      </c>
      <c r="AW50">
        <v>35255.730000000003</v>
      </c>
      <c r="AX50">
        <v>40532.292000000001</v>
      </c>
      <c r="AY50">
        <v>44318.877999999997</v>
      </c>
      <c r="AZ50">
        <v>45125.512000000002</v>
      </c>
      <c r="BA50">
        <v>47063.91</v>
      </c>
      <c r="BB50">
        <v>49568.19</v>
      </c>
      <c r="BC50">
        <v>51155.741999999998</v>
      </c>
      <c r="BD50">
        <v>53646.266000000003</v>
      </c>
      <c r="BE50">
        <v>57942.733999999997</v>
      </c>
      <c r="BF50">
        <v>60683.345999999998</v>
      </c>
      <c r="BG50">
        <v>62646.03</v>
      </c>
      <c r="BH50">
        <v>136475.66400000011</v>
      </c>
      <c r="BI50">
        <v>186663.09400000001</v>
      </c>
      <c r="BJ50">
        <v>189566.11600000001</v>
      </c>
      <c r="BK50">
        <v>195938.15400000001</v>
      </c>
      <c r="BL50">
        <v>204044.7</v>
      </c>
      <c r="BM50">
        <v>227373.3000000001</v>
      </c>
      <c r="BN50">
        <v>252854.712</v>
      </c>
      <c r="BO50">
        <v>282641.74800000002</v>
      </c>
      <c r="BP50">
        <v>294996.82</v>
      </c>
      <c r="BQ50">
        <v>298635.90999999997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</row>
    <row r="51" spans="1:90" x14ac:dyDescent="0.35">
      <c r="A51">
        <v>348442</v>
      </c>
      <c r="B51" t="s">
        <v>257</v>
      </c>
      <c r="C51" t="s">
        <v>258</v>
      </c>
      <c r="D51" s="1">
        <v>45806</v>
      </c>
      <c r="E51">
        <v>53850</v>
      </c>
      <c r="F51">
        <v>170</v>
      </c>
      <c r="G51" t="s">
        <v>90</v>
      </c>
      <c r="H51" t="s">
        <v>48</v>
      </c>
      <c r="I51" t="s">
        <v>49</v>
      </c>
      <c r="K51">
        <v>202505288019287</v>
      </c>
      <c r="L51">
        <v>1703306288195</v>
      </c>
      <c r="M51">
        <v>20250528</v>
      </c>
      <c r="N51" t="s">
        <v>193</v>
      </c>
      <c r="P51" t="s">
        <v>195</v>
      </c>
      <c r="Q51" t="s">
        <v>50</v>
      </c>
      <c r="R51">
        <v>1236943.99</v>
      </c>
      <c r="S51">
        <v>0</v>
      </c>
      <c r="T51">
        <v>4401631</v>
      </c>
      <c r="U51">
        <v>4724350725</v>
      </c>
      <c r="V51" t="s">
        <v>192</v>
      </c>
      <c r="W51" t="s">
        <v>57</v>
      </c>
      <c r="X51" t="s">
        <v>97</v>
      </c>
      <c r="Y51" t="s">
        <v>52</v>
      </c>
      <c r="Z51">
        <v>1919</v>
      </c>
      <c r="AH51">
        <v>0</v>
      </c>
      <c r="AI51">
        <v>202505</v>
      </c>
      <c r="AJ51" t="s">
        <v>179</v>
      </c>
      <c r="AK51">
        <v>1</v>
      </c>
      <c r="AL51">
        <v>1</v>
      </c>
      <c r="AO51">
        <v>0</v>
      </c>
      <c r="AP51">
        <v>999</v>
      </c>
      <c r="AQ51">
        <v>430</v>
      </c>
      <c r="AR51">
        <v>430999</v>
      </c>
      <c r="AT51">
        <v>1</v>
      </c>
      <c r="AU51" t="s">
        <v>58</v>
      </c>
      <c r="AV51" t="s">
        <v>262</v>
      </c>
      <c r="AW51">
        <v>5000</v>
      </c>
      <c r="AX51">
        <v>15712.4</v>
      </c>
      <c r="AY51">
        <v>18425.036</v>
      </c>
      <c r="AZ51">
        <v>19036</v>
      </c>
      <c r="BA51">
        <v>19840</v>
      </c>
      <c r="BB51">
        <v>20740</v>
      </c>
      <c r="BC51">
        <v>22473.462</v>
      </c>
      <c r="BD51">
        <v>23237.86</v>
      </c>
      <c r="BE51">
        <v>25000</v>
      </c>
      <c r="BF51">
        <v>27463.635999999999</v>
      </c>
      <c r="BG51">
        <v>30000</v>
      </c>
      <c r="BH51">
        <v>34610.514000000003</v>
      </c>
      <c r="BI51">
        <v>35046</v>
      </c>
      <c r="BJ51">
        <v>38582.447999999997</v>
      </c>
      <c r="BK51">
        <v>42006.79</v>
      </c>
      <c r="BL51">
        <v>50000</v>
      </c>
      <c r="BM51">
        <v>54336.774000000027</v>
      </c>
      <c r="BN51">
        <v>65042.055999999982</v>
      </c>
      <c r="BO51">
        <v>78281.780000000086</v>
      </c>
      <c r="BP51">
        <v>110403.728</v>
      </c>
      <c r="BQ51">
        <v>134983.79999999999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</row>
    <row r="52" spans="1:90" x14ac:dyDescent="0.35">
      <c r="A52">
        <v>348416</v>
      </c>
      <c r="B52" t="s">
        <v>257</v>
      </c>
      <c r="C52" t="s">
        <v>258</v>
      </c>
      <c r="D52" s="1">
        <v>45806</v>
      </c>
      <c r="E52">
        <v>53850</v>
      </c>
      <c r="F52">
        <v>110</v>
      </c>
      <c r="G52" t="s">
        <v>89</v>
      </c>
      <c r="H52" t="s">
        <v>48</v>
      </c>
      <c r="I52" t="s">
        <v>49</v>
      </c>
      <c r="K52">
        <v>202505288019279</v>
      </c>
      <c r="L52">
        <v>1103306288240</v>
      </c>
      <c r="M52">
        <v>20250528</v>
      </c>
      <c r="N52" t="s">
        <v>193</v>
      </c>
      <c r="P52" t="s">
        <v>287</v>
      </c>
      <c r="Q52" t="s">
        <v>59</v>
      </c>
      <c r="R52">
        <v>35255.730000000003</v>
      </c>
      <c r="S52">
        <v>0</v>
      </c>
      <c r="T52">
        <v>4960705</v>
      </c>
      <c r="U52">
        <v>8520490726</v>
      </c>
      <c r="V52" t="s">
        <v>288</v>
      </c>
      <c r="W52" t="s">
        <v>57</v>
      </c>
      <c r="X52" t="s">
        <v>85</v>
      </c>
      <c r="Y52" t="s">
        <v>52</v>
      </c>
      <c r="Z52">
        <v>1696</v>
      </c>
      <c r="AH52">
        <v>0</v>
      </c>
      <c r="AI52">
        <v>202505</v>
      </c>
      <c r="AJ52" t="s">
        <v>55</v>
      </c>
      <c r="AK52">
        <v>0</v>
      </c>
      <c r="AL52">
        <v>1</v>
      </c>
      <c r="AO52">
        <v>0</v>
      </c>
      <c r="AP52">
        <v>464</v>
      </c>
      <c r="AQ52">
        <v>430</v>
      </c>
      <c r="AR52">
        <v>430464</v>
      </c>
      <c r="AS52" t="s">
        <v>86</v>
      </c>
      <c r="AU52" t="s">
        <v>86</v>
      </c>
      <c r="AV52" t="s">
        <v>281</v>
      </c>
      <c r="AW52">
        <v>35255.730000000003</v>
      </c>
      <c r="AX52">
        <v>40532.292000000001</v>
      </c>
      <c r="AY52">
        <v>44318.877999999997</v>
      </c>
      <c r="AZ52">
        <v>45125.512000000002</v>
      </c>
      <c r="BA52">
        <v>47063.91</v>
      </c>
      <c r="BB52">
        <v>49568.19</v>
      </c>
      <c r="BC52">
        <v>51155.741999999998</v>
      </c>
      <c r="BD52">
        <v>53646.266000000003</v>
      </c>
      <c r="BE52">
        <v>57942.733999999997</v>
      </c>
      <c r="BF52">
        <v>60683.345999999998</v>
      </c>
      <c r="BG52">
        <v>62646.03</v>
      </c>
      <c r="BH52">
        <v>136475.66400000011</v>
      </c>
      <c r="BI52">
        <v>186663.09400000001</v>
      </c>
      <c r="BJ52">
        <v>189566.11600000001</v>
      </c>
      <c r="BK52">
        <v>195938.15400000001</v>
      </c>
      <c r="BL52">
        <v>204044.7</v>
      </c>
      <c r="BM52">
        <v>227373.3000000001</v>
      </c>
      <c r="BN52">
        <v>252854.712</v>
      </c>
      <c r="BO52">
        <v>282641.74800000002</v>
      </c>
      <c r="BP52">
        <v>294996.82</v>
      </c>
      <c r="BQ52">
        <v>298635.90999999997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</row>
    <row r="53" spans="1:90" x14ac:dyDescent="0.35">
      <c r="A53">
        <v>348364</v>
      </c>
      <c r="B53" t="s">
        <v>257</v>
      </c>
      <c r="C53" t="s">
        <v>258</v>
      </c>
      <c r="D53" s="1">
        <v>45804</v>
      </c>
      <c r="E53">
        <v>53850</v>
      </c>
      <c r="F53">
        <v>141</v>
      </c>
      <c r="G53" t="s">
        <v>79</v>
      </c>
      <c r="H53" t="s">
        <v>48</v>
      </c>
      <c r="I53" t="s">
        <v>49</v>
      </c>
      <c r="K53">
        <v>202505268011348</v>
      </c>
      <c r="L53">
        <v>1413300003985</v>
      </c>
      <c r="M53">
        <v>20250526</v>
      </c>
      <c r="N53" t="s">
        <v>193</v>
      </c>
      <c r="P53" t="s">
        <v>259</v>
      </c>
      <c r="Q53" t="s">
        <v>50</v>
      </c>
      <c r="R53">
        <v>28000</v>
      </c>
      <c r="S53">
        <v>0</v>
      </c>
      <c r="T53">
        <v>4996689</v>
      </c>
      <c r="U53">
        <v>80010360750</v>
      </c>
      <c r="V53" t="s">
        <v>82</v>
      </c>
      <c r="W53" t="s">
        <v>57</v>
      </c>
      <c r="X53" t="s">
        <v>83</v>
      </c>
      <c r="Y53" t="s">
        <v>52</v>
      </c>
      <c r="Z53">
        <v>1940</v>
      </c>
      <c r="AH53">
        <v>0</v>
      </c>
      <c r="AI53">
        <v>202505</v>
      </c>
      <c r="AJ53" t="s">
        <v>64</v>
      </c>
      <c r="AK53">
        <v>0</v>
      </c>
      <c r="AL53">
        <v>1</v>
      </c>
      <c r="AO53">
        <v>0</v>
      </c>
      <c r="AP53">
        <v>931</v>
      </c>
      <c r="AQ53">
        <v>430</v>
      </c>
      <c r="AR53">
        <v>430931</v>
      </c>
      <c r="AS53" t="s">
        <v>62</v>
      </c>
      <c r="AU53" t="s">
        <v>62</v>
      </c>
      <c r="AV53" t="s">
        <v>262</v>
      </c>
      <c r="AW53">
        <v>5000</v>
      </c>
      <c r="AX53">
        <v>15712.4</v>
      </c>
      <c r="AY53">
        <v>18425.036</v>
      </c>
      <c r="AZ53">
        <v>19036</v>
      </c>
      <c r="BA53">
        <v>19840</v>
      </c>
      <c r="BB53">
        <v>20740</v>
      </c>
      <c r="BC53">
        <v>22473.462</v>
      </c>
      <c r="BD53">
        <v>23237.86</v>
      </c>
      <c r="BE53">
        <v>25000</v>
      </c>
      <c r="BF53">
        <v>27463.635999999999</v>
      </c>
      <c r="BG53">
        <v>30000</v>
      </c>
      <c r="BH53">
        <v>34610.514000000003</v>
      </c>
      <c r="BI53">
        <v>35046</v>
      </c>
      <c r="BJ53">
        <v>38582.447999999997</v>
      </c>
      <c r="BK53">
        <v>42006.79</v>
      </c>
      <c r="BL53">
        <v>50000</v>
      </c>
      <c r="BM53">
        <v>54336.774000000027</v>
      </c>
      <c r="BN53">
        <v>65042.055999999982</v>
      </c>
      <c r="BO53">
        <v>78281.780000000086</v>
      </c>
      <c r="BP53">
        <v>110403.728</v>
      </c>
      <c r="BQ53">
        <v>134983.79999999999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</row>
    <row r="54" spans="1:90" x14ac:dyDescent="0.35">
      <c r="A54">
        <v>348285</v>
      </c>
      <c r="B54" t="s">
        <v>257</v>
      </c>
      <c r="C54" t="s">
        <v>258</v>
      </c>
      <c r="D54" s="1">
        <v>45801</v>
      </c>
      <c r="E54">
        <v>53850</v>
      </c>
      <c r="F54">
        <v>131</v>
      </c>
      <c r="G54" t="s">
        <v>184</v>
      </c>
      <c r="H54" t="s">
        <v>48</v>
      </c>
      <c r="I54" t="s">
        <v>49</v>
      </c>
      <c r="K54">
        <v>202505238005502</v>
      </c>
      <c r="L54">
        <v>1313300004533</v>
      </c>
      <c r="M54">
        <v>20250523</v>
      </c>
      <c r="N54" t="s">
        <v>193</v>
      </c>
      <c r="P54" t="s">
        <v>259</v>
      </c>
      <c r="Q54" t="s">
        <v>59</v>
      </c>
      <c r="R54">
        <v>42006.79</v>
      </c>
      <c r="S54">
        <v>0</v>
      </c>
      <c r="T54">
        <v>3739148</v>
      </c>
      <c r="U54" t="s">
        <v>260</v>
      </c>
      <c r="V54" t="s">
        <v>261</v>
      </c>
      <c r="W54" t="s">
        <v>51</v>
      </c>
      <c r="Y54" t="s">
        <v>52</v>
      </c>
      <c r="AH54">
        <v>0</v>
      </c>
      <c r="AI54">
        <v>202505</v>
      </c>
      <c r="AJ54" t="s">
        <v>64</v>
      </c>
      <c r="AK54">
        <v>0</v>
      </c>
      <c r="AL54">
        <v>1</v>
      </c>
      <c r="AO54">
        <v>0</v>
      </c>
      <c r="AP54">
        <v>999</v>
      </c>
      <c r="AQ54">
        <v>600</v>
      </c>
      <c r="AR54">
        <v>600999</v>
      </c>
      <c r="AS54" t="s">
        <v>53</v>
      </c>
      <c r="AU54" t="s">
        <v>53</v>
      </c>
      <c r="AV54" t="s">
        <v>262</v>
      </c>
      <c r="AW54">
        <v>5000</v>
      </c>
      <c r="AX54">
        <v>15712.4</v>
      </c>
      <c r="AY54">
        <v>18425.036</v>
      </c>
      <c r="AZ54">
        <v>19036</v>
      </c>
      <c r="BA54">
        <v>19840</v>
      </c>
      <c r="BB54">
        <v>20740</v>
      </c>
      <c r="BC54">
        <v>22473.462</v>
      </c>
      <c r="BD54">
        <v>23237.86</v>
      </c>
      <c r="BE54">
        <v>25000</v>
      </c>
      <c r="BF54">
        <v>27463.635999999999</v>
      </c>
      <c r="BG54">
        <v>30000</v>
      </c>
      <c r="BH54">
        <v>34610.514000000003</v>
      </c>
      <c r="BI54">
        <v>35046</v>
      </c>
      <c r="BJ54">
        <v>38582.447999999997</v>
      </c>
      <c r="BK54">
        <v>42006.79</v>
      </c>
      <c r="BL54">
        <v>50000</v>
      </c>
      <c r="BM54">
        <v>54336.774000000027</v>
      </c>
      <c r="BN54">
        <v>65042.055999999982</v>
      </c>
      <c r="BO54">
        <v>78281.780000000086</v>
      </c>
      <c r="BP54">
        <v>110403.728</v>
      </c>
      <c r="BQ54">
        <v>134983.79999999999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</row>
    <row r="55" spans="1:90" x14ac:dyDescent="0.35">
      <c r="A55">
        <v>348280</v>
      </c>
      <c r="B55" t="s">
        <v>257</v>
      </c>
      <c r="C55" t="s">
        <v>258</v>
      </c>
      <c r="D55" s="1">
        <v>45801</v>
      </c>
      <c r="E55">
        <v>53850</v>
      </c>
      <c r="F55">
        <v>131</v>
      </c>
      <c r="G55" t="s">
        <v>184</v>
      </c>
      <c r="H55" t="s">
        <v>48</v>
      </c>
      <c r="I55" t="s">
        <v>49</v>
      </c>
      <c r="K55">
        <v>202505238005502</v>
      </c>
      <c r="L55">
        <v>1313300004533</v>
      </c>
      <c r="M55">
        <v>20250523</v>
      </c>
      <c r="N55" t="s">
        <v>193</v>
      </c>
      <c r="P55" t="s">
        <v>259</v>
      </c>
      <c r="Q55" t="s">
        <v>59</v>
      </c>
      <c r="R55">
        <v>42006.79</v>
      </c>
      <c r="S55">
        <v>0</v>
      </c>
      <c r="T55">
        <v>3739153</v>
      </c>
      <c r="U55" t="s">
        <v>263</v>
      </c>
      <c r="V55" t="s">
        <v>264</v>
      </c>
      <c r="W55" t="s">
        <v>51</v>
      </c>
      <c r="Y55" t="s">
        <v>52</v>
      </c>
      <c r="AH55">
        <v>0</v>
      </c>
      <c r="AI55">
        <v>202505</v>
      </c>
      <c r="AJ55" t="s">
        <v>64</v>
      </c>
      <c r="AK55">
        <v>0</v>
      </c>
      <c r="AL55">
        <v>1</v>
      </c>
      <c r="AO55">
        <v>0</v>
      </c>
      <c r="AP55">
        <v>999</v>
      </c>
      <c r="AQ55">
        <v>600</v>
      </c>
      <c r="AR55">
        <v>600999</v>
      </c>
      <c r="AS55" t="s">
        <v>53</v>
      </c>
      <c r="AU55" t="s">
        <v>53</v>
      </c>
      <c r="AV55" t="s">
        <v>262</v>
      </c>
      <c r="AW55">
        <v>5000</v>
      </c>
      <c r="AX55">
        <v>15712.4</v>
      </c>
      <c r="AY55">
        <v>18425.036</v>
      </c>
      <c r="AZ55">
        <v>19036</v>
      </c>
      <c r="BA55">
        <v>19840</v>
      </c>
      <c r="BB55">
        <v>20740</v>
      </c>
      <c r="BC55">
        <v>22473.462</v>
      </c>
      <c r="BD55">
        <v>23237.86</v>
      </c>
      <c r="BE55">
        <v>25000</v>
      </c>
      <c r="BF55">
        <v>27463.635999999999</v>
      </c>
      <c r="BG55">
        <v>30000</v>
      </c>
      <c r="BH55">
        <v>34610.514000000003</v>
      </c>
      <c r="BI55">
        <v>35046</v>
      </c>
      <c r="BJ55">
        <v>38582.447999999997</v>
      </c>
      <c r="BK55">
        <v>42006.79</v>
      </c>
      <c r="BL55">
        <v>50000</v>
      </c>
      <c r="BM55">
        <v>54336.774000000027</v>
      </c>
      <c r="BN55">
        <v>65042.055999999982</v>
      </c>
      <c r="BO55">
        <v>78281.780000000086</v>
      </c>
      <c r="BP55">
        <v>110403.728</v>
      </c>
      <c r="BQ55">
        <v>134983.79999999999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</row>
    <row r="56" spans="1:90" x14ac:dyDescent="0.35">
      <c r="A56">
        <v>348266</v>
      </c>
      <c r="B56" t="s">
        <v>257</v>
      </c>
      <c r="C56" t="s">
        <v>258</v>
      </c>
      <c r="D56" s="1">
        <v>45800</v>
      </c>
      <c r="E56">
        <v>53850</v>
      </c>
      <c r="F56">
        <v>175</v>
      </c>
      <c r="G56" t="s">
        <v>66</v>
      </c>
      <c r="H56" t="s">
        <v>48</v>
      </c>
      <c r="I56" t="s">
        <v>49</v>
      </c>
      <c r="K56">
        <v>202505228002785</v>
      </c>
      <c r="L56">
        <v>1753302203813</v>
      </c>
      <c r="M56">
        <v>20250522</v>
      </c>
      <c r="N56" t="s">
        <v>193</v>
      </c>
      <c r="P56" t="s">
        <v>275</v>
      </c>
      <c r="Q56" t="s">
        <v>50</v>
      </c>
      <c r="R56">
        <v>139939.23000000001</v>
      </c>
      <c r="S56">
        <v>0</v>
      </c>
      <c r="T56">
        <v>4907691</v>
      </c>
      <c r="U56">
        <v>1146400773</v>
      </c>
      <c r="V56" t="s">
        <v>299</v>
      </c>
      <c r="W56" t="s">
        <v>57</v>
      </c>
      <c r="X56" t="s">
        <v>199</v>
      </c>
      <c r="Y56" t="s">
        <v>52</v>
      </c>
      <c r="Z56">
        <v>1926</v>
      </c>
      <c r="AH56">
        <v>0</v>
      </c>
      <c r="AI56">
        <v>202505</v>
      </c>
      <c r="AJ56" t="s">
        <v>179</v>
      </c>
      <c r="AK56">
        <v>1</v>
      </c>
      <c r="AL56">
        <v>1</v>
      </c>
      <c r="AO56">
        <v>0</v>
      </c>
      <c r="AP56">
        <v>999</v>
      </c>
      <c r="AQ56">
        <v>430</v>
      </c>
      <c r="AR56">
        <v>430999</v>
      </c>
      <c r="AT56">
        <v>1</v>
      </c>
      <c r="AU56" t="s">
        <v>58</v>
      </c>
      <c r="AV56" t="s">
        <v>262</v>
      </c>
      <c r="AW56">
        <v>5000</v>
      </c>
      <c r="AX56">
        <v>15712.4</v>
      </c>
      <c r="AY56">
        <v>18425.036</v>
      </c>
      <c r="AZ56">
        <v>19036</v>
      </c>
      <c r="BA56">
        <v>19840</v>
      </c>
      <c r="BB56">
        <v>20740</v>
      </c>
      <c r="BC56">
        <v>22473.462</v>
      </c>
      <c r="BD56">
        <v>23237.86</v>
      </c>
      <c r="BE56">
        <v>25000</v>
      </c>
      <c r="BF56">
        <v>27463.635999999999</v>
      </c>
      <c r="BG56">
        <v>30000</v>
      </c>
      <c r="BH56">
        <v>34610.514000000003</v>
      </c>
      <c r="BI56">
        <v>35046</v>
      </c>
      <c r="BJ56">
        <v>38582.447999999997</v>
      </c>
      <c r="BK56">
        <v>42006.79</v>
      </c>
      <c r="BL56">
        <v>50000</v>
      </c>
      <c r="BM56">
        <v>54336.774000000027</v>
      </c>
      <c r="BN56">
        <v>65042.055999999982</v>
      </c>
      <c r="BO56">
        <v>78281.780000000086</v>
      </c>
      <c r="BP56">
        <v>110403.728</v>
      </c>
      <c r="BQ56">
        <v>134983.79999999999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</row>
    <row r="57" spans="1:90" x14ac:dyDescent="0.35">
      <c r="A57">
        <v>348264</v>
      </c>
      <c r="B57" t="s">
        <v>257</v>
      </c>
      <c r="C57" t="s">
        <v>258</v>
      </c>
      <c r="D57" s="1">
        <v>45800</v>
      </c>
      <c r="E57">
        <v>53850</v>
      </c>
      <c r="F57">
        <v>161</v>
      </c>
      <c r="G57" t="s">
        <v>106</v>
      </c>
      <c r="H57" t="s">
        <v>48</v>
      </c>
      <c r="I57" t="s">
        <v>49</v>
      </c>
      <c r="K57">
        <v>202505228002778</v>
      </c>
      <c r="L57">
        <v>1613300031507</v>
      </c>
      <c r="M57">
        <v>20250522</v>
      </c>
      <c r="N57" t="s">
        <v>193</v>
      </c>
      <c r="P57" t="s">
        <v>275</v>
      </c>
      <c r="Q57" t="s">
        <v>50</v>
      </c>
      <c r="R57">
        <v>34358.129999999997</v>
      </c>
      <c r="S57">
        <v>0</v>
      </c>
      <c r="T57">
        <v>4604262</v>
      </c>
      <c r="U57" t="s">
        <v>314</v>
      </c>
      <c r="V57" t="s">
        <v>315</v>
      </c>
      <c r="W57" t="s">
        <v>67</v>
      </c>
      <c r="X57" t="s">
        <v>191</v>
      </c>
      <c r="Y57" t="s">
        <v>52</v>
      </c>
      <c r="Z57">
        <v>1118</v>
      </c>
      <c r="AH57">
        <v>0</v>
      </c>
      <c r="AI57">
        <v>202505</v>
      </c>
      <c r="AJ57" t="s">
        <v>64</v>
      </c>
      <c r="AK57">
        <v>0</v>
      </c>
      <c r="AL57">
        <v>1</v>
      </c>
      <c r="AO57">
        <v>0</v>
      </c>
      <c r="AP57">
        <v>999</v>
      </c>
      <c r="AQ57">
        <v>615</v>
      </c>
      <c r="AR57">
        <v>615999</v>
      </c>
      <c r="AT57">
        <v>1</v>
      </c>
      <c r="AU57" t="s">
        <v>62</v>
      </c>
      <c r="AV57" t="s">
        <v>262</v>
      </c>
      <c r="AW57">
        <v>5000</v>
      </c>
      <c r="AX57">
        <v>15712.4</v>
      </c>
      <c r="AY57">
        <v>18425.036</v>
      </c>
      <c r="AZ57">
        <v>19036</v>
      </c>
      <c r="BA57">
        <v>19840</v>
      </c>
      <c r="BB57">
        <v>20740</v>
      </c>
      <c r="BC57">
        <v>22473.462</v>
      </c>
      <c r="BD57">
        <v>23237.86</v>
      </c>
      <c r="BE57">
        <v>25000</v>
      </c>
      <c r="BF57">
        <v>27463.635999999999</v>
      </c>
      <c r="BG57">
        <v>30000</v>
      </c>
      <c r="BH57">
        <v>34610.514000000003</v>
      </c>
      <c r="BI57">
        <v>35046</v>
      </c>
      <c r="BJ57">
        <v>38582.447999999997</v>
      </c>
      <c r="BK57">
        <v>42006.79</v>
      </c>
      <c r="BL57">
        <v>50000</v>
      </c>
      <c r="BM57">
        <v>54336.774000000027</v>
      </c>
      <c r="BN57">
        <v>65042.055999999982</v>
      </c>
      <c r="BO57">
        <v>78281.780000000086</v>
      </c>
      <c r="BP57">
        <v>110403.728</v>
      </c>
      <c r="BQ57">
        <v>134983.79999999999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</row>
    <row r="58" spans="1:90" x14ac:dyDescent="0.35">
      <c r="A58">
        <v>348261</v>
      </c>
      <c r="B58" t="s">
        <v>257</v>
      </c>
      <c r="C58" t="s">
        <v>258</v>
      </c>
      <c r="D58" s="1">
        <v>45800</v>
      </c>
      <c r="E58">
        <v>53850</v>
      </c>
      <c r="F58">
        <v>141</v>
      </c>
      <c r="G58" t="s">
        <v>79</v>
      </c>
      <c r="H58" t="s">
        <v>48</v>
      </c>
      <c r="I58" t="s">
        <v>49</v>
      </c>
      <c r="K58">
        <v>202505228001380</v>
      </c>
      <c r="L58">
        <v>1413300003985</v>
      </c>
      <c r="M58">
        <v>20250522</v>
      </c>
      <c r="N58" t="s">
        <v>193</v>
      </c>
      <c r="P58" t="s">
        <v>259</v>
      </c>
      <c r="Q58" t="s">
        <v>50</v>
      </c>
      <c r="R58">
        <v>34989.089999999997</v>
      </c>
      <c r="S58">
        <v>0</v>
      </c>
      <c r="T58">
        <v>4996689</v>
      </c>
      <c r="U58">
        <v>80010360750</v>
      </c>
      <c r="V58" t="s">
        <v>82</v>
      </c>
      <c r="W58" t="s">
        <v>57</v>
      </c>
      <c r="X58" t="s">
        <v>83</v>
      </c>
      <c r="Y58" t="s">
        <v>52</v>
      </c>
      <c r="Z58">
        <v>1940</v>
      </c>
      <c r="AH58">
        <v>0</v>
      </c>
      <c r="AI58">
        <v>202505</v>
      </c>
      <c r="AJ58" t="s">
        <v>64</v>
      </c>
      <c r="AK58">
        <v>0</v>
      </c>
      <c r="AL58">
        <v>1</v>
      </c>
      <c r="AO58">
        <v>0</v>
      </c>
      <c r="AP58">
        <v>931</v>
      </c>
      <c r="AQ58">
        <v>430</v>
      </c>
      <c r="AR58">
        <v>430931</v>
      </c>
      <c r="AS58" t="s">
        <v>62</v>
      </c>
      <c r="AU58" t="s">
        <v>62</v>
      </c>
      <c r="AV58" t="s">
        <v>262</v>
      </c>
      <c r="AW58">
        <v>5000</v>
      </c>
      <c r="AX58">
        <v>15712.4</v>
      </c>
      <c r="AY58">
        <v>18425.036</v>
      </c>
      <c r="AZ58">
        <v>19036</v>
      </c>
      <c r="BA58">
        <v>19840</v>
      </c>
      <c r="BB58">
        <v>20740</v>
      </c>
      <c r="BC58">
        <v>22473.462</v>
      </c>
      <c r="BD58">
        <v>23237.86</v>
      </c>
      <c r="BE58">
        <v>25000</v>
      </c>
      <c r="BF58">
        <v>27463.635999999999</v>
      </c>
      <c r="BG58">
        <v>30000</v>
      </c>
      <c r="BH58">
        <v>34610.514000000003</v>
      </c>
      <c r="BI58">
        <v>35046</v>
      </c>
      <c r="BJ58">
        <v>38582.447999999997</v>
      </c>
      <c r="BK58">
        <v>42006.79</v>
      </c>
      <c r="BL58">
        <v>50000</v>
      </c>
      <c r="BM58">
        <v>54336.774000000027</v>
      </c>
      <c r="BN58">
        <v>65042.055999999982</v>
      </c>
      <c r="BO58">
        <v>78281.780000000086</v>
      </c>
      <c r="BP58">
        <v>110403.728</v>
      </c>
      <c r="BQ58">
        <v>134983.79999999999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</row>
    <row r="59" spans="1:90" x14ac:dyDescent="0.35">
      <c r="A59">
        <v>348249</v>
      </c>
      <c r="B59" t="s">
        <v>257</v>
      </c>
      <c r="C59" t="s">
        <v>258</v>
      </c>
      <c r="D59" s="1">
        <v>45800</v>
      </c>
      <c r="E59">
        <v>53850</v>
      </c>
      <c r="F59">
        <v>148</v>
      </c>
      <c r="G59" t="s">
        <v>101</v>
      </c>
      <c r="H59" t="s">
        <v>48</v>
      </c>
      <c r="I59" t="s">
        <v>49</v>
      </c>
      <c r="K59">
        <v>202505228002777</v>
      </c>
      <c r="L59">
        <v>1483300003872</v>
      </c>
      <c r="M59">
        <v>20250522</v>
      </c>
      <c r="N59" t="s">
        <v>193</v>
      </c>
      <c r="P59" t="s">
        <v>275</v>
      </c>
      <c r="Q59" t="s">
        <v>59</v>
      </c>
      <c r="R59">
        <v>19180</v>
      </c>
      <c r="S59">
        <v>0</v>
      </c>
      <c r="T59">
        <v>4602337</v>
      </c>
      <c r="U59">
        <v>1418030621</v>
      </c>
      <c r="V59" t="s">
        <v>102</v>
      </c>
      <c r="W59" t="s">
        <v>57</v>
      </c>
      <c r="X59" t="s">
        <v>103</v>
      </c>
      <c r="Y59" t="s">
        <v>52</v>
      </c>
      <c r="Z59">
        <v>982</v>
      </c>
      <c r="AH59">
        <v>0</v>
      </c>
      <c r="AI59">
        <v>202505</v>
      </c>
      <c r="AJ59" t="s">
        <v>64</v>
      </c>
      <c r="AK59">
        <v>0</v>
      </c>
      <c r="AL59">
        <v>1</v>
      </c>
      <c r="AO59">
        <v>0</v>
      </c>
      <c r="AP59">
        <v>999</v>
      </c>
      <c r="AQ59">
        <v>430</v>
      </c>
      <c r="AR59">
        <v>430999</v>
      </c>
      <c r="AT59">
        <v>1</v>
      </c>
      <c r="AU59" t="s">
        <v>58</v>
      </c>
      <c r="AV59" t="s">
        <v>262</v>
      </c>
      <c r="AW59">
        <v>5000</v>
      </c>
      <c r="AX59">
        <v>15712.4</v>
      </c>
      <c r="AY59">
        <v>18425.036</v>
      </c>
      <c r="AZ59">
        <v>19036</v>
      </c>
      <c r="BA59">
        <v>19840</v>
      </c>
      <c r="BB59">
        <v>20740</v>
      </c>
      <c r="BC59">
        <v>22473.462</v>
      </c>
      <c r="BD59">
        <v>23237.86</v>
      </c>
      <c r="BE59">
        <v>25000</v>
      </c>
      <c r="BF59">
        <v>27463.635999999999</v>
      </c>
      <c r="BG59">
        <v>30000</v>
      </c>
      <c r="BH59">
        <v>34610.514000000003</v>
      </c>
      <c r="BI59">
        <v>35046</v>
      </c>
      <c r="BJ59">
        <v>38582.447999999997</v>
      </c>
      <c r="BK59">
        <v>42006.79</v>
      </c>
      <c r="BL59">
        <v>50000</v>
      </c>
      <c r="BM59">
        <v>54336.774000000027</v>
      </c>
      <c r="BN59">
        <v>65042.055999999982</v>
      </c>
      <c r="BO59">
        <v>78281.780000000086</v>
      </c>
      <c r="BP59">
        <v>110403.728</v>
      </c>
      <c r="BQ59">
        <v>134983.79999999999</v>
      </c>
      <c r="BR59">
        <v>1</v>
      </c>
      <c r="BS59">
        <v>1</v>
      </c>
      <c r="BT59">
        <v>1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</row>
    <row r="60" spans="1:90" x14ac:dyDescent="0.35">
      <c r="A60">
        <v>348235</v>
      </c>
      <c r="B60" t="s">
        <v>257</v>
      </c>
      <c r="C60" t="s">
        <v>258</v>
      </c>
      <c r="D60" s="1">
        <v>45800</v>
      </c>
      <c r="E60">
        <v>53850</v>
      </c>
      <c r="F60">
        <v>170</v>
      </c>
      <c r="G60" t="s">
        <v>90</v>
      </c>
      <c r="H60" t="s">
        <v>48</v>
      </c>
      <c r="I60" t="s">
        <v>49</v>
      </c>
      <c r="K60">
        <v>202505228002783</v>
      </c>
      <c r="L60">
        <v>1703306286085</v>
      </c>
      <c r="M60">
        <v>20250522</v>
      </c>
      <c r="N60" t="s">
        <v>193</v>
      </c>
      <c r="P60" t="s">
        <v>316</v>
      </c>
      <c r="Q60" t="s">
        <v>50</v>
      </c>
      <c r="R60">
        <v>20000</v>
      </c>
      <c r="S60">
        <v>0</v>
      </c>
      <c r="T60">
        <v>4264592</v>
      </c>
      <c r="U60">
        <v>90059390725</v>
      </c>
      <c r="V60" t="s">
        <v>317</v>
      </c>
      <c r="W60" t="s">
        <v>81</v>
      </c>
      <c r="Y60" t="s">
        <v>52</v>
      </c>
      <c r="Z60">
        <v>694</v>
      </c>
      <c r="AH60">
        <v>0</v>
      </c>
      <c r="AI60">
        <v>202505</v>
      </c>
      <c r="AJ60" t="s">
        <v>179</v>
      </c>
      <c r="AK60">
        <v>1</v>
      </c>
      <c r="AL60">
        <v>1</v>
      </c>
      <c r="AO60">
        <v>0</v>
      </c>
      <c r="AP60">
        <v>999</v>
      </c>
      <c r="AQ60">
        <v>501</v>
      </c>
      <c r="AR60">
        <v>501999</v>
      </c>
      <c r="AS60" t="s">
        <v>62</v>
      </c>
      <c r="AU60" t="s">
        <v>62</v>
      </c>
      <c r="AV60" t="s">
        <v>262</v>
      </c>
      <c r="AW60">
        <v>5000</v>
      </c>
      <c r="AX60">
        <v>15712.4</v>
      </c>
      <c r="AY60">
        <v>18425.036</v>
      </c>
      <c r="AZ60">
        <v>19036</v>
      </c>
      <c r="BA60">
        <v>19840</v>
      </c>
      <c r="BB60">
        <v>20740</v>
      </c>
      <c r="BC60">
        <v>22473.462</v>
      </c>
      <c r="BD60">
        <v>23237.86</v>
      </c>
      <c r="BE60">
        <v>25000</v>
      </c>
      <c r="BF60">
        <v>27463.635999999999</v>
      </c>
      <c r="BG60">
        <v>30000</v>
      </c>
      <c r="BH60">
        <v>34610.514000000003</v>
      </c>
      <c r="BI60">
        <v>35046</v>
      </c>
      <c r="BJ60">
        <v>38582.447999999997</v>
      </c>
      <c r="BK60">
        <v>42006.79</v>
      </c>
      <c r="BL60">
        <v>50000</v>
      </c>
      <c r="BM60">
        <v>54336.774000000027</v>
      </c>
      <c r="BN60">
        <v>65042.055999999982</v>
      </c>
      <c r="BO60">
        <v>78281.780000000086</v>
      </c>
      <c r="BP60">
        <v>110403.728</v>
      </c>
      <c r="BQ60">
        <v>134983.79999999999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</row>
    <row r="61" spans="1:90" x14ac:dyDescent="0.35">
      <c r="A61">
        <v>348143</v>
      </c>
      <c r="B61" t="s">
        <v>257</v>
      </c>
      <c r="C61" t="s">
        <v>258</v>
      </c>
      <c r="D61" s="1">
        <v>45797</v>
      </c>
      <c r="E61">
        <v>53850</v>
      </c>
      <c r="F61">
        <v>104</v>
      </c>
      <c r="G61" t="s">
        <v>54</v>
      </c>
      <c r="H61" t="s">
        <v>48</v>
      </c>
      <c r="I61" t="s">
        <v>49</v>
      </c>
      <c r="K61">
        <v>202505197992867</v>
      </c>
      <c r="L61">
        <v>1041204046489</v>
      </c>
      <c r="M61">
        <v>20250519</v>
      </c>
      <c r="N61" t="s">
        <v>193</v>
      </c>
      <c r="P61" t="s">
        <v>275</v>
      </c>
      <c r="Q61" t="s">
        <v>50</v>
      </c>
      <c r="R61">
        <v>55951.3</v>
      </c>
      <c r="S61">
        <v>0</v>
      </c>
      <c r="T61">
        <v>4046489</v>
      </c>
      <c r="U61">
        <v>5063080724</v>
      </c>
      <c r="V61" t="s">
        <v>318</v>
      </c>
      <c r="W61" t="s">
        <v>57</v>
      </c>
      <c r="X61" t="s">
        <v>97</v>
      </c>
      <c r="Y61" t="s">
        <v>52</v>
      </c>
      <c r="Z61">
        <v>1919</v>
      </c>
      <c r="AH61">
        <v>0</v>
      </c>
      <c r="AI61">
        <v>202505</v>
      </c>
      <c r="AJ61" t="s">
        <v>189</v>
      </c>
      <c r="AK61">
        <v>1</v>
      </c>
      <c r="AL61">
        <v>1</v>
      </c>
      <c r="AO61">
        <v>0</v>
      </c>
      <c r="AP61">
        <v>999</v>
      </c>
      <c r="AQ61">
        <v>430</v>
      </c>
      <c r="AR61">
        <v>430999</v>
      </c>
      <c r="AT61">
        <v>1</v>
      </c>
      <c r="AU61" t="s">
        <v>58</v>
      </c>
      <c r="AV61" t="s">
        <v>262</v>
      </c>
      <c r="AW61">
        <v>5000</v>
      </c>
      <c r="AX61">
        <v>15712.4</v>
      </c>
      <c r="AY61">
        <v>18425.036</v>
      </c>
      <c r="AZ61">
        <v>19036</v>
      </c>
      <c r="BA61">
        <v>19840</v>
      </c>
      <c r="BB61">
        <v>20740</v>
      </c>
      <c r="BC61">
        <v>22473.462</v>
      </c>
      <c r="BD61">
        <v>23237.86</v>
      </c>
      <c r="BE61">
        <v>25000</v>
      </c>
      <c r="BF61">
        <v>27463.635999999999</v>
      </c>
      <c r="BG61">
        <v>30000</v>
      </c>
      <c r="BH61">
        <v>34610.514000000003</v>
      </c>
      <c r="BI61">
        <v>35046</v>
      </c>
      <c r="BJ61">
        <v>38582.447999999997</v>
      </c>
      <c r="BK61">
        <v>42006.79</v>
      </c>
      <c r="BL61">
        <v>50000</v>
      </c>
      <c r="BM61">
        <v>54336.774000000027</v>
      </c>
      <c r="BN61">
        <v>65042.055999999982</v>
      </c>
      <c r="BO61">
        <v>78281.780000000086</v>
      </c>
      <c r="BP61">
        <v>110403.728</v>
      </c>
      <c r="BQ61">
        <v>134983.79999999999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0</v>
      </c>
      <c r="CJ61">
        <v>0</v>
      </c>
      <c r="CK61">
        <v>0</v>
      </c>
      <c r="CL61">
        <v>0</v>
      </c>
    </row>
    <row r="62" spans="1:90" x14ac:dyDescent="0.35">
      <c r="A62">
        <v>348118</v>
      </c>
      <c r="B62" t="s">
        <v>257</v>
      </c>
      <c r="C62" t="s">
        <v>258</v>
      </c>
      <c r="D62" s="1">
        <v>45794</v>
      </c>
      <c r="E62">
        <v>53850</v>
      </c>
      <c r="F62">
        <v>191</v>
      </c>
      <c r="G62" t="s">
        <v>197</v>
      </c>
      <c r="H62" t="s">
        <v>48</v>
      </c>
      <c r="I62" t="s">
        <v>49</v>
      </c>
      <c r="K62">
        <v>202505167986944</v>
      </c>
      <c r="L62">
        <v>1913300069010</v>
      </c>
      <c r="M62">
        <v>20250516</v>
      </c>
      <c r="N62" t="s">
        <v>193</v>
      </c>
      <c r="P62" t="s">
        <v>259</v>
      </c>
      <c r="Q62" t="s">
        <v>50</v>
      </c>
      <c r="R62">
        <v>230000</v>
      </c>
      <c r="S62">
        <v>0</v>
      </c>
      <c r="T62">
        <v>4067141</v>
      </c>
      <c r="U62" t="s">
        <v>319</v>
      </c>
      <c r="V62" t="s">
        <v>320</v>
      </c>
      <c r="W62" t="s">
        <v>94</v>
      </c>
      <c r="Y62" t="s">
        <v>259</v>
      </c>
      <c r="Z62">
        <v>517</v>
      </c>
      <c r="AH62">
        <v>0</v>
      </c>
      <c r="AI62">
        <v>202505</v>
      </c>
      <c r="AJ62" t="s">
        <v>179</v>
      </c>
      <c r="AK62">
        <v>1</v>
      </c>
      <c r="AL62">
        <v>1</v>
      </c>
      <c r="AO62">
        <v>0</v>
      </c>
      <c r="AP62">
        <v>999</v>
      </c>
      <c r="AQ62">
        <v>775</v>
      </c>
      <c r="AR62">
        <v>775999</v>
      </c>
      <c r="AS62" t="s">
        <v>53</v>
      </c>
      <c r="AU62" t="s">
        <v>53</v>
      </c>
      <c r="AV62" t="s">
        <v>262</v>
      </c>
      <c r="AW62">
        <v>5000</v>
      </c>
      <c r="AX62">
        <v>15712.4</v>
      </c>
      <c r="AY62">
        <v>18425.036</v>
      </c>
      <c r="AZ62">
        <v>19036</v>
      </c>
      <c r="BA62">
        <v>19840</v>
      </c>
      <c r="BB62">
        <v>20740</v>
      </c>
      <c r="BC62">
        <v>22473.462</v>
      </c>
      <c r="BD62">
        <v>23237.86</v>
      </c>
      <c r="BE62">
        <v>25000</v>
      </c>
      <c r="BF62">
        <v>27463.635999999999</v>
      </c>
      <c r="BG62">
        <v>30000</v>
      </c>
      <c r="BH62">
        <v>34610.514000000003</v>
      </c>
      <c r="BI62">
        <v>35046</v>
      </c>
      <c r="BJ62">
        <v>38582.447999999997</v>
      </c>
      <c r="BK62">
        <v>42006.79</v>
      </c>
      <c r="BL62">
        <v>50000</v>
      </c>
      <c r="BM62">
        <v>54336.774000000027</v>
      </c>
      <c r="BN62">
        <v>65042.055999999982</v>
      </c>
      <c r="BO62">
        <v>78281.780000000086</v>
      </c>
      <c r="BP62">
        <v>110403.728</v>
      </c>
      <c r="BQ62">
        <v>134983.79999999999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</row>
    <row r="63" spans="1:90" x14ac:dyDescent="0.35">
      <c r="A63">
        <v>348085</v>
      </c>
      <c r="B63" t="s">
        <v>257</v>
      </c>
      <c r="C63" t="s">
        <v>258</v>
      </c>
      <c r="D63" s="1">
        <v>45794</v>
      </c>
      <c r="E63">
        <v>53850</v>
      </c>
      <c r="F63">
        <v>174</v>
      </c>
      <c r="G63" t="s">
        <v>98</v>
      </c>
      <c r="H63" t="s">
        <v>48</v>
      </c>
      <c r="I63" t="s">
        <v>49</v>
      </c>
      <c r="K63">
        <v>202505167985187</v>
      </c>
      <c r="L63">
        <v>1743302880339</v>
      </c>
      <c r="M63">
        <v>20250516</v>
      </c>
      <c r="N63" t="s">
        <v>193</v>
      </c>
      <c r="P63" t="s">
        <v>321</v>
      </c>
      <c r="Q63" t="s">
        <v>59</v>
      </c>
      <c r="R63">
        <v>25000</v>
      </c>
      <c r="S63">
        <v>0</v>
      </c>
      <c r="T63">
        <v>4969332</v>
      </c>
      <c r="U63">
        <v>9411491211</v>
      </c>
      <c r="V63" t="s">
        <v>322</v>
      </c>
      <c r="W63" t="s">
        <v>57</v>
      </c>
      <c r="X63" t="s">
        <v>200</v>
      </c>
      <c r="Y63" t="s">
        <v>52</v>
      </c>
      <c r="Z63">
        <v>502</v>
      </c>
      <c r="AH63">
        <v>0</v>
      </c>
      <c r="AI63">
        <v>202505</v>
      </c>
      <c r="AJ63" t="s">
        <v>179</v>
      </c>
      <c r="AK63">
        <v>1</v>
      </c>
      <c r="AL63">
        <v>1</v>
      </c>
      <c r="AO63">
        <v>0</v>
      </c>
      <c r="AP63">
        <v>999</v>
      </c>
      <c r="AQ63">
        <v>430</v>
      </c>
      <c r="AR63">
        <v>430999</v>
      </c>
      <c r="AT63">
        <v>1</v>
      </c>
      <c r="AU63" t="s">
        <v>58</v>
      </c>
      <c r="AV63" t="s">
        <v>262</v>
      </c>
      <c r="AW63">
        <v>5000</v>
      </c>
      <c r="AX63">
        <v>15712.4</v>
      </c>
      <c r="AY63">
        <v>18425.036</v>
      </c>
      <c r="AZ63">
        <v>19036</v>
      </c>
      <c r="BA63">
        <v>19840</v>
      </c>
      <c r="BB63">
        <v>20740</v>
      </c>
      <c r="BC63">
        <v>22473.462</v>
      </c>
      <c r="BD63">
        <v>23237.86</v>
      </c>
      <c r="BE63">
        <v>25000</v>
      </c>
      <c r="BF63">
        <v>27463.635999999999</v>
      </c>
      <c r="BG63">
        <v>30000</v>
      </c>
      <c r="BH63">
        <v>34610.514000000003</v>
      </c>
      <c r="BI63">
        <v>35046</v>
      </c>
      <c r="BJ63">
        <v>38582.447999999997</v>
      </c>
      <c r="BK63">
        <v>42006.79</v>
      </c>
      <c r="BL63">
        <v>50000</v>
      </c>
      <c r="BM63">
        <v>54336.774000000027</v>
      </c>
      <c r="BN63">
        <v>65042.055999999982</v>
      </c>
      <c r="BO63">
        <v>78281.780000000086</v>
      </c>
      <c r="BP63">
        <v>110403.728</v>
      </c>
      <c r="BQ63">
        <v>134983.79999999999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</row>
    <row r="64" spans="1:90" x14ac:dyDescent="0.35">
      <c r="A64">
        <v>348084</v>
      </c>
      <c r="B64" t="s">
        <v>257</v>
      </c>
      <c r="C64" t="s">
        <v>258</v>
      </c>
      <c r="D64" s="1">
        <v>45794</v>
      </c>
      <c r="E64">
        <v>53850</v>
      </c>
      <c r="F64">
        <v>105</v>
      </c>
      <c r="G64" t="s">
        <v>47</v>
      </c>
      <c r="H64" t="s">
        <v>48</v>
      </c>
      <c r="I64" t="s">
        <v>49</v>
      </c>
      <c r="K64">
        <v>202505167985176</v>
      </c>
      <c r="L64">
        <v>1053300176050</v>
      </c>
      <c r="M64">
        <v>20250516</v>
      </c>
      <c r="N64" t="s">
        <v>193</v>
      </c>
      <c r="P64" t="s">
        <v>279</v>
      </c>
      <c r="Q64" t="s">
        <v>50</v>
      </c>
      <c r="R64">
        <v>660031.41</v>
      </c>
      <c r="S64">
        <v>0</v>
      </c>
      <c r="T64">
        <v>17605</v>
      </c>
      <c r="U64">
        <v>261350722</v>
      </c>
      <c r="V64" t="s">
        <v>323</v>
      </c>
      <c r="W64" t="s">
        <v>57</v>
      </c>
      <c r="X64" t="s">
        <v>324</v>
      </c>
      <c r="Y64" t="s">
        <v>52</v>
      </c>
      <c r="Z64">
        <v>1058</v>
      </c>
      <c r="AH64">
        <v>0</v>
      </c>
      <c r="AI64">
        <v>202505</v>
      </c>
      <c r="AJ64" t="s">
        <v>180</v>
      </c>
      <c r="AK64">
        <v>1</v>
      </c>
      <c r="AL64">
        <v>1</v>
      </c>
      <c r="AO64">
        <v>0</v>
      </c>
      <c r="AP64">
        <v>999</v>
      </c>
      <c r="AQ64">
        <v>430</v>
      </c>
      <c r="AR64">
        <v>430999</v>
      </c>
      <c r="AT64">
        <v>1</v>
      </c>
      <c r="AU64" t="s">
        <v>58</v>
      </c>
      <c r="AV64" t="s">
        <v>281</v>
      </c>
      <c r="AW64">
        <v>35255.730000000003</v>
      </c>
      <c r="AX64">
        <v>40532.292000000001</v>
      </c>
      <c r="AY64">
        <v>44318.877999999997</v>
      </c>
      <c r="AZ64">
        <v>45125.512000000002</v>
      </c>
      <c r="BA64">
        <v>47063.91</v>
      </c>
      <c r="BB64">
        <v>49568.19</v>
      </c>
      <c r="BC64">
        <v>51155.741999999998</v>
      </c>
      <c r="BD64">
        <v>53646.266000000003</v>
      </c>
      <c r="BE64">
        <v>57942.733999999997</v>
      </c>
      <c r="BF64">
        <v>60683.345999999998</v>
      </c>
      <c r="BG64">
        <v>62646.03</v>
      </c>
      <c r="BH64">
        <v>136475.66400000011</v>
      </c>
      <c r="BI64">
        <v>186663.09400000001</v>
      </c>
      <c r="BJ64">
        <v>189566.11600000001</v>
      </c>
      <c r="BK64">
        <v>195938.15400000001</v>
      </c>
      <c r="BL64">
        <v>204044.7</v>
      </c>
      <c r="BM64">
        <v>227373.3000000001</v>
      </c>
      <c r="BN64">
        <v>252854.712</v>
      </c>
      <c r="BO64">
        <v>282641.74800000002</v>
      </c>
      <c r="BP64">
        <v>294996.82</v>
      </c>
      <c r="BQ64">
        <v>298635.90999999997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</row>
    <row r="65" spans="1:90" x14ac:dyDescent="0.35">
      <c r="A65">
        <v>348075</v>
      </c>
      <c r="B65" t="s">
        <v>257</v>
      </c>
      <c r="C65" t="s">
        <v>258</v>
      </c>
      <c r="D65" s="1">
        <v>45793</v>
      </c>
      <c r="E65">
        <v>53850</v>
      </c>
      <c r="F65">
        <v>102</v>
      </c>
      <c r="G65" t="s">
        <v>56</v>
      </c>
      <c r="H65" t="s">
        <v>48</v>
      </c>
      <c r="I65" t="s">
        <v>49</v>
      </c>
      <c r="K65">
        <v>202505157982041</v>
      </c>
      <c r="L65">
        <v>2583302250573</v>
      </c>
      <c r="M65">
        <v>20250515</v>
      </c>
      <c r="N65" t="s">
        <v>193</v>
      </c>
      <c r="P65" t="s">
        <v>259</v>
      </c>
      <c r="Q65" t="s">
        <v>59</v>
      </c>
      <c r="R65">
        <v>24000</v>
      </c>
      <c r="S65">
        <v>0</v>
      </c>
      <c r="T65">
        <v>4127428</v>
      </c>
      <c r="U65" t="s">
        <v>294</v>
      </c>
      <c r="V65" t="s">
        <v>295</v>
      </c>
      <c r="W65" t="s">
        <v>67</v>
      </c>
      <c r="X65" t="s">
        <v>296</v>
      </c>
      <c r="Y65" t="s">
        <v>52</v>
      </c>
      <c r="Z65">
        <v>1949</v>
      </c>
      <c r="AH65">
        <v>0</v>
      </c>
      <c r="AI65">
        <v>202505</v>
      </c>
      <c r="AJ65" t="s">
        <v>64</v>
      </c>
      <c r="AK65">
        <v>0</v>
      </c>
      <c r="AL65">
        <v>1</v>
      </c>
      <c r="AM65">
        <v>4127428</v>
      </c>
      <c r="AN65">
        <v>1</v>
      </c>
      <c r="AO65">
        <v>0</v>
      </c>
      <c r="AP65">
        <v>999</v>
      </c>
      <c r="AQ65">
        <v>615</v>
      </c>
      <c r="AR65">
        <v>615999</v>
      </c>
      <c r="AT65">
        <v>1</v>
      </c>
      <c r="AU65" t="s">
        <v>62</v>
      </c>
      <c r="AV65" t="s">
        <v>262</v>
      </c>
      <c r="AW65">
        <v>5000</v>
      </c>
      <c r="AX65">
        <v>15712.4</v>
      </c>
      <c r="AY65">
        <v>18425.036</v>
      </c>
      <c r="AZ65">
        <v>19036</v>
      </c>
      <c r="BA65">
        <v>19840</v>
      </c>
      <c r="BB65">
        <v>20740</v>
      </c>
      <c r="BC65">
        <v>22473.462</v>
      </c>
      <c r="BD65">
        <v>23237.86</v>
      </c>
      <c r="BE65">
        <v>25000</v>
      </c>
      <c r="BF65">
        <v>27463.635999999999</v>
      </c>
      <c r="BG65">
        <v>30000</v>
      </c>
      <c r="BH65">
        <v>34610.514000000003</v>
      </c>
      <c r="BI65">
        <v>35046</v>
      </c>
      <c r="BJ65">
        <v>38582.447999999997</v>
      </c>
      <c r="BK65">
        <v>42006.79</v>
      </c>
      <c r="BL65">
        <v>50000</v>
      </c>
      <c r="BM65">
        <v>54336.774000000027</v>
      </c>
      <c r="BN65">
        <v>65042.055999999982</v>
      </c>
      <c r="BO65">
        <v>78281.780000000086</v>
      </c>
      <c r="BP65">
        <v>110403.728</v>
      </c>
      <c r="BQ65">
        <v>134983.79999999999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</row>
    <row r="66" spans="1:90" x14ac:dyDescent="0.35">
      <c r="A66">
        <v>348049</v>
      </c>
      <c r="B66" t="s">
        <v>257</v>
      </c>
      <c r="C66" t="s">
        <v>258</v>
      </c>
      <c r="D66" s="1">
        <v>45793</v>
      </c>
      <c r="E66">
        <v>53850</v>
      </c>
      <c r="F66">
        <v>110</v>
      </c>
      <c r="G66" t="s">
        <v>89</v>
      </c>
      <c r="H66" t="s">
        <v>48</v>
      </c>
      <c r="I66" t="s">
        <v>49</v>
      </c>
      <c r="K66">
        <v>202505157982165</v>
      </c>
      <c r="L66">
        <v>1103306288240</v>
      </c>
      <c r="M66">
        <v>20250515</v>
      </c>
      <c r="N66" t="s">
        <v>193</v>
      </c>
      <c r="P66" t="s">
        <v>287</v>
      </c>
      <c r="Q66" t="s">
        <v>59</v>
      </c>
      <c r="R66">
        <v>298635.90999999997</v>
      </c>
      <c r="S66">
        <v>0</v>
      </c>
      <c r="T66">
        <v>4960705</v>
      </c>
      <c r="U66">
        <v>8520490726</v>
      </c>
      <c r="V66" t="s">
        <v>288</v>
      </c>
      <c r="W66" t="s">
        <v>57</v>
      </c>
      <c r="X66" t="s">
        <v>85</v>
      </c>
      <c r="Y66" t="s">
        <v>52</v>
      </c>
      <c r="Z66">
        <v>1696</v>
      </c>
      <c r="AH66">
        <v>0</v>
      </c>
      <c r="AI66">
        <v>202505</v>
      </c>
      <c r="AJ66" t="s">
        <v>55</v>
      </c>
      <c r="AK66">
        <v>0</v>
      </c>
      <c r="AL66">
        <v>1</v>
      </c>
      <c r="AO66">
        <v>0</v>
      </c>
      <c r="AP66">
        <v>464</v>
      </c>
      <c r="AQ66">
        <v>430</v>
      </c>
      <c r="AR66">
        <v>430464</v>
      </c>
      <c r="AS66" t="s">
        <v>86</v>
      </c>
      <c r="AU66" t="s">
        <v>86</v>
      </c>
      <c r="AV66" t="s">
        <v>281</v>
      </c>
      <c r="AW66">
        <v>35255.730000000003</v>
      </c>
      <c r="AX66">
        <v>40532.292000000001</v>
      </c>
      <c r="AY66">
        <v>44318.877999999997</v>
      </c>
      <c r="AZ66">
        <v>45125.512000000002</v>
      </c>
      <c r="BA66">
        <v>47063.91</v>
      </c>
      <c r="BB66">
        <v>49568.19</v>
      </c>
      <c r="BC66">
        <v>51155.741999999998</v>
      </c>
      <c r="BD66">
        <v>53646.266000000003</v>
      </c>
      <c r="BE66">
        <v>57942.733999999997</v>
      </c>
      <c r="BF66">
        <v>60683.345999999998</v>
      </c>
      <c r="BG66">
        <v>62646.03</v>
      </c>
      <c r="BH66">
        <v>136475.66400000011</v>
      </c>
      <c r="BI66">
        <v>186663.09400000001</v>
      </c>
      <c r="BJ66">
        <v>189566.11600000001</v>
      </c>
      <c r="BK66">
        <v>195938.15400000001</v>
      </c>
      <c r="BL66">
        <v>204044.7</v>
      </c>
      <c r="BM66">
        <v>227373.3000000001</v>
      </c>
      <c r="BN66">
        <v>252854.712</v>
      </c>
      <c r="BO66">
        <v>282641.74800000002</v>
      </c>
      <c r="BP66">
        <v>294996.82</v>
      </c>
      <c r="BQ66">
        <v>298635.90999999997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</row>
    <row r="67" spans="1:90" x14ac:dyDescent="0.35">
      <c r="A67">
        <v>348031</v>
      </c>
      <c r="B67" t="s">
        <v>257</v>
      </c>
      <c r="C67" t="s">
        <v>258</v>
      </c>
      <c r="D67" s="1">
        <v>45792</v>
      </c>
      <c r="E67">
        <v>53850</v>
      </c>
      <c r="F67">
        <v>109</v>
      </c>
      <c r="G67" t="s">
        <v>69</v>
      </c>
      <c r="H67" t="s">
        <v>48</v>
      </c>
      <c r="I67" t="s">
        <v>49</v>
      </c>
      <c r="K67">
        <v>202505147979164</v>
      </c>
      <c r="L67">
        <v>1093306667367</v>
      </c>
      <c r="M67">
        <v>20250514</v>
      </c>
      <c r="N67" t="s">
        <v>193</v>
      </c>
      <c r="P67" t="s">
        <v>275</v>
      </c>
      <c r="Q67" t="s">
        <v>59</v>
      </c>
      <c r="R67">
        <v>51994.49</v>
      </c>
      <c r="S67">
        <v>0</v>
      </c>
      <c r="T67">
        <v>4026861</v>
      </c>
      <c r="U67">
        <v>5195820724</v>
      </c>
      <c r="V67" t="s">
        <v>384</v>
      </c>
      <c r="W67" t="s">
        <v>57</v>
      </c>
      <c r="X67" t="s">
        <v>87</v>
      </c>
      <c r="Y67" t="s">
        <v>52</v>
      </c>
      <c r="Z67">
        <v>1696</v>
      </c>
      <c r="AH67">
        <v>0</v>
      </c>
      <c r="AI67">
        <v>202505</v>
      </c>
      <c r="AJ67" t="s">
        <v>64</v>
      </c>
      <c r="AK67">
        <v>0</v>
      </c>
      <c r="AL67">
        <v>1</v>
      </c>
      <c r="AM67">
        <v>4026861</v>
      </c>
      <c r="AN67">
        <v>1</v>
      </c>
      <c r="AO67">
        <v>0</v>
      </c>
      <c r="AP67">
        <v>477</v>
      </c>
      <c r="AQ67">
        <v>430</v>
      </c>
      <c r="AR67">
        <v>430477</v>
      </c>
      <c r="AS67" t="s">
        <v>62</v>
      </c>
      <c r="AU67" t="s">
        <v>62</v>
      </c>
      <c r="AV67" t="s">
        <v>262</v>
      </c>
      <c r="AW67">
        <v>5000</v>
      </c>
      <c r="AX67">
        <v>15712.4</v>
      </c>
      <c r="AY67">
        <v>18425.036</v>
      </c>
      <c r="AZ67">
        <v>19036</v>
      </c>
      <c r="BA67">
        <v>19840</v>
      </c>
      <c r="BB67">
        <v>20740</v>
      </c>
      <c r="BC67">
        <v>22473.462</v>
      </c>
      <c r="BD67">
        <v>23237.86</v>
      </c>
      <c r="BE67">
        <v>25000</v>
      </c>
      <c r="BF67">
        <v>27463.635999999999</v>
      </c>
      <c r="BG67">
        <v>30000</v>
      </c>
      <c r="BH67">
        <v>34610.514000000003</v>
      </c>
      <c r="BI67">
        <v>35046</v>
      </c>
      <c r="BJ67">
        <v>38582.447999999997</v>
      </c>
      <c r="BK67">
        <v>42006.79</v>
      </c>
      <c r="BL67">
        <v>50000</v>
      </c>
      <c r="BM67">
        <v>54336.774000000027</v>
      </c>
      <c r="BN67">
        <v>65042.055999999982</v>
      </c>
      <c r="BO67">
        <v>78281.780000000086</v>
      </c>
      <c r="BP67">
        <v>110403.728</v>
      </c>
      <c r="BQ67">
        <v>134983.79999999999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0</v>
      </c>
      <c r="CI67">
        <v>0</v>
      </c>
      <c r="CJ67">
        <v>0</v>
      </c>
      <c r="CK67">
        <v>0</v>
      </c>
      <c r="CL67">
        <v>0</v>
      </c>
    </row>
    <row r="68" spans="1:90" x14ac:dyDescent="0.35">
      <c r="A68">
        <v>348013</v>
      </c>
      <c r="B68" t="s">
        <v>257</v>
      </c>
      <c r="C68" t="s">
        <v>258</v>
      </c>
      <c r="D68" s="1">
        <v>45792</v>
      </c>
      <c r="E68">
        <v>53850</v>
      </c>
      <c r="F68">
        <v>140</v>
      </c>
      <c r="G68" t="s">
        <v>265</v>
      </c>
      <c r="H68" t="s">
        <v>48</v>
      </c>
      <c r="I68" t="s">
        <v>49</v>
      </c>
      <c r="K68">
        <v>202505147979180</v>
      </c>
      <c r="L68">
        <v>1403300003116</v>
      </c>
      <c r="M68">
        <v>20250514</v>
      </c>
      <c r="N68" t="s">
        <v>193</v>
      </c>
      <c r="P68" t="s">
        <v>308</v>
      </c>
      <c r="Q68" t="s">
        <v>59</v>
      </c>
      <c r="R68">
        <v>18942.89</v>
      </c>
      <c r="S68">
        <v>0</v>
      </c>
      <c r="T68">
        <v>4089951</v>
      </c>
      <c r="U68" t="s">
        <v>309</v>
      </c>
      <c r="V68" t="s">
        <v>310</v>
      </c>
      <c r="W68" t="s">
        <v>51</v>
      </c>
      <c r="Y68" t="s">
        <v>52</v>
      </c>
      <c r="Z68">
        <v>1403</v>
      </c>
      <c r="AH68">
        <v>0</v>
      </c>
      <c r="AI68">
        <v>202505</v>
      </c>
      <c r="AJ68" t="s">
        <v>179</v>
      </c>
      <c r="AK68">
        <v>1</v>
      </c>
      <c r="AL68">
        <v>1</v>
      </c>
      <c r="AO68">
        <v>0</v>
      </c>
      <c r="AP68">
        <v>999</v>
      </c>
      <c r="AQ68">
        <v>600</v>
      </c>
      <c r="AR68">
        <v>600999</v>
      </c>
      <c r="AS68" t="s">
        <v>53</v>
      </c>
      <c r="AU68" t="s">
        <v>53</v>
      </c>
      <c r="AV68" t="s">
        <v>262</v>
      </c>
      <c r="AW68">
        <v>5000</v>
      </c>
      <c r="AX68">
        <v>15712.4</v>
      </c>
      <c r="AY68">
        <v>18425.036</v>
      </c>
      <c r="AZ68">
        <v>19036</v>
      </c>
      <c r="BA68">
        <v>19840</v>
      </c>
      <c r="BB68">
        <v>20740</v>
      </c>
      <c r="BC68">
        <v>22473.462</v>
      </c>
      <c r="BD68">
        <v>23237.86</v>
      </c>
      <c r="BE68">
        <v>25000</v>
      </c>
      <c r="BF68">
        <v>27463.635999999999</v>
      </c>
      <c r="BG68">
        <v>30000</v>
      </c>
      <c r="BH68">
        <v>34610.514000000003</v>
      </c>
      <c r="BI68">
        <v>35046</v>
      </c>
      <c r="BJ68">
        <v>38582.447999999997</v>
      </c>
      <c r="BK68">
        <v>42006.79</v>
      </c>
      <c r="BL68">
        <v>50000</v>
      </c>
      <c r="BM68">
        <v>54336.774000000027</v>
      </c>
      <c r="BN68">
        <v>65042.055999999982</v>
      </c>
      <c r="BO68">
        <v>78281.780000000086</v>
      </c>
      <c r="BP68">
        <v>110403.728</v>
      </c>
      <c r="BQ68">
        <v>134983.79999999999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</row>
    <row r="69" spans="1:90" x14ac:dyDescent="0.35">
      <c r="A69">
        <v>347999</v>
      </c>
      <c r="B69" t="s">
        <v>257</v>
      </c>
      <c r="C69" t="s">
        <v>258</v>
      </c>
      <c r="D69" s="1">
        <v>45792</v>
      </c>
      <c r="E69">
        <v>53850</v>
      </c>
      <c r="F69">
        <v>140</v>
      </c>
      <c r="G69" t="s">
        <v>265</v>
      </c>
      <c r="H69" t="s">
        <v>48</v>
      </c>
      <c r="I69" t="s">
        <v>49</v>
      </c>
      <c r="K69">
        <v>202505147979180</v>
      </c>
      <c r="L69">
        <v>1403300003116</v>
      </c>
      <c r="M69">
        <v>20250514</v>
      </c>
      <c r="N69" t="s">
        <v>193</v>
      </c>
      <c r="P69" t="s">
        <v>308</v>
      </c>
      <c r="Q69" t="s">
        <v>59</v>
      </c>
      <c r="R69">
        <v>18942.89</v>
      </c>
      <c r="S69">
        <v>0</v>
      </c>
      <c r="T69">
        <v>4090758</v>
      </c>
      <c r="U69" t="s">
        <v>311</v>
      </c>
      <c r="V69" t="s">
        <v>312</v>
      </c>
      <c r="W69" t="s">
        <v>51</v>
      </c>
      <c r="Y69" t="s">
        <v>52</v>
      </c>
      <c r="Z69">
        <v>1403</v>
      </c>
      <c r="AH69">
        <v>0</v>
      </c>
      <c r="AI69">
        <v>202505</v>
      </c>
      <c r="AJ69" t="s">
        <v>179</v>
      </c>
      <c r="AK69">
        <v>1</v>
      </c>
      <c r="AL69">
        <v>1</v>
      </c>
      <c r="AO69">
        <v>0</v>
      </c>
      <c r="AP69">
        <v>999</v>
      </c>
      <c r="AQ69">
        <v>600</v>
      </c>
      <c r="AR69">
        <v>600999</v>
      </c>
      <c r="AS69" t="s">
        <v>53</v>
      </c>
      <c r="AU69" t="s">
        <v>53</v>
      </c>
      <c r="AV69" t="s">
        <v>262</v>
      </c>
      <c r="AW69">
        <v>5000</v>
      </c>
      <c r="AX69">
        <v>15712.4</v>
      </c>
      <c r="AY69">
        <v>18425.036</v>
      </c>
      <c r="AZ69">
        <v>19036</v>
      </c>
      <c r="BA69">
        <v>19840</v>
      </c>
      <c r="BB69">
        <v>20740</v>
      </c>
      <c r="BC69">
        <v>22473.462</v>
      </c>
      <c r="BD69">
        <v>23237.86</v>
      </c>
      <c r="BE69">
        <v>25000</v>
      </c>
      <c r="BF69">
        <v>27463.635999999999</v>
      </c>
      <c r="BG69">
        <v>30000</v>
      </c>
      <c r="BH69">
        <v>34610.514000000003</v>
      </c>
      <c r="BI69">
        <v>35046</v>
      </c>
      <c r="BJ69">
        <v>38582.447999999997</v>
      </c>
      <c r="BK69">
        <v>42006.79</v>
      </c>
      <c r="BL69">
        <v>50000</v>
      </c>
      <c r="BM69">
        <v>54336.774000000027</v>
      </c>
      <c r="BN69">
        <v>65042.055999999982</v>
      </c>
      <c r="BO69">
        <v>78281.780000000086</v>
      </c>
      <c r="BP69">
        <v>110403.728</v>
      </c>
      <c r="BQ69">
        <v>134983.79999999999</v>
      </c>
      <c r="BR69">
        <v>1</v>
      </c>
      <c r="BS69">
        <v>1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</row>
    <row r="70" spans="1:90" x14ac:dyDescent="0.35">
      <c r="A70">
        <v>347985</v>
      </c>
      <c r="B70" t="s">
        <v>257</v>
      </c>
      <c r="C70" t="s">
        <v>258</v>
      </c>
      <c r="D70" s="1">
        <v>45791</v>
      </c>
      <c r="E70">
        <v>53850</v>
      </c>
      <c r="F70">
        <v>102</v>
      </c>
      <c r="G70" t="s">
        <v>56</v>
      </c>
      <c r="H70" t="s">
        <v>48</v>
      </c>
      <c r="I70" t="s">
        <v>49</v>
      </c>
      <c r="K70">
        <v>202505137975485</v>
      </c>
      <c r="L70">
        <v>1023308723686</v>
      </c>
      <c r="M70">
        <v>20250513</v>
      </c>
      <c r="N70" t="s">
        <v>193</v>
      </c>
      <c r="P70" t="s">
        <v>259</v>
      </c>
      <c r="Q70" t="s">
        <v>59</v>
      </c>
      <c r="R70">
        <v>50000</v>
      </c>
      <c r="S70">
        <v>0</v>
      </c>
      <c r="T70">
        <v>531420</v>
      </c>
      <c r="U70" t="s">
        <v>325</v>
      </c>
      <c r="V70" t="s">
        <v>326</v>
      </c>
      <c r="W70" t="s">
        <v>67</v>
      </c>
      <c r="X70" t="s">
        <v>201</v>
      </c>
      <c r="Y70" t="s">
        <v>52</v>
      </c>
      <c r="Z70">
        <v>1306</v>
      </c>
      <c r="AH70">
        <v>0</v>
      </c>
      <c r="AI70">
        <v>202505</v>
      </c>
      <c r="AJ70" t="s">
        <v>64</v>
      </c>
      <c r="AK70">
        <v>0</v>
      </c>
      <c r="AL70">
        <v>1</v>
      </c>
      <c r="AO70">
        <v>0</v>
      </c>
      <c r="AP70">
        <v>999</v>
      </c>
      <c r="AQ70">
        <v>615</v>
      </c>
      <c r="AR70">
        <v>615999</v>
      </c>
      <c r="AT70">
        <v>1</v>
      </c>
      <c r="AU70" t="s">
        <v>62</v>
      </c>
      <c r="AV70" t="s">
        <v>262</v>
      </c>
      <c r="AW70">
        <v>5000</v>
      </c>
      <c r="AX70">
        <v>15712.4</v>
      </c>
      <c r="AY70">
        <v>18425.036</v>
      </c>
      <c r="AZ70">
        <v>19036</v>
      </c>
      <c r="BA70">
        <v>19840</v>
      </c>
      <c r="BB70">
        <v>20740</v>
      </c>
      <c r="BC70">
        <v>22473.462</v>
      </c>
      <c r="BD70">
        <v>23237.86</v>
      </c>
      <c r="BE70">
        <v>25000</v>
      </c>
      <c r="BF70">
        <v>27463.635999999999</v>
      </c>
      <c r="BG70">
        <v>30000</v>
      </c>
      <c r="BH70">
        <v>34610.514000000003</v>
      </c>
      <c r="BI70">
        <v>35046</v>
      </c>
      <c r="BJ70">
        <v>38582.447999999997</v>
      </c>
      <c r="BK70">
        <v>42006.79</v>
      </c>
      <c r="BL70">
        <v>50000</v>
      </c>
      <c r="BM70">
        <v>54336.774000000027</v>
      </c>
      <c r="BN70">
        <v>65042.055999999982</v>
      </c>
      <c r="BO70">
        <v>78281.780000000086</v>
      </c>
      <c r="BP70">
        <v>110403.728</v>
      </c>
      <c r="BQ70">
        <v>134983.79999999999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0</v>
      </c>
      <c r="CI70">
        <v>0</v>
      </c>
      <c r="CJ70">
        <v>0</v>
      </c>
      <c r="CK70">
        <v>0</v>
      </c>
      <c r="CL70">
        <v>0</v>
      </c>
    </row>
    <row r="71" spans="1:90" x14ac:dyDescent="0.35">
      <c r="A71">
        <v>347979</v>
      </c>
      <c r="B71" t="s">
        <v>257</v>
      </c>
      <c r="C71" t="s">
        <v>258</v>
      </c>
      <c r="D71" s="1">
        <v>45791</v>
      </c>
      <c r="E71">
        <v>53850</v>
      </c>
      <c r="F71">
        <v>102</v>
      </c>
      <c r="G71" t="s">
        <v>56</v>
      </c>
      <c r="H71" t="s">
        <v>48</v>
      </c>
      <c r="I71" t="s">
        <v>49</v>
      </c>
      <c r="K71">
        <v>202505137975252</v>
      </c>
      <c r="L71">
        <v>1023308723686</v>
      </c>
      <c r="M71">
        <v>20250513</v>
      </c>
      <c r="N71" t="s">
        <v>193</v>
      </c>
      <c r="P71" t="s">
        <v>259</v>
      </c>
      <c r="Q71" t="s">
        <v>59</v>
      </c>
      <c r="R71">
        <v>30000</v>
      </c>
      <c r="S71">
        <v>0</v>
      </c>
      <c r="T71">
        <v>531420</v>
      </c>
      <c r="U71" t="s">
        <v>325</v>
      </c>
      <c r="V71" t="s">
        <v>326</v>
      </c>
      <c r="W71" t="s">
        <v>67</v>
      </c>
      <c r="X71" t="s">
        <v>201</v>
      </c>
      <c r="Y71" t="s">
        <v>52</v>
      </c>
      <c r="Z71">
        <v>1306</v>
      </c>
      <c r="AH71">
        <v>0</v>
      </c>
      <c r="AI71">
        <v>202505</v>
      </c>
      <c r="AJ71" t="s">
        <v>64</v>
      </c>
      <c r="AK71">
        <v>0</v>
      </c>
      <c r="AL71">
        <v>1</v>
      </c>
      <c r="AO71">
        <v>0</v>
      </c>
      <c r="AP71">
        <v>999</v>
      </c>
      <c r="AQ71">
        <v>615</v>
      </c>
      <c r="AR71">
        <v>615999</v>
      </c>
      <c r="AT71">
        <v>1</v>
      </c>
      <c r="AU71" t="s">
        <v>62</v>
      </c>
      <c r="AV71" t="s">
        <v>262</v>
      </c>
      <c r="AW71">
        <v>5000</v>
      </c>
      <c r="AX71">
        <v>15712.4</v>
      </c>
      <c r="AY71">
        <v>18425.036</v>
      </c>
      <c r="AZ71">
        <v>19036</v>
      </c>
      <c r="BA71">
        <v>19840</v>
      </c>
      <c r="BB71">
        <v>20740</v>
      </c>
      <c r="BC71">
        <v>22473.462</v>
      </c>
      <c r="BD71">
        <v>23237.86</v>
      </c>
      <c r="BE71">
        <v>25000</v>
      </c>
      <c r="BF71">
        <v>27463.635999999999</v>
      </c>
      <c r="BG71">
        <v>30000</v>
      </c>
      <c r="BH71">
        <v>34610.514000000003</v>
      </c>
      <c r="BI71">
        <v>35046</v>
      </c>
      <c r="BJ71">
        <v>38582.447999999997</v>
      </c>
      <c r="BK71">
        <v>42006.79</v>
      </c>
      <c r="BL71">
        <v>50000</v>
      </c>
      <c r="BM71">
        <v>54336.774000000027</v>
      </c>
      <c r="BN71">
        <v>65042.055999999982</v>
      </c>
      <c r="BO71">
        <v>78281.780000000086</v>
      </c>
      <c r="BP71">
        <v>110403.728</v>
      </c>
      <c r="BQ71">
        <v>134983.79999999999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</row>
    <row r="72" spans="1:90" x14ac:dyDescent="0.35">
      <c r="A72">
        <v>347978</v>
      </c>
      <c r="B72" t="s">
        <v>257</v>
      </c>
      <c r="C72" t="s">
        <v>258</v>
      </c>
      <c r="D72" s="1">
        <v>45791</v>
      </c>
      <c r="E72">
        <v>53850</v>
      </c>
      <c r="F72">
        <v>131</v>
      </c>
      <c r="G72" t="s">
        <v>184</v>
      </c>
      <c r="H72" t="s">
        <v>48</v>
      </c>
      <c r="I72" t="s">
        <v>49</v>
      </c>
      <c r="K72">
        <v>202505137976926</v>
      </c>
      <c r="L72">
        <v>1313300004532</v>
      </c>
      <c r="M72">
        <v>20250513</v>
      </c>
      <c r="N72" t="s">
        <v>193</v>
      </c>
      <c r="P72" t="s">
        <v>259</v>
      </c>
      <c r="Q72" t="s">
        <v>50</v>
      </c>
      <c r="R72">
        <v>15666.67</v>
      </c>
      <c r="S72">
        <v>0</v>
      </c>
      <c r="T72">
        <v>3739170</v>
      </c>
      <c r="U72" t="s">
        <v>327</v>
      </c>
      <c r="V72" t="s">
        <v>328</v>
      </c>
      <c r="W72" t="s">
        <v>51</v>
      </c>
      <c r="Y72" t="s">
        <v>52</v>
      </c>
      <c r="Z72">
        <v>915</v>
      </c>
      <c r="AH72">
        <v>0</v>
      </c>
      <c r="AI72">
        <v>202505</v>
      </c>
      <c r="AJ72" t="s">
        <v>180</v>
      </c>
      <c r="AK72">
        <v>1</v>
      </c>
      <c r="AL72">
        <v>1</v>
      </c>
      <c r="AO72">
        <v>0</v>
      </c>
      <c r="AP72">
        <v>999</v>
      </c>
      <c r="AQ72">
        <v>600</v>
      </c>
      <c r="AR72">
        <v>600999</v>
      </c>
      <c r="AS72" t="s">
        <v>53</v>
      </c>
      <c r="AU72" t="s">
        <v>53</v>
      </c>
      <c r="AV72" t="s">
        <v>262</v>
      </c>
      <c r="AW72">
        <v>5000</v>
      </c>
      <c r="AX72">
        <v>15712.4</v>
      </c>
      <c r="AY72">
        <v>18425.036</v>
      </c>
      <c r="AZ72">
        <v>19036</v>
      </c>
      <c r="BA72">
        <v>19840</v>
      </c>
      <c r="BB72">
        <v>20740</v>
      </c>
      <c r="BC72">
        <v>22473.462</v>
      </c>
      <c r="BD72">
        <v>23237.86</v>
      </c>
      <c r="BE72">
        <v>25000</v>
      </c>
      <c r="BF72">
        <v>27463.635999999999</v>
      </c>
      <c r="BG72">
        <v>30000</v>
      </c>
      <c r="BH72">
        <v>34610.514000000003</v>
      </c>
      <c r="BI72">
        <v>35046</v>
      </c>
      <c r="BJ72">
        <v>38582.447999999997</v>
      </c>
      <c r="BK72">
        <v>42006.79</v>
      </c>
      <c r="BL72">
        <v>50000</v>
      </c>
      <c r="BM72">
        <v>54336.774000000027</v>
      </c>
      <c r="BN72">
        <v>65042.055999999982</v>
      </c>
      <c r="BO72">
        <v>78281.780000000086</v>
      </c>
      <c r="BP72">
        <v>110403.728</v>
      </c>
      <c r="BQ72">
        <v>134983.79999999999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</row>
    <row r="73" spans="1:90" x14ac:dyDescent="0.35">
      <c r="A73">
        <v>347975</v>
      </c>
      <c r="B73" t="s">
        <v>257</v>
      </c>
      <c r="C73" t="s">
        <v>258</v>
      </c>
      <c r="D73" s="1">
        <v>45791</v>
      </c>
      <c r="E73">
        <v>53850</v>
      </c>
      <c r="F73">
        <v>131</v>
      </c>
      <c r="G73" t="s">
        <v>184</v>
      </c>
      <c r="H73" t="s">
        <v>48</v>
      </c>
      <c r="I73" t="s">
        <v>49</v>
      </c>
      <c r="K73">
        <v>202505137976927</v>
      </c>
      <c r="L73">
        <v>1313300004532</v>
      </c>
      <c r="M73">
        <v>20250513</v>
      </c>
      <c r="N73" t="s">
        <v>193</v>
      </c>
      <c r="P73" t="s">
        <v>259</v>
      </c>
      <c r="Q73" t="s">
        <v>50</v>
      </c>
      <c r="R73">
        <v>28666.66</v>
      </c>
      <c r="S73">
        <v>0</v>
      </c>
      <c r="T73">
        <v>3739170</v>
      </c>
      <c r="U73" t="s">
        <v>327</v>
      </c>
      <c r="V73" t="s">
        <v>328</v>
      </c>
      <c r="W73" t="s">
        <v>51</v>
      </c>
      <c r="Y73" t="s">
        <v>52</v>
      </c>
      <c r="Z73">
        <v>915</v>
      </c>
      <c r="AH73">
        <v>0</v>
      </c>
      <c r="AI73">
        <v>202505</v>
      </c>
      <c r="AJ73" t="s">
        <v>180</v>
      </c>
      <c r="AK73">
        <v>1</v>
      </c>
      <c r="AL73">
        <v>1</v>
      </c>
      <c r="AO73">
        <v>0</v>
      </c>
      <c r="AP73">
        <v>999</v>
      </c>
      <c r="AQ73">
        <v>600</v>
      </c>
      <c r="AR73">
        <v>600999</v>
      </c>
      <c r="AS73" t="s">
        <v>53</v>
      </c>
      <c r="AU73" t="s">
        <v>53</v>
      </c>
      <c r="AV73" t="s">
        <v>262</v>
      </c>
      <c r="AW73">
        <v>5000</v>
      </c>
      <c r="AX73">
        <v>15712.4</v>
      </c>
      <c r="AY73">
        <v>18425.036</v>
      </c>
      <c r="AZ73">
        <v>19036</v>
      </c>
      <c r="BA73">
        <v>19840</v>
      </c>
      <c r="BB73">
        <v>20740</v>
      </c>
      <c r="BC73">
        <v>22473.462</v>
      </c>
      <c r="BD73">
        <v>23237.86</v>
      </c>
      <c r="BE73">
        <v>25000</v>
      </c>
      <c r="BF73">
        <v>27463.635999999999</v>
      </c>
      <c r="BG73">
        <v>30000</v>
      </c>
      <c r="BH73">
        <v>34610.514000000003</v>
      </c>
      <c r="BI73">
        <v>35046</v>
      </c>
      <c r="BJ73">
        <v>38582.447999999997</v>
      </c>
      <c r="BK73">
        <v>42006.79</v>
      </c>
      <c r="BL73">
        <v>50000</v>
      </c>
      <c r="BM73">
        <v>54336.774000000027</v>
      </c>
      <c r="BN73">
        <v>65042.055999999982</v>
      </c>
      <c r="BO73">
        <v>78281.780000000086</v>
      </c>
      <c r="BP73">
        <v>110403.728</v>
      </c>
      <c r="BQ73">
        <v>134983.79999999999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</row>
    <row r="74" spans="1:90" x14ac:dyDescent="0.35">
      <c r="A74">
        <v>347974</v>
      </c>
      <c r="B74" t="s">
        <v>257</v>
      </c>
      <c r="C74" t="s">
        <v>258</v>
      </c>
      <c r="D74" s="1">
        <v>45791</v>
      </c>
      <c r="E74">
        <v>53850</v>
      </c>
      <c r="F74">
        <v>226</v>
      </c>
      <c r="G74" t="s">
        <v>185</v>
      </c>
      <c r="H74" t="s">
        <v>48</v>
      </c>
      <c r="I74" t="s">
        <v>49</v>
      </c>
      <c r="K74">
        <v>202505137975650</v>
      </c>
      <c r="L74">
        <v>2263300011935</v>
      </c>
      <c r="M74">
        <v>20250513</v>
      </c>
      <c r="N74" t="s">
        <v>193</v>
      </c>
      <c r="P74" t="s">
        <v>272</v>
      </c>
      <c r="Q74" t="s">
        <v>50</v>
      </c>
      <c r="R74">
        <v>20007.37</v>
      </c>
      <c r="S74">
        <v>0</v>
      </c>
      <c r="T74">
        <v>3715508</v>
      </c>
      <c r="U74">
        <v>5330180729</v>
      </c>
      <c r="V74" t="s">
        <v>329</v>
      </c>
      <c r="W74" t="s">
        <v>65</v>
      </c>
      <c r="X74" t="s">
        <v>87</v>
      </c>
      <c r="Y74" t="s">
        <v>52</v>
      </c>
      <c r="Z74">
        <v>1932</v>
      </c>
      <c r="AH74">
        <v>0</v>
      </c>
      <c r="AI74">
        <v>202505</v>
      </c>
      <c r="AJ74" t="s">
        <v>179</v>
      </c>
      <c r="AK74">
        <v>1</v>
      </c>
      <c r="AL74">
        <v>1</v>
      </c>
      <c r="AO74">
        <v>0</v>
      </c>
      <c r="AP74">
        <v>477</v>
      </c>
      <c r="AQ74">
        <v>492</v>
      </c>
      <c r="AR74">
        <v>492477</v>
      </c>
      <c r="AS74" t="s">
        <v>330</v>
      </c>
      <c r="AU74" t="s">
        <v>330</v>
      </c>
      <c r="AV74" t="s">
        <v>262</v>
      </c>
      <c r="AW74">
        <v>5000</v>
      </c>
      <c r="AX74">
        <v>15712.4</v>
      </c>
      <c r="AY74">
        <v>18425.036</v>
      </c>
      <c r="AZ74">
        <v>19036</v>
      </c>
      <c r="BA74">
        <v>19840</v>
      </c>
      <c r="BB74">
        <v>20740</v>
      </c>
      <c r="BC74">
        <v>22473.462</v>
      </c>
      <c r="BD74">
        <v>23237.86</v>
      </c>
      <c r="BE74">
        <v>25000</v>
      </c>
      <c r="BF74">
        <v>27463.635999999999</v>
      </c>
      <c r="BG74">
        <v>30000</v>
      </c>
      <c r="BH74">
        <v>34610.514000000003</v>
      </c>
      <c r="BI74">
        <v>35046</v>
      </c>
      <c r="BJ74">
        <v>38582.447999999997</v>
      </c>
      <c r="BK74">
        <v>42006.79</v>
      </c>
      <c r="BL74">
        <v>50000</v>
      </c>
      <c r="BM74">
        <v>54336.774000000027</v>
      </c>
      <c r="BN74">
        <v>65042.055999999982</v>
      </c>
      <c r="BO74">
        <v>78281.780000000086</v>
      </c>
      <c r="BP74">
        <v>110403.728</v>
      </c>
      <c r="BQ74">
        <v>134983.79999999999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</row>
    <row r="75" spans="1:90" x14ac:dyDescent="0.35">
      <c r="A75">
        <v>347972</v>
      </c>
      <c r="B75" t="s">
        <v>257</v>
      </c>
      <c r="C75" t="s">
        <v>258</v>
      </c>
      <c r="D75" s="1">
        <v>45791</v>
      </c>
      <c r="E75">
        <v>53850</v>
      </c>
      <c r="F75">
        <v>148</v>
      </c>
      <c r="G75" t="s">
        <v>101</v>
      </c>
      <c r="H75" t="s">
        <v>48</v>
      </c>
      <c r="I75" t="s">
        <v>49</v>
      </c>
      <c r="K75">
        <v>202505137973801</v>
      </c>
      <c r="L75">
        <v>1483303001176</v>
      </c>
      <c r="M75">
        <v>20250513</v>
      </c>
      <c r="N75" t="s">
        <v>193</v>
      </c>
      <c r="P75" t="s">
        <v>259</v>
      </c>
      <c r="Q75" t="s">
        <v>50</v>
      </c>
      <c r="R75">
        <v>25000</v>
      </c>
      <c r="S75">
        <v>0</v>
      </c>
      <c r="T75">
        <v>2012964</v>
      </c>
      <c r="U75" t="s">
        <v>331</v>
      </c>
      <c r="V75" t="s">
        <v>332</v>
      </c>
      <c r="W75" t="s">
        <v>51</v>
      </c>
      <c r="Y75" t="s">
        <v>52</v>
      </c>
      <c r="Z75">
        <v>1636</v>
      </c>
      <c r="AH75">
        <v>0</v>
      </c>
      <c r="AI75">
        <v>202505</v>
      </c>
      <c r="AJ75" t="s">
        <v>64</v>
      </c>
      <c r="AK75">
        <v>0</v>
      </c>
      <c r="AL75">
        <v>1</v>
      </c>
      <c r="AO75">
        <v>0</v>
      </c>
      <c r="AP75">
        <v>999</v>
      </c>
      <c r="AQ75">
        <v>600</v>
      </c>
      <c r="AR75">
        <v>600999</v>
      </c>
      <c r="AS75" t="s">
        <v>53</v>
      </c>
      <c r="AU75" t="s">
        <v>53</v>
      </c>
      <c r="AV75" t="s">
        <v>262</v>
      </c>
      <c r="AW75">
        <v>5000</v>
      </c>
      <c r="AX75">
        <v>15712.4</v>
      </c>
      <c r="AY75">
        <v>18425.036</v>
      </c>
      <c r="AZ75">
        <v>19036</v>
      </c>
      <c r="BA75">
        <v>19840</v>
      </c>
      <c r="BB75">
        <v>20740</v>
      </c>
      <c r="BC75">
        <v>22473.462</v>
      </c>
      <c r="BD75">
        <v>23237.86</v>
      </c>
      <c r="BE75">
        <v>25000</v>
      </c>
      <c r="BF75">
        <v>27463.635999999999</v>
      </c>
      <c r="BG75">
        <v>30000</v>
      </c>
      <c r="BH75">
        <v>34610.514000000003</v>
      </c>
      <c r="BI75">
        <v>35046</v>
      </c>
      <c r="BJ75">
        <v>38582.447999999997</v>
      </c>
      <c r="BK75">
        <v>42006.79</v>
      </c>
      <c r="BL75">
        <v>50000</v>
      </c>
      <c r="BM75">
        <v>54336.774000000027</v>
      </c>
      <c r="BN75">
        <v>65042.055999999982</v>
      </c>
      <c r="BO75">
        <v>78281.780000000086</v>
      </c>
      <c r="BP75">
        <v>110403.728</v>
      </c>
      <c r="BQ75">
        <v>134983.79999999999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</row>
    <row r="76" spans="1:90" x14ac:dyDescent="0.35">
      <c r="A76">
        <v>347965</v>
      </c>
      <c r="B76" t="s">
        <v>257</v>
      </c>
      <c r="C76" t="s">
        <v>258</v>
      </c>
      <c r="D76" s="1">
        <v>45791</v>
      </c>
      <c r="E76">
        <v>53850</v>
      </c>
      <c r="F76">
        <v>103</v>
      </c>
      <c r="G76" t="s">
        <v>60</v>
      </c>
      <c r="H76" t="s">
        <v>48</v>
      </c>
      <c r="I76" t="s">
        <v>49</v>
      </c>
      <c r="K76">
        <v>202505137975250</v>
      </c>
      <c r="L76">
        <v>1033305840830</v>
      </c>
      <c r="M76">
        <v>20250513</v>
      </c>
      <c r="N76" t="s">
        <v>193</v>
      </c>
      <c r="P76" t="s">
        <v>259</v>
      </c>
      <c r="Q76" t="s">
        <v>59</v>
      </c>
      <c r="R76">
        <v>40000</v>
      </c>
      <c r="S76">
        <v>0</v>
      </c>
      <c r="T76">
        <v>584083</v>
      </c>
      <c r="U76" t="s">
        <v>333</v>
      </c>
      <c r="V76" t="s">
        <v>334</v>
      </c>
      <c r="W76" t="s">
        <v>51</v>
      </c>
      <c r="Y76" t="s">
        <v>52</v>
      </c>
      <c r="Z76">
        <v>600</v>
      </c>
      <c r="AH76">
        <v>0</v>
      </c>
      <c r="AI76">
        <v>202505</v>
      </c>
      <c r="AJ76" t="s">
        <v>179</v>
      </c>
      <c r="AK76">
        <v>1</v>
      </c>
      <c r="AL76">
        <v>1</v>
      </c>
      <c r="AO76">
        <v>0</v>
      </c>
      <c r="AP76">
        <v>999</v>
      </c>
      <c r="AQ76">
        <v>600</v>
      </c>
      <c r="AR76">
        <v>600999</v>
      </c>
      <c r="AS76" t="s">
        <v>53</v>
      </c>
      <c r="AU76" t="s">
        <v>53</v>
      </c>
      <c r="AV76" t="s">
        <v>262</v>
      </c>
      <c r="AW76">
        <v>5000</v>
      </c>
      <c r="AX76">
        <v>15712.4</v>
      </c>
      <c r="AY76">
        <v>18425.036</v>
      </c>
      <c r="AZ76">
        <v>19036</v>
      </c>
      <c r="BA76">
        <v>19840</v>
      </c>
      <c r="BB76">
        <v>20740</v>
      </c>
      <c r="BC76">
        <v>22473.462</v>
      </c>
      <c r="BD76">
        <v>23237.86</v>
      </c>
      <c r="BE76">
        <v>25000</v>
      </c>
      <c r="BF76">
        <v>27463.635999999999</v>
      </c>
      <c r="BG76">
        <v>30000</v>
      </c>
      <c r="BH76">
        <v>34610.514000000003</v>
      </c>
      <c r="BI76">
        <v>35046</v>
      </c>
      <c r="BJ76">
        <v>38582.447999999997</v>
      </c>
      <c r="BK76">
        <v>42006.79</v>
      </c>
      <c r="BL76">
        <v>50000</v>
      </c>
      <c r="BM76">
        <v>54336.774000000027</v>
      </c>
      <c r="BN76">
        <v>65042.055999999982</v>
      </c>
      <c r="BO76">
        <v>78281.780000000086</v>
      </c>
      <c r="BP76">
        <v>110403.728</v>
      </c>
      <c r="BQ76">
        <v>134983.79999999999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</row>
    <row r="77" spans="1:90" x14ac:dyDescent="0.35">
      <c r="A77">
        <v>347963</v>
      </c>
      <c r="B77" t="s">
        <v>257</v>
      </c>
      <c r="C77" t="s">
        <v>258</v>
      </c>
      <c r="D77" s="1">
        <v>45791</v>
      </c>
      <c r="E77">
        <v>53850</v>
      </c>
      <c r="F77">
        <v>102</v>
      </c>
      <c r="G77" t="s">
        <v>56</v>
      </c>
      <c r="H77" t="s">
        <v>48</v>
      </c>
      <c r="I77" t="s">
        <v>49</v>
      </c>
      <c r="K77">
        <v>202505137975634</v>
      </c>
      <c r="L77">
        <v>1023306274744</v>
      </c>
      <c r="M77">
        <v>20250513</v>
      </c>
      <c r="N77" t="s">
        <v>193</v>
      </c>
      <c r="P77" t="s">
        <v>195</v>
      </c>
      <c r="Q77" t="s">
        <v>59</v>
      </c>
      <c r="R77">
        <v>63102</v>
      </c>
      <c r="S77">
        <v>0</v>
      </c>
      <c r="T77">
        <v>4873420</v>
      </c>
      <c r="U77">
        <v>7966910726</v>
      </c>
      <c r="V77" t="s">
        <v>291</v>
      </c>
      <c r="W77" t="s">
        <v>57</v>
      </c>
      <c r="X77" t="s">
        <v>105</v>
      </c>
      <c r="Y77" t="s">
        <v>52</v>
      </c>
      <c r="Z77">
        <v>1443</v>
      </c>
      <c r="AH77">
        <v>0</v>
      </c>
      <c r="AI77">
        <v>202505</v>
      </c>
      <c r="AJ77" t="s">
        <v>335</v>
      </c>
      <c r="AK77">
        <v>1</v>
      </c>
      <c r="AL77">
        <v>1</v>
      </c>
      <c r="AO77">
        <v>0</v>
      </c>
      <c r="AP77">
        <v>433</v>
      </c>
      <c r="AQ77">
        <v>430</v>
      </c>
      <c r="AR77">
        <v>430433</v>
      </c>
      <c r="AS77" t="s">
        <v>62</v>
      </c>
      <c r="AU77" t="s">
        <v>62</v>
      </c>
      <c r="AV77" t="s">
        <v>262</v>
      </c>
      <c r="AW77">
        <v>5000</v>
      </c>
      <c r="AX77">
        <v>15712.4</v>
      </c>
      <c r="AY77">
        <v>18425.036</v>
      </c>
      <c r="AZ77">
        <v>19036</v>
      </c>
      <c r="BA77">
        <v>19840</v>
      </c>
      <c r="BB77">
        <v>20740</v>
      </c>
      <c r="BC77">
        <v>22473.462</v>
      </c>
      <c r="BD77">
        <v>23237.86</v>
      </c>
      <c r="BE77">
        <v>25000</v>
      </c>
      <c r="BF77">
        <v>27463.635999999999</v>
      </c>
      <c r="BG77">
        <v>30000</v>
      </c>
      <c r="BH77">
        <v>34610.514000000003</v>
      </c>
      <c r="BI77">
        <v>35046</v>
      </c>
      <c r="BJ77">
        <v>38582.447999999997</v>
      </c>
      <c r="BK77">
        <v>42006.79</v>
      </c>
      <c r="BL77">
        <v>50000</v>
      </c>
      <c r="BM77">
        <v>54336.774000000027</v>
      </c>
      <c r="BN77">
        <v>65042.055999999982</v>
      </c>
      <c r="BO77">
        <v>78281.780000000086</v>
      </c>
      <c r="BP77">
        <v>110403.728</v>
      </c>
      <c r="BQ77">
        <v>134983.79999999999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0</v>
      </c>
      <c r="CJ77">
        <v>0</v>
      </c>
      <c r="CK77">
        <v>0</v>
      </c>
      <c r="CL77">
        <v>0</v>
      </c>
    </row>
    <row r="78" spans="1:90" x14ac:dyDescent="0.35">
      <c r="A78">
        <v>347946</v>
      </c>
      <c r="B78" t="s">
        <v>257</v>
      </c>
      <c r="C78" t="s">
        <v>258</v>
      </c>
      <c r="D78" s="1">
        <v>45791</v>
      </c>
      <c r="E78">
        <v>53850</v>
      </c>
      <c r="F78">
        <v>131</v>
      </c>
      <c r="G78" t="s">
        <v>184</v>
      </c>
      <c r="H78" t="s">
        <v>48</v>
      </c>
      <c r="I78" t="s">
        <v>49</v>
      </c>
      <c r="K78">
        <v>202505137976928</v>
      </c>
      <c r="L78">
        <v>1313300004532</v>
      </c>
      <c r="M78">
        <v>20250513</v>
      </c>
      <c r="N78" t="s">
        <v>193</v>
      </c>
      <c r="P78" t="s">
        <v>259</v>
      </c>
      <c r="Q78" t="s">
        <v>50</v>
      </c>
      <c r="R78">
        <v>15666.67</v>
      </c>
      <c r="S78">
        <v>0</v>
      </c>
      <c r="T78">
        <v>3739170</v>
      </c>
      <c r="U78" t="s">
        <v>327</v>
      </c>
      <c r="V78" t="s">
        <v>328</v>
      </c>
      <c r="W78" t="s">
        <v>51</v>
      </c>
      <c r="Y78" t="s">
        <v>52</v>
      </c>
      <c r="Z78">
        <v>915</v>
      </c>
      <c r="AH78">
        <v>0</v>
      </c>
      <c r="AI78">
        <v>202505</v>
      </c>
      <c r="AJ78" t="s">
        <v>180</v>
      </c>
      <c r="AK78">
        <v>1</v>
      </c>
      <c r="AL78">
        <v>1</v>
      </c>
      <c r="AO78">
        <v>0</v>
      </c>
      <c r="AP78">
        <v>999</v>
      </c>
      <c r="AQ78">
        <v>600</v>
      </c>
      <c r="AR78">
        <v>600999</v>
      </c>
      <c r="AS78" t="s">
        <v>53</v>
      </c>
      <c r="AU78" t="s">
        <v>53</v>
      </c>
      <c r="AV78" t="s">
        <v>262</v>
      </c>
      <c r="AW78">
        <v>5000</v>
      </c>
      <c r="AX78">
        <v>15712.4</v>
      </c>
      <c r="AY78">
        <v>18425.036</v>
      </c>
      <c r="AZ78">
        <v>19036</v>
      </c>
      <c r="BA78">
        <v>19840</v>
      </c>
      <c r="BB78">
        <v>20740</v>
      </c>
      <c r="BC78">
        <v>22473.462</v>
      </c>
      <c r="BD78">
        <v>23237.86</v>
      </c>
      <c r="BE78">
        <v>25000</v>
      </c>
      <c r="BF78">
        <v>27463.635999999999</v>
      </c>
      <c r="BG78">
        <v>30000</v>
      </c>
      <c r="BH78">
        <v>34610.514000000003</v>
      </c>
      <c r="BI78">
        <v>35046</v>
      </c>
      <c r="BJ78">
        <v>38582.447999999997</v>
      </c>
      <c r="BK78">
        <v>42006.79</v>
      </c>
      <c r="BL78">
        <v>50000</v>
      </c>
      <c r="BM78">
        <v>54336.774000000027</v>
      </c>
      <c r="BN78">
        <v>65042.055999999982</v>
      </c>
      <c r="BO78">
        <v>78281.780000000086</v>
      </c>
      <c r="BP78">
        <v>110403.728</v>
      </c>
      <c r="BQ78">
        <v>134983.79999999999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</row>
    <row r="79" spans="1:90" x14ac:dyDescent="0.35">
      <c r="A79">
        <v>347902</v>
      </c>
      <c r="B79" t="s">
        <v>257</v>
      </c>
      <c r="C79" t="s">
        <v>258</v>
      </c>
      <c r="D79" s="1">
        <v>45790</v>
      </c>
      <c r="E79">
        <v>53850</v>
      </c>
      <c r="F79">
        <v>149</v>
      </c>
      <c r="G79" t="s">
        <v>92</v>
      </c>
      <c r="H79" t="s">
        <v>48</v>
      </c>
      <c r="I79" t="s">
        <v>49</v>
      </c>
      <c r="K79">
        <v>202505127971838</v>
      </c>
      <c r="L79">
        <v>1493300664691</v>
      </c>
      <c r="M79">
        <v>20250512</v>
      </c>
      <c r="N79" t="s">
        <v>193</v>
      </c>
      <c r="P79" t="s">
        <v>272</v>
      </c>
      <c r="Q79" t="s">
        <v>50</v>
      </c>
      <c r="R79">
        <v>19320</v>
      </c>
      <c r="S79">
        <v>0</v>
      </c>
      <c r="T79">
        <v>4988257</v>
      </c>
      <c r="U79">
        <v>7432651219</v>
      </c>
      <c r="V79" t="s">
        <v>336</v>
      </c>
      <c r="W79" t="s">
        <v>57</v>
      </c>
      <c r="X79" t="s">
        <v>85</v>
      </c>
      <c r="Y79" t="s">
        <v>52</v>
      </c>
      <c r="Z79">
        <v>1910</v>
      </c>
      <c r="AH79">
        <v>0</v>
      </c>
      <c r="AI79">
        <v>202505</v>
      </c>
      <c r="AJ79" t="s">
        <v>180</v>
      </c>
      <c r="AK79">
        <v>1</v>
      </c>
      <c r="AL79">
        <v>1</v>
      </c>
      <c r="AO79">
        <v>0</v>
      </c>
      <c r="AP79">
        <v>464</v>
      </c>
      <c r="AQ79">
        <v>430</v>
      </c>
      <c r="AR79">
        <v>430464</v>
      </c>
      <c r="AS79" t="s">
        <v>86</v>
      </c>
      <c r="AU79" t="s">
        <v>86</v>
      </c>
      <c r="AV79" t="s">
        <v>262</v>
      </c>
      <c r="AW79">
        <v>5000</v>
      </c>
      <c r="AX79">
        <v>15712.4</v>
      </c>
      <c r="AY79">
        <v>18425.036</v>
      </c>
      <c r="AZ79">
        <v>19036</v>
      </c>
      <c r="BA79">
        <v>19840</v>
      </c>
      <c r="BB79">
        <v>20740</v>
      </c>
      <c r="BC79">
        <v>22473.462</v>
      </c>
      <c r="BD79">
        <v>23237.86</v>
      </c>
      <c r="BE79">
        <v>25000</v>
      </c>
      <c r="BF79">
        <v>27463.635999999999</v>
      </c>
      <c r="BG79">
        <v>30000</v>
      </c>
      <c r="BH79">
        <v>34610.514000000003</v>
      </c>
      <c r="BI79">
        <v>35046</v>
      </c>
      <c r="BJ79">
        <v>38582.447999999997</v>
      </c>
      <c r="BK79">
        <v>42006.79</v>
      </c>
      <c r="BL79">
        <v>50000</v>
      </c>
      <c r="BM79">
        <v>54336.774000000027</v>
      </c>
      <c r="BN79">
        <v>65042.055999999982</v>
      </c>
      <c r="BO79">
        <v>78281.780000000086</v>
      </c>
      <c r="BP79">
        <v>110403.728</v>
      </c>
      <c r="BQ79">
        <v>134983.79999999999</v>
      </c>
      <c r="BR79">
        <v>1</v>
      </c>
      <c r="BS79">
        <v>1</v>
      </c>
      <c r="BT79">
        <v>1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</row>
    <row r="80" spans="1:90" x14ac:dyDescent="0.35">
      <c r="A80">
        <v>338009</v>
      </c>
      <c r="B80" t="s">
        <v>257</v>
      </c>
      <c r="C80" t="s">
        <v>258</v>
      </c>
      <c r="D80" s="1">
        <v>45787</v>
      </c>
      <c r="E80">
        <v>53850</v>
      </c>
      <c r="F80">
        <v>148</v>
      </c>
      <c r="G80" t="s">
        <v>101</v>
      </c>
      <c r="H80" t="s">
        <v>48</v>
      </c>
      <c r="I80" t="s">
        <v>49</v>
      </c>
      <c r="K80">
        <v>202505097962295</v>
      </c>
      <c r="L80">
        <v>1483303001176</v>
      </c>
      <c r="M80">
        <v>20250509</v>
      </c>
      <c r="N80" t="s">
        <v>193</v>
      </c>
      <c r="P80" t="s">
        <v>259</v>
      </c>
      <c r="Q80" t="s">
        <v>50</v>
      </c>
      <c r="R80">
        <v>25000</v>
      </c>
      <c r="S80">
        <v>0</v>
      </c>
      <c r="T80">
        <v>2012964</v>
      </c>
      <c r="U80" t="s">
        <v>331</v>
      </c>
      <c r="V80" t="s">
        <v>332</v>
      </c>
      <c r="W80" t="s">
        <v>51</v>
      </c>
      <c r="Y80" t="s">
        <v>52</v>
      </c>
      <c r="Z80">
        <v>1636</v>
      </c>
      <c r="AH80">
        <v>0</v>
      </c>
      <c r="AI80">
        <v>202505</v>
      </c>
      <c r="AJ80" t="s">
        <v>64</v>
      </c>
      <c r="AK80">
        <v>0</v>
      </c>
      <c r="AL80">
        <v>1</v>
      </c>
      <c r="AO80">
        <v>0</v>
      </c>
      <c r="AP80">
        <v>999</v>
      </c>
      <c r="AQ80">
        <v>600</v>
      </c>
      <c r="AR80">
        <v>600999</v>
      </c>
      <c r="AS80" t="s">
        <v>53</v>
      </c>
      <c r="AU80" t="s">
        <v>53</v>
      </c>
      <c r="AV80" t="s">
        <v>262</v>
      </c>
      <c r="AW80">
        <v>5000</v>
      </c>
      <c r="AX80">
        <v>15712.4</v>
      </c>
      <c r="AY80">
        <v>18425.036</v>
      </c>
      <c r="AZ80">
        <v>19036</v>
      </c>
      <c r="BA80">
        <v>19840</v>
      </c>
      <c r="BB80">
        <v>20740</v>
      </c>
      <c r="BC80">
        <v>22473.462</v>
      </c>
      <c r="BD80">
        <v>23237.86</v>
      </c>
      <c r="BE80">
        <v>25000</v>
      </c>
      <c r="BF80">
        <v>27463.635999999999</v>
      </c>
      <c r="BG80">
        <v>30000</v>
      </c>
      <c r="BH80">
        <v>34610.514000000003</v>
      </c>
      <c r="BI80">
        <v>35046</v>
      </c>
      <c r="BJ80">
        <v>38582.447999999997</v>
      </c>
      <c r="BK80">
        <v>42006.79</v>
      </c>
      <c r="BL80">
        <v>50000</v>
      </c>
      <c r="BM80">
        <v>54336.774000000027</v>
      </c>
      <c r="BN80">
        <v>65042.055999999982</v>
      </c>
      <c r="BO80">
        <v>78281.780000000086</v>
      </c>
      <c r="BP80">
        <v>110403.728</v>
      </c>
      <c r="BQ80">
        <v>134983.79999999999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</row>
    <row r="81" spans="1:90" x14ac:dyDescent="0.35">
      <c r="A81">
        <v>337991</v>
      </c>
      <c r="B81" t="s">
        <v>257</v>
      </c>
      <c r="C81" t="s">
        <v>258</v>
      </c>
      <c r="D81" s="1">
        <v>45787</v>
      </c>
      <c r="E81">
        <v>53850</v>
      </c>
      <c r="F81">
        <v>110</v>
      </c>
      <c r="G81" t="s">
        <v>89</v>
      </c>
      <c r="H81" t="s">
        <v>48</v>
      </c>
      <c r="I81" t="s">
        <v>49</v>
      </c>
      <c r="K81">
        <v>202505097963716</v>
      </c>
      <c r="L81">
        <v>1103306288240</v>
      </c>
      <c r="M81">
        <v>20250509</v>
      </c>
      <c r="N81" t="s">
        <v>193</v>
      </c>
      <c r="P81" t="s">
        <v>287</v>
      </c>
      <c r="Q81" t="s">
        <v>59</v>
      </c>
      <c r="R81">
        <v>242925.7</v>
      </c>
      <c r="S81">
        <v>0</v>
      </c>
      <c r="T81">
        <v>4960705</v>
      </c>
      <c r="U81">
        <v>8520490726</v>
      </c>
      <c r="V81" t="s">
        <v>288</v>
      </c>
      <c r="W81" t="s">
        <v>57</v>
      </c>
      <c r="X81" t="s">
        <v>85</v>
      </c>
      <c r="Y81" t="s">
        <v>52</v>
      </c>
      <c r="Z81">
        <v>1696</v>
      </c>
      <c r="AH81">
        <v>0</v>
      </c>
      <c r="AI81">
        <v>202505</v>
      </c>
      <c r="AJ81" t="s">
        <v>55</v>
      </c>
      <c r="AK81">
        <v>0</v>
      </c>
      <c r="AL81">
        <v>1</v>
      </c>
      <c r="AO81">
        <v>0</v>
      </c>
      <c r="AP81">
        <v>464</v>
      </c>
      <c r="AQ81">
        <v>430</v>
      </c>
      <c r="AR81">
        <v>430464</v>
      </c>
      <c r="AS81" t="s">
        <v>86</v>
      </c>
      <c r="AU81" t="s">
        <v>86</v>
      </c>
      <c r="AV81" t="s">
        <v>281</v>
      </c>
      <c r="AW81">
        <v>35255.730000000003</v>
      </c>
      <c r="AX81">
        <v>40532.292000000001</v>
      </c>
      <c r="AY81">
        <v>44318.877999999997</v>
      </c>
      <c r="AZ81">
        <v>45125.512000000002</v>
      </c>
      <c r="BA81">
        <v>47063.91</v>
      </c>
      <c r="BB81">
        <v>49568.19</v>
      </c>
      <c r="BC81">
        <v>51155.741999999998</v>
      </c>
      <c r="BD81">
        <v>53646.266000000003</v>
      </c>
      <c r="BE81">
        <v>57942.733999999997</v>
      </c>
      <c r="BF81">
        <v>60683.345999999998</v>
      </c>
      <c r="BG81">
        <v>62646.03</v>
      </c>
      <c r="BH81">
        <v>136475.66400000011</v>
      </c>
      <c r="BI81">
        <v>186663.09400000001</v>
      </c>
      <c r="BJ81">
        <v>189566.11600000001</v>
      </c>
      <c r="BK81">
        <v>195938.15400000001</v>
      </c>
      <c r="BL81">
        <v>204044.7</v>
      </c>
      <c r="BM81">
        <v>227373.3000000001</v>
      </c>
      <c r="BN81">
        <v>252854.712</v>
      </c>
      <c r="BO81">
        <v>282641.74800000002</v>
      </c>
      <c r="BP81">
        <v>294996.82</v>
      </c>
      <c r="BQ81">
        <v>298635.90999999997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0</v>
      </c>
      <c r="CJ81">
        <v>0</v>
      </c>
      <c r="CK81">
        <v>0</v>
      </c>
      <c r="CL81">
        <v>0</v>
      </c>
    </row>
    <row r="82" spans="1:90" x14ac:dyDescent="0.35">
      <c r="A82">
        <v>337972</v>
      </c>
      <c r="B82" t="s">
        <v>257</v>
      </c>
      <c r="C82" t="s">
        <v>258</v>
      </c>
      <c r="D82" s="1">
        <v>45786</v>
      </c>
      <c r="E82">
        <v>53850</v>
      </c>
      <c r="F82">
        <v>171</v>
      </c>
      <c r="G82" t="s">
        <v>74</v>
      </c>
      <c r="H82" t="s">
        <v>48</v>
      </c>
      <c r="I82" t="s">
        <v>49</v>
      </c>
      <c r="K82">
        <v>202505087960869</v>
      </c>
      <c r="L82">
        <v>1713302217244</v>
      </c>
      <c r="M82">
        <v>20250508</v>
      </c>
      <c r="N82" t="s">
        <v>193</v>
      </c>
      <c r="P82" t="s">
        <v>337</v>
      </c>
      <c r="Q82" t="s">
        <v>50</v>
      </c>
      <c r="R82">
        <v>19880</v>
      </c>
      <c r="S82">
        <v>0</v>
      </c>
      <c r="T82">
        <v>4075827</v>
      </c>
      <c r="U82" t="s">
        <v>338</v>
      </c>
      <c r="V82" t="s">
        <v>339</v>
      </c>
      <c r="W82" t="s">
        <v>51</v>
      </c>
      <c r="Y82" t="s">
        <v>52</v>
      </c>
      <c r="Z82">
        <v>815</v>
      </c>
      <c r="AH82">
        <v>0</v>
      </c>
      <c r="AI82">
        <v>202505</v>
      </c>
      <c r="AJ82" t="s">
        <v>179</v>
      </c>
      <c r="AK82">
        <v>1</v>
      </c>
      <c r="AL82">
        <v>1</v>
      </c>
      <c r="AO82">
        <v>0</v>
      </c>
      <c r="AP82">
        <v>999</v>
      </c>
      <c r="AQ82">
        <v>600</v>
      </c>
      <c r="AR82">
        <v>600999</v>
      </c>
      <c r="AS82" t="s">
        <v>53</v>
      </c>
      <c r="AU82" t="s">
        <v>53</v>
      </c>
      <c r="AV82" t="s">
        <v>262</v>
      </c>
      <c r="AW82">
        <v>5000</v>
      </c>
      <c r="AX82">
        <v>15712.4</v>
      </c>
      <c r="AY82">
        <v>18425.036</v>
      </c>
      <c r="AZ82">
        <v>19036</v>
      </c>
      <c r="BA82">
        <v>19840</v>
      </c>
      <c r="BB82">
        <v>20740</v>
      </c>
      <c r="BC82">
        <v>22473.462</v>
      </c>
      <c r="BD82">
        <v>23237.86</v>
      </c>
      <c r="BE82">
        <v>25000</v>
      </c>
      <c r="BF82">
        <v>27463.635999999999</v>
      </c>
      <c r="BG82">
        <v>30000</v>
      </c>
      <c r="BH82">
        <v>34610.514000000003</v>
      </c>
      <c r="BI82">
        <v>35046</v>
      </c>
      <c r="BJ82">
        <v>38582.447999999997</v>
      </c>
      <c r="BK82">
        <v>42006.79</v>
      </c>
      <c r="BL82">
        <v>50000</v>
      </c>
      <c r="BM82">
        <v>54336.774000000027</v>
      </c>
      <c r="BN82">
        <v>65042.055999999982</v>
      </c>
      <c r="BO82">
        <v>78281.780000000086</v>
      </c>
      <c r="BP82">
        <v>110403.728</v>
      </c>
      <c r="BQ82">
        <v>134983.79999999999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</row>
    <row r="83" spans="1:90" x14ac:dyDescent="0.35">
      <c r="A83">
        <v>337939</v>
      </c>
      <c r="B83" t="s">
        <v>257</v>
      </c>
      <c r="C83" t="s">
        <v>258</v>
      </c>
      <c r="D83" s="1">
        <v>45786</v>
      </c>
      <c r="E83">
        <v>53850</v>
      </c>
      <c r="F83">
        <v>171</v>
      </c>
      <c r="G83" t="s">
        <v>74</v>
      </c>
      <c r="H83" t="s">
        <v>48</v>
      </c>
      <c r="I83" t="s">
        <v>49</v>
      </c>
      <c r="K83">
        <v>202505087960767</v>
      </c>
      <c r="L83">
        <v>1713302215963</v>
      </c>
      <c r="M83">
        <v>20250508</v>
      </c>
      <c r="N83" t="s">
        <v>193</v>
      </c>
      <c r="P83" t="s">
        <v>259</v>
      </c>
      <c r="Q83" t="s">
        <v>59</v>
      </c>
      <c r="R83">
        <v>252000</v>
      </c>
      <c r="S83">
        <v>0</v>
      </c>
      <c r="T83">
        <v>610969</v>
      </c>
      <c r="U83" t="s">
        <v>340</v>
      </c>
      <c r="V83" t="s">
        <v>341</v>
      </c>
      <c r="W83" t="s">
        <v>51</v>
      </c>
      <c r="Y83" t="s">
        <v>52</v>
      </c>
      <c r="Z83">
        <v>662</v>
      </c>
      <c r="AH83">
        <v>0</v>
      </c>
      <c r="AI83">
        <v>202505</v>
      </c>
      <c r="AJ83" t="s">
        <v>180</v>
      </c>
      <c r="AK83">
        <v>1</v>
      </c>
      <c r="AL83">
        <v>1</v>
      </c>
      <c r="AO83">
        <v>0</v>
      </c>
      <c r="AP83">
        <v>999</v>
      </c>
      <c r="AQ83">
        <v>600</v>
      </c>
      <c r="AR83">
        <v>600999</v>
      </c>
      <c r="AS83" t="s">
        <v>53</v>
      </c>
      <c r="AU83" t="s">
        <v>53</v>
      </c>
      <c r="AV83" t="s">
        <v>262</v>
      </c>
      <c r="AW83">
        <v>5000</v>
      </c>
      <c r="AX83">
        <v>15712.4</v>
      </c>
      <c r="AY83">
        <v>18425.036</v>
      </c>
      <c r="AZ83">
        <v>19036</v>
      </c>
      <c r="BA83">
        <v>19840</v>
      </c>
      <c r="BB83">
        <v>20740</v>
      </c>
      <c r="BC83">
        <v>22473.462</v>
      </c>
      <c r="BD83">
        <v>23237.86</v>
      </c>
      <c r="BE83">
        <v>25000</v>
      </c>
      <c r="BF83">
        <v>27463.635999999999</v>
      </c>
      <c r="BG83">
        <v>30000</v>
      </c>
      <c r="BH83">
        <v>34610.514000000003</v>
      </c>
      <c r="BI83">
        <v>35046</v>
      </c>
      <c r="BJ83">
        <v>38582.447999999997</v>
      </c>
      <c r="BK83">
        <v>42006.79</v>
      </c>
      <c r="BL83">
        <v>50000</v>
      </c>
      <c r="BM83">
        <v>54336.774000000027</v>
      </c>
      <c r="BN83">
        <v>65042.055999999982</v>
      </c>
      <c r="BO83">
        <v>78281.780000000086</v>
      </c>
      <c r="BP83">
        <v>110403.728</v>
      </c>
      <c r="BQ83">
        <v>134983.79999999999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</row>
    <row r="84" spans="1:90" x14ac:dyDescent="0.35">
      <c r="A84">
        <v>337933</v>
      </c>
      <c r="B84" t="s">
        <v>257</v>
      </c>
      <c r="C84" t="s">
        <v>258</v>
      </c>
      <c r="D84" s="1">
        <v>45786</v>
      </c>
      <c r="E84">
        <v>53850</v>
      </c>
      <c r="F84">
        <v>175</v>
      </c>
      <c r="G84" t="s">
        <v>66</v>
      </c>
      <c r="H84" t="s">
        <v>48</v>
      </c>
      <c r="I84" t="s">
        <v>49</v>
      </c>
      <c r="K84">
        <v>202505087960870</v>
      </c>
      <c r="L84">
        <v>1753302203813</v>
      </c>
      <c r="M84">
        <v>20250508</v>
      </c>
      <c r="N84" t="s">
        <v>193</v>
      </c>
      <c r="P84" t="s">
        <v>275</v>
      </c>
      <c r="Q84" t="s">
        <v>50</v>
      </c>
      <c r="R84">
        <v>91731.43</v>
      </c>
      <c r="S84">
        <v>0</v>
      </c>
      <c r="T84">
        <v>4907691</v>
      </c>
      <c r="U84">
        <v>1146400773</v>
      </c>
      <c r="V84" t="s">
        <v>299</v>
      </c>
      <c r="W84" t="s">
        <v>57</v>
      </c>
      <c r="X84" t="s">
        <v>199</v>
      </c>
      <c r="Y84" t="s">
        <v>52</v>
      </c>
      <c r="Z84">
        <v>1926</v>
      </c>
      <c r="AH84">
        <v>0</v>
      </c>
      <c r="AI84">
        <v>202505</v>
      </c>
      <c r="AJ84" t="s">
        <v>179</v>
      </c>
      <c r="AK84">
        <v>1</v>
      </c>
      <c r="AL84">
        <v>1</v>
      </c>
      <c r="AO84">
        <v>0</v>
      </c>
      <c r="AP84">
        <v>999</v>
      </c>
      <c r="AQ84">
        <v>430</v>
      </c>
      <c r="AR84">
        <v>430999</v>
      </c>
      <c r="AT84">
        <v>1</v>
      </c>
      <c r="AU84" t="s">
        <v>58</v>
      </c>
      <c r="AV84" t="s">
        <v>262</v>
      </c>
      <c r="AW84">
        <v>5000</v>
      </c>
      <c r="AX84">
        <v>15712.4</v>
      </c>
      <c r="AY84">
        <v>18425.036</v>
      </c>
      <c r="AZ84">
        <v>19036</v>
      </c>
      <c r="BA84">
        <v>19840</v>
      </c>
      <c r="BB84">
        <v>20740</v>
      </c>
      <c r="BC84">
        <v>22473.462</v>
      </c>
      <c r="BD84">
        <v>23237.86</v>
      </c>
      <c r="BE84">
        <v>25000</v>
      </c>
      <c r="BF84">
        <v>27463.635999999999</v>
      </c>
      <c r="BG84">
        <v>30000</v>
      </c>
      <c r="BH84">
        <v>34610.514000000003</v>
      </c>
      <c r="BI84">
        <v>35046</v>
      </c>
      <c r="BJ84">
        <v>38582.447999999997</v>
      </c>
      <c r="BK84">
        <v>42006.79</v>
      </c>
      <c r="BL84">
        <v>50000</v>
      </c>
      <c r="BM84">
        <v>54336.774000000027</v>
      </c>
      <c r="BN84">
        <v>65042.055999999982</v>
      </c>
      <c r="BO84">
        <v>78281.780000000086</v>
      </c>
      <c r="BP84">
        <v>110403.728</v>
      </c>
      <c r="BQ84">
        <v>134983.79999999999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0</v>
      </c>
      <c r="CL84">
        <v>0</v>
      </c>
    </row>
    <row r="85" spans="1:90" x14ac:dyDescent="0.35">
      <c r="A85">
        <v>337927</v>
      </c>
      <c r="B85" t="s">
        <v>257</v>
      </c>
      <c r="C85" t="s">
        <v>258</v>
      </c>
      <c r="D85" s="1">
        <v>45786</v>
      </c>
      <c r="E85">
        <v>53850</v>
      </c>
      <c r="F85">
        <v>180</v>
      </c>
      <c r="G85" t="s">
        <v>342</v>
      </c>
      <c r="H85" t="s">
        <v>48</v>
      </c>
      <c r="I85" t="s">
        <v>49</v>
      </c>
      <c r="K85">
        <v>202505087960875</v>
      </c>
      <c r="L85">
        <v>1803300005080</v>
      </c>
      <c r="M85">
        <v>20250508</v>
      </c>
      <c r="N85" t="s">
        <v>193</v>
      </c>
      <c r="P85" t="s">
        <v>343</v>
      </c>
      <c r="Q85" t="s">
        <v>59</v>
      </c>
      <c r="R85">
        <v>44050</v>
      </c>
      <c r="S85">
        <v>0</v>
      </c>
      <c r="T85">
        <v>3052182</v>
      </c>
      <c r="U85">
        <v>845500735</v>
      </c>
      <c r="V85" t="s">
        <v>344</v>
      </c>
      <c r="W85" t="s">
        <v>57</v>
      </c>
      <c r="X85" t="s">
        <v>345</v>
      </c>
      <c r="Y85" t="s">
        <v>52</v>
      </c>
      <c r="Z85">
        <v>1627</v>
      </c>
      <c r="AH85">
        <v>0</v>
      </c>
      <c r="AI85">
        <v>202505</v>
      </c>
      <c r="AJ85" t="s">
        <v>55</v>
      </c>
      <c r="AK85">
        <v>0</v>
      </c>
      <c r="AL85">
        <v>1</v>
      </c>
      <c r="AO85">
        <v>0</v>
      </c>
      <c r="AP85">
        <v>999</v>
      </c>
      <c r="AQ85">
        <v>430</v>
      </c>
      <c r="AR85">
        <v>430999</v>
      </c>
      <c r="AT85">
        <v>1</v>
      </c>
      <c r="AU85" t="s">
        <v>58</v>
      </c>
      <c r="AV85" t="s">
        <v>281</v>
      </c>
      <c r="AW85">
        <v>35255.730000000003</v>
      </c>
      <c r="AX85">
        <v>40532.292000000001</v>
      </c>
      <c r="AY85">
        <v>44318.877999999997</v>
      </c>
      <c r="AZ85">
        <v>45125.512000000002</v>
      </c>
      <c r="BA85">
        <v>47063.91</v>
      </c>
      <c r="BB85">
        <v>49568.19</v>
      </c>
      <c r="BC85">
        <v>51155.741999999998</v>
      </c>
      <c r="BD85">
        <v>53646.266000000003</v>
      </c>
      <c r="BE85">
        <v>57942.733999999997</v>
      </c>
      <c r="BF85">
        <v>60683.345999999998</v>
      </c>
      <c r="BG85">
        <v>62646.03</v>
      </c>
      <c r="BH85">
        <v>136475.66400000011</v>
      </c>
      <c r="BI85">
        <v>186663.09400000001</v>
      </c>
      <c r="BJ85">
        <v>189566.11600000001</v>
      </c>
      <c r="BK85">
        <v>195938.15400000001</v>
      </c>
      <c r="BL85">
        <v>204044.7</v>
      </c>
      <c r="BM85">
        <v>227373.3000000001</v>
      </c>
      <c r="BN85">
        <v>252854.712</v>
      </c>
      <c r="BO85">
        <v>282641.74800000002</v>
      </c>
      <c r="BP85">
        <v>294996.82</v>
      </c>
      <c r="BQ85">
        <v>298635.90999999997</v>
      </c>
      <c r="BR85">
        <v>1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</row>
    <row r="86" spans="1:90" x14ac:dyDescent="0.35">
      <c r="A86">
        <v>337865</v>
      </c>
      <c r="B86" t="s">
        <v>257</v>
      </c>
      <c r="C86" t="s">
        <v>258</v>
      </c>
      <c r="D86" s="1">
        <v>45785</v>
      </c>
      <c r="E86">
        <v>53850</v>
      </c>
      <c r="F86">
        <v>226</v>
      </c>
      <c r="G86" t="s">
        <v>185</v>
      </c>
      <c r="H86" t="s">
        <v>48</v>
      </c>
      <c r="I86" t="s">
        <v>49</v>
      </c>
      <c r="K86">
        <v>202505077957180</v>
      </c>
      <c r="L86">
        <v>1453300003928</v>
      </c>
      <c r="M86">
        <v>20250507</v>
      </c>
      <c r="N86" t="s">
        <v>193</v>
      </c>
      <c r="P86" t="s">
        <v>259</v>
      </c>
      <c r="Q86" t="s">
        <v>59</v>
      </c>
      <c r="R86">
        <v>22000</v>
      </c>
      <c r="S86">
        <v>0</v>
      </c>
      <c r="T86">
        <v>3726295</v>
      </c>
      <c r="U86">
        <v>10503411216</v>
      </c>
      <c r="V86" t="s">
        <v>301</v>
      </c>
      <c r="W86" t="s">
        <v>57</v>
      </c>
      <c r="X86" t="s">
        <v>302</v>
      </c>
      <c r="Y86" t="s">
        <v>52</v>
      </c>
      <c r="Z86">
        <v>1932</v>
      </c>
      <c r="AH86">
        <v>0</v>
      </c>
      <c r="AI86">
        <v>202505</v>
      </c>
      <c r="AJ86" t="s">
        <v>189</v>
      </c>
      <c r="AK86">
        <v>1</v>
      </c>
      <c r="AL86">
        <v>1</v>
      </c>
      <c r="AO86">
        <v>0</v>
      </c>
      <c r="AP86">
        <v>999</v>
      </c>
      <c r="AQ86">
        <v>430</v>
      </c>
      <c r="AR86">
        <v>430999</v>
      </c>
      <c r="AT86">
        <v>1</v>
      </c>
      <c r="AU86" t="s">
        <v>58</v>
      </c>
      <c r="AV86" t="s">
        <v>262</v>
      </c>
      <c r="AW86">
        <v>5000</v>
      </c>
      <c r="AX86">
        <v>15712.4</v>
      </c>
      <c r="AY86">
        <v>18425.036</v>
      </c>
      <c r="AZ86">
        <v>19036</v>
      </c>
      <c r="BA86">
        <v>19840</v>
      </c>
      <c r="BB86">
        <v>20740</v>
      </c>
      <c r="BC86">
        <v>22473.462</v>
      </c>
      <c r="BD86">
        <v>23237.86</v>
      </c>
      <c r="BE86">
        <v>25000</v>
      </c>
      <c r="BF86">
        <v>27463.635999999999</v>
      </c>
      <c r="BG86">
        <v>30000</v>
      </c>
      <c r="BH86">
        <v>34610.514000000003</v>
      </c>
      <c r="BI86">
        <v>35046</v>
      </c>
      <c r="BJ86">
        <v>38582.447999999997</v>
      </c>
      <c r="BK86">
        <v>42006.79</v>
      </c>
      <c r="BL86">
        <v>50000</v>
      </c>
      <c r="BM86">
        <v>54336.774000000027</v>
      </c>
      <c r="BN86">
        <v>65042.055999999982</v>
      </c>
      <c r="BO86">
        <v>78281.780000000086</v>
      </c>
      <c r="BP86">
        <v>110403.728</v>
      </c>
      <c r="BQ86">
        <v>134983.79999999999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</row>
    <row r="87" spans="1:90" x14ac:dyDescent="0.35">
      <c r="A87">
        <v>337819</v>
      </c>
      <c r="B87" t="s">
        <v>257</v>
      </c>
      <c r="C87" t="s">
        <v>258</v>
      </c>
      <c r="D87" s="1">
        <v>45784</v>
      </c>
      <c r="E87">
        <v>53850</v>
      </c>
      <c r="F87">
        <v>170</v>
      </c>
      <c r="G87" t="s">
        <v>90</v>
      </c>
      <c r="H87" t="s">
        <v>48</v>
      </c>
      <c r="I87" t="s">
        <v>49</v>
      </c>
      <c r="K87">
        <v>202505067954325</v>
      </c>
      <c r="L87">
        <v>1703306288195</v>
      </c>
      <c r="M87">
        <v>20250506</v>
      </c>
      <c r="N87" t="s">
        <v>193</v>
      </c>
      <c r="P87" t="s">
        <v>195</v>
      </c>
      <c r="Q87" t="s">
        <v>50</v>
      </c>
      <c r="R87">
        <v>21563.52</v>
      </c>
      <c r="S87">
        <v>0</v>
      </c>
      <c r="T87">
        <v>4401631</v>
      </c>
      <c r="U87">
        <v>4724350725</v>
      </c>
      <c r="V87" t="s">
        <v>192</v>
      </c>
      <c r="W87" t="s">
        <v>57</v>
      </c>
      <c r="X87" t="s">
        <v>97</v>
      </c>
      <c r="Y87" t="s">
        <v>52</v>
      </c>
      <c r="Z87">
        <v>1919</v>
      </c>
      <c r="AH87">
        <v>0</v>
      </c>
      <c r="AI87">
        <v>202505</v>
      </c>
      <c r="AJ87" t="s">
        <v>179</v>
      </c>
      <c r="AK87">
        <v>1</v>
      </c>
      <c r="AL87">
        <v>1</v>
      </c>
      <c r="AO87">
        <v>0</v>
      </c>
      <c r="AP87">
        <v>999</v>
      </c>
      <c r="AQ87">
        <v>430</v>
      </c>
      <c r="AR87">
        <v>430999</v>
      </c>
      <c r="AT87">
        <v>1</v>
      </c>
      <c r="AU87" t="s">
        <v>58</v>
      </c>
      <c r="AV87" t="s">
        <v>262</v>
      </c>
      <c r="AW87">
        <v>5000</v>
      </c>
      <c r="AX87">
        <v>15712.4</v>
      </c>
      <c r="AY87">
        <v>18425.036</v>
      </c>
      <c r="AZ87">
        <v>19036</v>
      </c>
      <c r="BA87">
        <v>19840</v>
      </c>
      <c r="BB87">
        <v>20740</v>
      </c>
      <c r="BC87">
        <v>22473.462</v>
      </c>
      <c r="BD87">
        <v>23237.86</v>
      </c>
      <c r="BE87">
        <v>25000</v>
      </c>
      <c r="BF87">
        <v>27463.635999999999</v>
      </c>
      <c r="BG87">
        <v>30000</v>
      </c>
      <c r="BH87">
        <v>34610.514000000003</v>
      </c>
      <c r="BI87">
        <v>35046</v>
      </c>
      <c r="BJ87">
        <v>38582.447999999997</v>
      </c>
      <c r="BK87">
        <v>42006.79</v>
      </c>
      <c r="BL87">
        <v>50000</v>
      </c>
      <c r="BM87">
        <v>54336.774000000027</v>
      </c>
      <c r="BN87">
        <v>65042.055999999982</v>
      </c>
      <c r="BO87">
        <v>78281.780000000086</v>
      </c>
      <c r="BP87">
        <v>110403.728</v>
      </c>
      <c r="BQ87">
        <v>134983.79999999999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</row>
    <row r="88" spans="1:90" x14ac:dyDescent="0.35">
      <c r="A88">
        <v>337818</v>
      </c>
      <c r="B88" t="s">
        <v>257</v>
      </c>
      <c r="C88" t="s">
        <v>258</v>
      </c>
      <c r="D88" s="1">
        <v>45784</v>
      </c>
      <c r="E88">
        <v>53850</v>
      </c>
      <c r="F88">
        <v>170</v>
      </c>
      <c r="G88" t="s">
        <v>90</v>
      </c>
      <c r="H88" t="s">
        <v>48</v>
      </c>
      <c r="I88" t="s">
        <v>49</v>
      </c>
      <c r="K88">
        <v>202505067954326</v>
      </c>
      <c r="L88">
        <v>1703306288195</v>
      </c>
      <c r="M88">
        <v>20250506</v>
      </c>
      <c r="N88" t="s">
        <v>193</v>
      </c>
      <c r="P88" t="s">
        <v>195</v>
      </c>
      <c r="Q88" t="s">
        <v>50</v>
      </c>
      <c r="R88">
        <v>652786.66</v>
      </c>
      <c r="S88">
        <v>0</v>
      </c>
      <c r="T88">
        <v>4401631</v>
      </c>
      <c r="U88">
        <v>4724350725</v>
      </c>
      <c r="V88" t="s">
        <v>192</v>
      </c>
      <c r="W88" t="s">
        <v>57</v>
      </c>
      <c r="X88" t="s">
        <v>97</v>
      </c>
      <c r="Y88" t="s">
        <v>52</v>
      </c>
      <c r="Z88">
        <v>1919</v>
      </c>
      <c r="AH88">
        <v>0</v>
      </c>
      <c r="AI88">
        <v>202505</v>
      </c>
      <c r="AJ88" t="s">
        <v>179</v>
      </c>
      <c r="AK88">
        <v>1</v>
      </c>
      <c r="AL88">
        <v>1</v>
      </c>
      <c r="AO88">
        <v>0</v>
      </c>
      <c r="AP88">
        <v>999</v>
      </c>
      <c r="AQ88">
        <v>430</v>
      </c>
      <c r="AR88">
        <v>430999</v>
      </c>
      <c r="AT88">
        <v>1</v>
      </c>
      <c r="AU88" t="s">
        <v>58</v>
      </c>
      <c r="AV88" t="s">
        <v>262</v>
      </c>
      <c r="AW88">
        <v>5000</v>
      </c>
      <c r="AX88">
        <v>15712.4</v>
      </c>
      <c r="AY88">
        <v>18425.036</v>
      </c>
      <c r="AZ88">
        <v>19036</v>
      </c>
      <c r="BA88">
        <v>19840</v>
      </c>
      <c r="BB88">
        <v>20740</v>
      </c>
      <c r="BC88">
        <v>22473.462</v>
      </c>
      <c r="BD88">
        <v>23237.86</v>
      </c>
      <c r="BE88">
        <v>25000</v>
      </c>
      <c r="BF88">
        <v>27463.635999999999</v>
      </c>
      <c r="BG88">
        <v>30000</v>
      </c>
      <c r="BH88">
        <v>34610.514000000003</v>
      </c>
      <c r="BI88">
        <v>35046</v>
      </c>
      <c r="BJ88">
        <v>38582.447999999997</v>
      </c>
      <c r="BK88">
        <v>42006.79</v>
      </c>
      <c r="BL88">
        <v>50000</v>
      </c>
      <c r="BM88">
        <v>54336.774000000027</v>
      </c>
      <c r="BN88">
        <v>65042.055999999982</v>
      </c>
      <c r="BO88">
        <v>78281.780000000086</v>
      </c>
      <c r="BP88">
        <v>110403.728</v>
      </c>
      <c r="BQ88">
        <v>134983.79999999999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</row>
    <row r="89" spans="1:90" x14ac:dyDescent="0.35">
      <c r="A89">
        <v>337791</v>
      </c>
      <c r="B89" t="s">
        <v>257</v>
      </c>
      <c r="C89" t="s">
        <v>258</v>
      </c>
      <c r="D89" s="1">
        <v>45783</v>
      </c>
      <c r="E89">
        <v>53850</v>
      </c>
      <c r="F89">
        <v>110</v>
      </c>
      <c r="G89" t="s">
        <v>89</v>
      </c>
      <c r="H89" t="s">
        <v>48</v>
      </c>
      <c r="I89" t="s">
        <v>49</v>
      </c>
      <c r="K89">
        <v>202505057950608</v>
      </c>
      <c r="L89">
        <v>1103306288240</v>
      </c>
      <c r="M89">
        <v>20250505</v>
      </c>
      <c r="N89" t="s">
        <v>193</v>
      </c>
      <c r="P89" t="s">
        <v>287</v>
      </c>
      <c r="Q89" t="s">
        <v>59</v>
      </c>
      <c r="R89">
        <v>62646.03</v>
      </c>
      <c r="S89">
        <v>0</v>
      </c>
      <c r="T89">
        <v>4960705</v>
      </c>
      <c r="U89">
        <v>8520490726</v>
      </c>
      <c r="V89" t="s">
        <v>288</v>
      </c>
      <c r="W89" t="s">
        <v>57</v>
      </c>
      <c r="X89" t="s">
        <v>85</v>
      </c>
      <c r="Y89" t="s">
        <v>52</v>
      </c>
      <c r="Z89">
        <v>1696</v>
      </c>
      <c r="AH89">
        <v>0</v>
      </c>
      <c r="AI89">
        <v>202505</v>
      </c>
      <c r="AJ89" t="s">
        <v>55</v>
      </c>
      <c r="AK89">
        <v>0</v>
      </c>
      <c r="AL89">
        <v>1</v>
      </c>
      <c r="AO89">
        <v>0</v>
      </c>
      <c r="AP89">
        <v>464</v>
      </c>
      <c r="AQ89">
        <v>430</v>
      </c>
      <c r="AR89">
        <v>430464</v>
      </c>
      <c r="AS89" t="s">
        <v>86</v>
      </c>
      <c r="AU89" t="s">
        <v>86</v>
      </c>
      <c r="AV89" t="s">
        <v>281</v>
      </c>
      <c r="AW89">
        <v>35255.730000000003</v>
      </c>
      <c r="AX89">
        <v>40532.292000000001</v>
      </c>
      <c r="AY89">
        <v>44318.877999999997</v>
      </c>
      <c r="AZ89">
        <v>45125.512000000002</v>
      </c>
      <c r="BA89">
        <v>47063.91</v>
      </c>
      <c r="BB89">
        <v>49568.19</v>
      </c>
      <c r="BC89">
        <v>51155.741999999998</v>
      </c>
      <c r="BD89">
        <v>53646.266000000003</v>
      </c>
      <c r="BE89">
        <v>57942.733999999997</v>
      </c>
      <c r="BF89">
        <v>60683.345999999998</v>
      </c>
      <c r="BG89">
        <v>62646.03</v>
      </c>
      <c r="BH89">
        <v>136475.66400000011</v>
      </c>
      <c r="BI89">
        <v>186663.09400000001</v>
      </c>
      <c r="BJ89">
        <v>189566.11600000001</v>
      </c>
      <c r="BK89">
        <v>195938.15400000001</v>
      </c>
      <c r="BL89">
        <v>204044.7</v>
      </c>
      <c r="BM89">
        <v>227373.3000000001</v>
      </c>
      <c r="BN89">
        <v>252854.712</v>
      </c>
      <c r="BO89">
        <v>282641.74800000002</v>
      </c>
      <c r="BP89">
        <v>294996.82</v>
      </c>
      <c r="BQ89">
        <v>298635.90999999997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</row>
    <row r="90" spans="1:90" x14ac:dyDescent="0.35">
      <c r="A90">
        <v>337765</v>
      </c>
      <c r="B90" t="s">
        <v>257</v>
      </c>
      <c r="C90" t="s">
        <v>258</v>
      </c>
      <c r="D90" s="1">
        <v>45783</v>
      </c>
      <c r="E90">
        <v>53850</v>
      </c>
      <c r="F90">
        <v>105</v>
      </c>
      <c r="G90" t="s">
        <v>47</v>
      </c>
      <c r="H90" t="s">
        <v>48</v>
      </c>
      <c r="I90" t="s">
        <v>49</v>
      </c>
      <c r="K90">
        <v>202505057950606</v>
      </c>
      <c r="L90">
        <v>1053306295089</v>
      </c>
      <c r="M90">
        <v>20250505</v>
      </c>
      <c r="N90" t="s">
        <v>193</v>
      </c>
      <c r="P90" t="s">
        <v>279</v>
      </c>
      <c r="Q90" t="s">
        <v>50</v>
      </c>
      <c r="R90">
        <v>42057.45</v>
      </c>
      <c r="S90">
        <v>0</v>
      </c>
      <c r="T90">
        <v>3716148</v>
      </c>
      <c r="U90">
        <v>6264740728</v>
      </c>
      <c r="V90" t="s">
        <v>346</v>
      </c>
      <c r="W90" t="s">
        <v>57</v>
      </c>
      <c r="X90" t="s">
        <v>347</v>
      </c>
      <c r="Y90" t="s">
        <v>52</v>
      </c>
      <c r="Z90">
        <v>462</v>
      </c>
      <c r="AH90">
        <v>0</v>
      </c>
      <c r="AI90">
        <v>202505</v>
      </c>
      <c r="AJ90" t="s">
        <v>180</v>
      </c>
      <c r="AK90">
        <v>1</v>
      </c>
      <c r="AL90">
        <v>1</v>
      </c>
      <c r="AO90">
        <v>0</v>
      </c>
      <c r="AP90">
        <v>999</v>
      </c>
      <c r="AQ90">
        <v>430</v>
      </c>
      <c r="AR90">
        <v>430999</v>
      </c>
      <c r="AT90">
        <v>1</v>
      </c>
      <c r="AU90" t="s">
        <v>58</v>
      </c>
      <c r="AV90" t="s">
        <v>281</v>
      </c>
      <c r="AW90">
        <v>35255.730000000003</v>
      </c>
      <c r="AX90">
        <v>40532.292000000001</v>
      </c>
      <c r="AY90">
        <v>44318.877999999997</v>
      </c>
      <c r="AZ90">
        <v>45125.512000000002</v>
      </c>
      <c r="BA90">
        <v>47063.91</v>
      </c>
      <c r="BB90">
        <v>49568.19</v>
      </c>
      <c r="BC90">
        <v>51155.741999999998</v>
      </c>
      <c r="BD90">
        <v>53646.266000000003</v>
      </c>
      <c r="BE90">
        <v>57942.733999999997</v>
      </c>
      <c r="BF90">
        <v>60683.345999999998</v>
      </c>
      <c r="BG90">
        <v>62646.03</v>
      </c>
      <c r="BH90">
        <v>136475.66400000011</v>
      </c>
      <c r="BI90">
        <v>186663.09400000001</v>
      </c>
      <c r="BJ90">
        <v>189566.11600000001</v>
      </c>
      <c r="BK90">
        <v>195938.15400000001</v>
      </c>
      <c r="BL90">
        <v>204044.7</v>
      </c>
      <c r="BM90">
        <v>227373.3000000001</v>
      </c>
      <c r="BN90">
        <v>252854.712</v>
      </c>
      <c r="BO90">
        <v>282641.74800000002</v>
      </c>
      <c r="BP90">
        <v>294996.82</v>
      </c>
      <c r="BQ90">
        <v>298635.90999999997</v>
      </c>
      <c r="BR90">
        <v>1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</row>
    <row r="91" spans="1:90" x14ac:dyDescent="0.35">
      <c r="A91">
        <v>337758</v>
      </c>
      <c r="B91" t="s">
        <v>257</v>
      </c>
      <c r="C91" t="s">
        <v>258</v>
      </c>
      <c r="D91" s="1">
        <v>45780</v>
      </c>
      <c r="E91">
        <v>53850</v>
      </c>
      <c r="F91">
        <v>170</v>
      </c>
      <c r="G91" t="s">
        <v>90</v>
      </c>
      <c r="H91" t="s">
        <v>48</v>
      </c>
      <c r="I91" t="s">
        <v>49</v>
      </c>
      <c r="K91">
        <v>202505027942239</v>
      </c>
      <c r="L91">
        <v>1703306288978</v>
      </c>
      <c r="M91">
        <v>20250502</v>
      </c>
      <c r="N91" t="s">
        <v>193</v>
      </c>
      <c r="P91" t="s">
        <v>259</v>
      </c>
      <c r="Q91" t="s">
        <v>59</v>
      </c>
      <c r="R91">
        <v>15205.86</v>
      </c>
      <c r="S91">
        <v>0</v>
      </c>
      <c r="T91">
        <v>4886461</v>
      </c>
      <c r="U91" t="s">
        <v>348</v>
      </c>
      <c r="V91" t="s">
        <v>349</v>
      </c>
      <c r="W91" t="s">
        <v>51</v>
      </c>
      <c r="Y91" t="s">
        <v>52</v>
      </c>
      <c r="Z91">
        <v>1667</v>
      </c>
      <c r="AH91">
        <v>0</v>
      </c>
      <c r="AI91">
        <v>202505</v>
      </c>
      <c r="AJ91" t="s">
        <v>179</v>
      </c>
      <c r="AK91">
        <v>1</v>
      </c>
      <c r="AL91">
        <v>1</v>
      </c>
      <c r="AO91">
        <v>0</v>
      </c>
      <c r="AP91">
        <v>999</v>
      </c>
      <c r="AQ91">
        <v>600</v>
      </c>
      <c r="AR91">
        <v>600999</v>
      </c>
      <c r="AS91" t="s">
        <v>53</v>
      </c>
      <c r="AU91" t="s">
        <v>53</v>
      </c>
      <c r="AV91" t="s">
        <v>262</v>
      </c>
      <c r="AW91">
        <v>5000</v>
      </c>
      <c r="AX91">
        <v>15712.4</v>
      </c>
      <c r="AY91">
        <v>18425.036</v>
      </c>
      <c r="AZ91">
        <v>19036</v>
      </c>
      <c r="BA91">
        <v>19840</v>
      </c>
      <c r="BB91">
        <v>20740</v>
      </c>
      <c r="BC91">
        <v>22473.462</v>
      </c>
      <c r="BD91">
        <v>23237.86</v>
      </c>
      <c r="BE91">
        <v>25000</v>
      </c>
      <c r="BF91">
        <v>27463.635999999999</v>
      </c>
      <c r="BG91">
        <v>30000</v>
      </c>
      <c r="BH91">
        <v>34610.514000000003</v>
      </c>
      <c r="BI91">
        <v>35046</v>
      </c>
      <c r="BJ91">
        <v>38582.447999999997</v>
      </c>
      <c r="BK91">
        <v>42006.79</v>
      </c>
      <c r="BL91">
        <v>50000</v>
      </c>
      <c r="BM91">
        <v>54336.774000000027</v>
      </c>
      <c r="BN91">
        <v>65042.055999999982</v>
      </c>
      <c r="BO91">
        <v>78281.780000000086</v>
      </c>
      <c r="BP91">
        <v>110403.728</v>
      </c>
      <c r="BQ91">
        <v>134983.79999999999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</row>
    <row r="92" spans="1:90" x14ac:dyDescent="0.35">
      <c r="A92">
        <v>337747</v>
      </c>
      <c r="B92" t="s">
        <v>257</v>
      </c>
      <c r="C92" t="s">
        <v>258</v>
      </c>
      <c r="D92" s="1">
        <v>45780</v>
      </c>
      <c r="E92">
        <v>53850</v>
      </c>
      <c r="F92">
        <v>192</v>
      </c>
      <c r="G92" t="s">
        <v>77</v>
      </c>
      <c r="H92" t="s">
        <v>48</v>
      </c>
      <c r="I92" t="s">
        <v>49</v>
      </c>
      <c r="K92">
        <v>202505027942328</v>
      </c>
      <c r="L92">
        <v>1923300182371</v>
      </c>
      <c r="M92">
        <v>20250502</v>
      </c>
      <c r="N92" t="s">
        <v>193</v>
      </c>
      <c r="P92" t="s">
        <v>259</v>
      </c>
      <c r="Q92" t="s">
        <v>59</v>
      </c>
      <c r="R92">
        <v>320000</v>
      </c>
      <c r="S92">
        <v>0</v>
      </c>
      <c r="T92">
        <v>4813278</v>
      </c>
      <c r="U92">
        <v>3017410733</v>
      </c>
      <c r="V92" t="s">
        <v>350</v>
      </c>
      <c r="W92" t="s">
        <v>57</v>
      </c>
      <c r="X92" t="s">
        <v>347</v>
      </c>
      <c r="Y92" t="s">
        <v>52</v>
      </c>
      <c r="Z92">
        <v>1066</v>
      </c>
      <c r="AH92">
        <v>0</v>
      </c>
      <c r="AI92">
        <v>202505</v>
      </c>
      <c r="AJ92" t="s">
        <v>179</v>
      </c>
      <c r="AK92">
        <v>1</v>
      </c>
      <c r="AL92">
        <v>1</v>
      </c>
      <c r="AO92">
        <v>0</v>
      </c>
      <c r="AP92">
        <v>999</v>
      </c>
      <c r="AQ92">
        <v>430</v>
      </c>
      <c r="AR92">
        <v>430999</v>
      </c>
      <c r="AT92">
        <v>1</v>
      </c>
      <c r="AU92" t="s">
        <v>58</v>
      </c>
      <c r="AV92" t="s">
        <v>262</v>
      </c>
      <c r="AW92">
        <v>5000</v>
      </c>
      <c r="AX92">
        <v>15712.4</v>
      </c>
      <c r="AY92">
        <v>18425.036</v>
      </c>
      <c r="AZ92">
        <v>19036</v>
      </c>
      <c r="BA92">
        <v>19840</v>
      </c>
      <c r="BB92">
        <v>20740</v>
      </c>
      <c r="BC92">
        <v>22473.462</v>
      </c>
      <c r="BD92">
        <v>23237.86</v>
      </c>
      <c r="BE92">
        <v>25000</v>
      </c>
      <c r="BF92">
        <v>27463.635999999999</v>
      </c>
      <c r="BG92">
        <v>30000</v>
      </c>
      <c r="BH92">
        <v>34610.514000000003</v>
      </c>
      <c r="BI92">
        <v>35046</v>
      </c>
      <c r="BJ92">
        <v>38582.447999999997</v>
      </c>
      <c r="BK92">
        <v>42006.79</v>
      </c>
      <c r="BL92">
        <v>50000</v>
      </c>
      <c r="BM92">
        <v>54336.774000000027</v>
      </c>
      <c r="BN92">
        <v>65042.055999999982</v>
      </c>
      <c r="BO92">
        <v>78281.780000000086</v>
      </c>
      <c r="BP92">
        <v>110403.728</v>
      </c>
      <c r="BQ92">
        <v>134983.79999999999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</row>
    <row r="93" spans="1:90" x14ac:dyDescent="0.35">
      <c r="A93">
        <v>337741</v>
      </c>
      <c r="B93" t="s">
        <v>257</v>
      </c>
      <c r="C93" t="s">
        <v>258</v>
      </c>
      <c r="D93" s="1">
        <v>45780</v>
      </c>
      <c r="E93">
        <v>53850</v>
      </c>
      <c r="F93">
        <v>131</v>
      </c>
      <c r="G93" t="s">
        <v>184</v>
      </c>
      <c r="H93" t="s">
        <v>48</v>
      </c>
      <c r="I93" t="s">
        <v>49</v>
      </c>
      <c r="K93">
        <v>202505027942655</v>
      </c>
      <c r="L93">
        <v>1313300001588</v>
      </c>
      <c r="M93">
        <v>20250502</v>
      </c>
      <c r="N93" t="s">
        <v>193</v>
      </c>
      <c r="P93" t="s">
        <v>351</v>
      </c>
      <c r="Q93" t="s">
        <v>59</v>
      </c>
      <c r="R93">
        <v>57850.2</v>
      </c>
      <c r="S93">
        <v>0</v>
      </c>
      <c r="T93">
        <v>4121868</v>
      </c>
      <c r="U93">
        <v>5913290630</v>
      </c>
      <c r="V93" t="s">
        <v>352</v>
      </c>
      <c r="W93" t="s">
        <v>57</v>
      </c>
      <c r="X93" t="s">
        <v>345</v>
      </c>
      <c r="Y93" t="s">
        <v>52</v>
      </c>
      <c r="Z93">
        <v>739</v>
      </c>
      <c r="AH93">
        <v>0</v>
      </c>
      <c r="AI93">
        <v>202505</v>
      </c>
      <c r="AJ93" t="s">
        <v>64</v>
      </c>
      <c r="AK93">
        <v>0</v>
      </c>
      <c r="AL93">
        <v>1</v>
      </c>
      <c r="AO93">
        <v>0</v>
      </c>
      <c r="AP93">
        <v>999</v>
      </c>
      <c r="AQ93">
        <v>430</v>
      </c>
      <c r="AR93">
        <v>430999</v>
      </c>
      <c r="AT93">
        <v>1</v>
      </c>
      <c r="AU93" t="s">
        <v>58</v>
      </c>
      <c r="AV93" t="s">
        <v>262</v>
      </c>
      <c r="AW93">
        <v>5000</v>
      </c>
      <c r="AX93">
        <v>15712.4</v>
      </c>
      <c r="AY93">
        <v>18425.036</v>
      </c>
      <c r="AZ93">
        <v>19036</v>
      </c>
      <c r="BA93">
        <v>19840</v>
      </c>
      <c r="BB93">
        <v>20740</v>
      </c>
      <c r="BC93">
        <v>22473.462</v>
      </c>
      <c r="BD93">
        <v>23237.86</v>
      </c>
      <c r="BE93">
        <v>25000</v>
      </c>
      <c r="BF93">
        <v>27463.635999999999</v>
      </c>
      <c r="BG93">
        <v>30000</v>
      </c>
      <c r="BH93">
        <v>34610.514000000003</v>
      </c>
      <c r="BI93">
        <v>35046</v>
      </c>
      <c r="BJ93">
        <v>38582.447999999997</v>
      </c>
      <c r="BK93">
        <v>42006.79</v>
      </c>
      <c r="BL93">
        <v>50000</v>
      </c>
      <c r="BM93">
        <v>54336.774000000027</v>
      </c>
      <c r="BN93">
        <v>65042.055999999982</v>
      </c>
      <c r="BO93">
        <v>78281.780000000086</v>
      </c>
      <c r="BP93">
        <v>110403.728</v>
      </c>
      <c r="BQ93">
        <v>134983.79999999999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0</v>
      </c>
      <c r="CJ93">
        <v>0</v>
      </c>
      <c r="CK93">
        <v>0</v>
      </c>
      <c r="CL93">
        <v>0</v>
      </c>
    </row>
    <row r="94" spans="1:90" x14ac:dyDescent="0.35">
      <c r="A94">
        <v>360629</v>
      </c>
      <c r="B94" t="s">
        <v>257</v>
      </c>
      <c r="C94" t="s">
        <v>258</v>
      </c>
      <c r="D94" s="1">
        <v>45839</v>
      </c>
      <c r="E94">
        <v>53850</v>
      </c>
      <c r="F94">
        <v>121</v>
      </c>
      <c r="G94" t="s">
        <v>75</v>
      </c>
      <c r="H94" t="s">
        <v>48</v>
      </c>
      <c r="I94" t="s">
        <v>49</v>
      </c>
      <c r="K94">
        <v>202506308138260</v>
      </c>
      <c r="L94">
        <v>1213300002600</v>
      </c>
      <c r="M94">
        <v>20250630</v>
      </c>
      <c r="N94" t="s">
        <v>193</v>
      </c>
      <c r="P94" t="s">
        <v>353</v>
      </c>
      <c r="Q94" t="s">
        <v>59</v>
      </c>
      <c r="R94">
        <v>17425.330000000002</v>
      </c>
      <c r="S94">
        <v>0</v>
      </c>
      <c r="T94">
        <v>4939345</v>
      </c>
      <c r="U94">
        <v>5754810728</v>
      </c>
      <c r="V94" t="s">
        <v>188</v>
      </c>
      <c r="W94" t="s">
        <v>57</v>
      </c>
      <c r="X94" t="s">
        <v>76</v>
      </c>
      <c r="Y94" t="s">
        <v>52</v>
      </c>
      <c r="Z94">
        <v>1058</v>
      </c>
      <c r="AH94">
        <v>0</v>
      </c>
      <c r="AI94">
        <v>202506</v>
      </c>
      <c r="AJ94" t="s">
        <v>180</v>
      </c>
      <c r="AK94">
        <v>1</v>
      </c>
      <c r="AL94">
        <v>1</v>
      </c>
      <c r="AO94">
        <v>0</v>
      </c>
      <c r="AP94">
        <v>463</v>
      </c>
      <c r="AQ94">
        <v>430</v>
      </c>
      <c r="AR94">
        <v>430463</v>
      </c>
      <c r="AS94" t="s">
        <v>62</v>
      </c>
      <c r="AU94" t="s">
        <v>62</v>
      </c>
      <c r="AV94" t="s">
        <v>262</v>
      </c>
      <c r="AW94">
        <v>5000</v>
      </c>
      <c r="AX94">
        <v>15712.4</v>
      </c>
      <c r="AY94">
        <v>18425.036</v>
      </c>
      <c r="AZ94">
        <v>19036</v>
      </c>
      <c r="BA94">
        <v>19840</v>
      </c>
      <c r="BB94">
        <v>20740</v>
      </c>
      <c r="BC94">
        <v>22473.462</v>
      </c>
      <c r="BD94">
        <v>23237.86</v>
      </c>
      <c r="BE94">
        <v>25000</v>
      </c>
      <c r="BF94">
        <v>27463.635999999999</v>
      </c>
      <c r="BG94">
        <v>30000</v>
      </c>
      <c r="BH94">
        <v>34610.514000000003</v>
      </c>
      <c r="BI94">
        <v>35046</v>
      </c>
      <c r="BJ94">
        <v>38582.447999999997</v>
      </c>
      <c r="BK94">
        <v>42006.79</v>
      </c>
      <c r="BL94">
        <v>50000</v>
      </c>
      <c r="BM94">
        <v>54336.774000000027</v>
      </c>
      <c r="BN94">
        <v>65042.055999999982</v>
      </c>
      <c r="BO94">
        <v>78281.780000000086</v>
      </c>
      <c r="BP94">
        <v>110403.728</v>
      </c>
      <c r="BQ94">
        <v>134983.79999999999</v>
      </c>
      <c r="BR94">
        <v>1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</row>
    <row r="95" spans="1:90" x14ac:dyDescent="0.35">
      <c r="A95">
        <v>360589</v>
      </c>
      <c r="B95" t="s">
        <v>257</v>
      </c>
      <c r="C95" t="s">
        <v>258</v>
      </c>
      <c r="D95" s="1">
        <v>45836</v>
      </c>
      <c r="E95">
        <v>53850</v>
      </c>
      <c r="F95">
        <v>252</v>
      </c>
      <c r="G95" t="s">
        <v>354</v>
      </c>
      <c r="H95" t="s">
        <v>48</v>
      </c>
      <c r="I95" t="s">
        <v>49</v>
      </c>
      <c r="K95">
        <v>202506278130095</v>
      </c>
      <c r="L95">
        <v>2523300011629</v>
      </c>
      <c r="M95">
        <v>20250627</v>
      </c>
      <c r="N95" t="s">
        <v>193</v>
      </c>
      <c r="P95" t="s">
        <v>259</v>
      </c>
      <c r="Q95" t="s">
        <v>59</v>
      </c>
      <c r="R95">
        <v>50000</v>
      </c>
      <c r="S95">
        <v>0</v>
      </c>
      <c r="T95">
        <v>3720847</v>
      </c>
      <c r="U95">
        <v>2732060740</v>
      </c>
      <c r="V95" t="s">
        <v>355</v>
      </c>
      <c r="W95" t="s">
        <v>57</v>
      </c>
      <c r="X95" t="s">
        <v>186</v>
      </c>
      <c r="Y95" t="s">
        <v>52</v>
      </c>
      <c r="Z95">
        <v>1094</v>
      </c>
      <c r="AH95">
        <v>0</v>
      </c>
      <c r="AI95">
        <v>202506</v>
      </c>
      <c r="AJ95" t="s">
        <v>64</v>
      </c>
      <c r="AK95">
        <v>0</v>
      </c>
      <c r="AL95">
        <v>1</v>
      </c>
      <c r="AO95">
        <v>0</v>
      </c>
      <c r="AP95">
        <v>999</v>
      </c>
      <c r="AQ95">
        <v>430</v>
      </c>
      <c r="AR95">
        <v>430999</v>
      </c>
      <c r="AT95">
        <v>1</v>
      </c>
      <c r="AU95" t="s">
        <v>58</v>
      </c>
      <c r="AV95" t="s">
        <v>262</v>
      </c>
      <c r="AW95">
        <v>5000</v>
      </c>
      <c r="AX95">
        <v>15712.4</v>
      </c>
      <c r="AY95">
        <v>18425.036</v>
      </c>
      <c r="AZ95">
        <v>19036</v>
      </c>
      <c r="BA95">
        <v>19840</v>
      </c>
      <c r="BB95">
        <v>20740</v>
      </c>
      <c r="BC95">
        <v>22473.462</v>
      </c>
      <c r="BD95">
        <v>23237.86</v>
      </c>
      <c r="BE95">
        <v>25000</v>
      </c>
      <c r="BF95">
        <v>27463.635999999999</v>
      </c>
      <c r="BG95">
        <v>30000</v>
      </c>
      <c r="BH95">
        <v>34610.514000000003</v>
      </c>
      <c r="BI95">
        <v>35046</v>
      </c>
      <c r="BJ95">
        <v>38582.447999999997</v>
      </c>
      <c r="BK95">
        <v>42006.79</v>
      </c>
      <c r="BL95">
        <v>50000</v>
      </c>
      <c r="BM95">
        <v>54336.774000000027</v>
      </c>
      <c r="BN95">
        <v>65042.055999999982</v>
      </c>
      <c r="BO95">
        <v>78281.780000000086</v>
      </c>
      <c r="BP95">
        <v>110403.728</v>
      </c>
      <c r="BQ95">
        <v>134983.79999999999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0</v>
      </c>
      <c r="CI95">
        <v>0</v>
      </c>
      <c r="CJ95">
        <v>0</v>
      </c>
      <c r="CK95">
        <v>0</v>
      </c>
      <c r="CL95">
        <v>0</v>
      </c>
    </row>
    <row r="96" spans="1:90" x14ac:dyDescent="0.35">
      <c r="A96">
        <v>360550</v>
      </c>
      <c r="B96" t="s">
        <v>257</v>
      </c>
      <c r="C96" t="s">
        <v>258</v>
      </c>
      <c r="D96" s="1">
        <v>45836</v>
      </c>
      <c r="E96">
        <v>53850</v>
      </c>
      <c r="F96">
        <v>190</v>
      </c>
      <c r="G96" t="s">
        <v>196</v>
      </c>
      <c r="H96" t="s">
        <v>48</v>
      </c>
      <c r="I96" t="s">
        <v>49</v>
      </c>
      <c r="K96">
        <v>202506278130296</v>
      </c>
      <c r="L96">
        <v>1903300017388</v>
      </c>
      <c r="M96">
        <v>20250627</v>
      </c>
      <c r="N96" t="s">
        <v>193</v>
      </c>
      <c r="P96" t="s">
        <v>259</v>
      </c>
      <c r="Q96" t="s">
        <v>59</v>
      </c>
      <c r="R96">
        <v>75315.89</v>
      </c>
      <c r="S96">
        <v>0</v>
      </c>
      <c r="T96">
        <v>4884959</v>
      </c>
      <c r="U96">
        <v>6732580722</v>
      </c>
      <c r="V96" t="s">
        <v>356</v>
      </c>
      <c r="W96" t="s">
        <v>57</v>
      </c>
      <c r="X96" t="s">
        <v>78</v>
      </c>
      <c r="Y96" t="s">
        <v>52</v>
      </c>
      <c r="Z96">
        <v>1926</v>
      </c>
      <c r="AH96">
        <v>0</v>
      </c>
      <c r="AI96">
        <v>202506</v>
      </c>
      <c r="AJ96" t="s">
        <v>179</v>
      </c>
      <c r="AK96">
        <v>1</v>
      </c>
      <c r="AL96">
        <v>1</v>
      </c>
      <c r="AO96">
        <v>0</v>
      </c>
      <c r="AP96">
        <v>999</v>
      </c>
      <c r="AQ96">
        <v>430</v>
      </c>
      <c r="AR96">
        <v>430999</v>
      </c>
      <c r="AT96">
        <v>1</v>
      </c>
      <c r="AU96" t="s">
        <v>58</v>
      </c>
      <c r="AV96" t="s">
        <v>262</v>
      </c>
      <c r="AW96">
        <v>5000</v>
      </c>
      <c r="AX96">
        <v>15712.4</v>
      </c>
      <c r="AY96">
        <v>18425.036</v>
      </c>
      <c r="AZ96">
        <v>19036</v>
      </c>
      <c r="BA96">
        <v>19840</v>
      </c>
      <c r="BB96">
        <v>20740</v>
      </c>
      <c r="BC96">
        <v>22473.462</v>
      </c>
      <c r="BD96">
        <v>23237.86</v>
      </c>
      <c r="BE96">
        <v>25000</v>
      </c>
      <c r="BF96">
        <v>27463.635999999999</v>
      </c>
      <c r="BG96">
        <v>30000</v>
      </c>
      <c r="BH96">
        <v>34610.514000000003</v>
      </c>
      <c r="BI96">
        <v>35046</v>
      </c>
      <c r="BJ96">
        <v>38582.447999999997</v>
      </c>
      <c r="BK96">
        <v>42006.79</v>
      </c>
      <c r="BL96">
        <v>50000</v>
      </c>
      <c r="BM96">
        <v>54336.774000000027</v>
      </c>
      <c r="BN96">
        <v>65042.055999999982</v>
      </c>
      <c r="BO96">
        <v>78281.780000000086</v>
      </c>
      <c r="BP96">
        <v>110403.728</v>
      </c>
      <c r="BQ96">
        <v>134983.79999999999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0</v>
      </c>
      <c r="CK96">
        <v>0</v>
      </c>
      <c r="CL96">
        <v>0</v>
      </c>
    </row>
    <row r="97" spans="1:90" x14ac:dyDescent="0.35">
      <c r="A97">
        <v>360496</v>
      </c>
      <c r="B97" t="s">
        <v>257</v>
      </c>
      <c r="C97" t="s">
        <v>258</v>
      </c>
      <c r="D97" s="1">
        <v>45834</v>
      </c>
      <c r="E97">
        <v>53850</v>
      </c>
      <c r="F97">
        <v>170</v>
      </c>
      <c r="G97" t="s">
        <v>90</v>
      </c>
      <c r="H97" t="s">
        <v>48</v>
      </c>
      <c r="I97" t="s">
        <v>49</v>
      </c>
      <c r="K97">
        <v>202506258123939</v>
      </c>
      <c r="L97">
        <v>1703306288195</v>
      </c>
      <c r="M97">
        <v>20250625</v>
      </c>
      <c r="N97" t="s">
        <v>193</v>
      </c>
      <c r="P97" t="s">
        <v>195</v>
      </c>
      <c r="Q97" t="s">
        <v>50</v>
      </c>
      <c r="R97">
        <v>82150.289999999994</v>
      </c>
      <c r="S97">
        <v>0</v>
      </c>
      <c r="T97">
        <v>4401631</v>
      </c>
      <c r="U97">
        <v>4724350725</v>
      </c>
      <c r="V97" t="s">
        <v>192</v>
      </c>
      <c r="W97" t="s">
        <v>57</v>
      </c>
      <c r="X97" t="s">
        <v>97</v>
      </c>
      <c r="Y97" t="s">
        <v>52</v>
      </c>
      <c r="Z97">
        <v>1919</v>
      </c>
      <c r="AH97">
        <v>0</v>
      </c>
      <c r="AI97">
        <v>202506</v>
      </c>
      <c r="AJ97" t="s">
        <v>179</v>
      </c>
      <c r="AK97">
        <v>1</v>
      </c>
      <c r="AL97">
        <v>1</v>
      </c>
      <c r="AO97">
        <v>0</v>
      </c>
      <c r="AP97">
        <v>999</v>
      </c>
      <c r="AQ97">
        <v>430</v>
      </c>
      <c r="AR97">
        <v>430999</v>
      </c>
      <c r="AT97">
        <v>1</v>
      </c>
      <c r="AU97" t="s">
        <v>58</v>
      </c>
      <c r="AV97" t="s">
        <v>262</v>
      </c>
      <c r="AW97">
        <v>5000</v>
      </c>
      <c r="AX97">
        <v>15712.4</v>
      </c>
      <c r="AY97">
        <v>18425.036</v>
      </c>
      <c r="AZ97">
        <v>19036</v>
      </c>
      <c r="BA97">
        <v>19840</v>
      </c>
      <c r="BB97">
        <v>20740</v>
      </c>
      <c r="BC97">
        <v>22473.462</v>
      </c>
      <c r="BD97">
        <v>23237.86</v>
      </c>
      <c r="BE97">
        <v>25000</v>
      </c>
      <c r="BF97">
        <v>27463.635999999999</v>
      </c>
      <c r="BG97">
        <v>30000</v>
      </c>
      <c r="BH97">
        <v>34610.514000000003</v>
      </c>
      <c r="BI97">
        <v>35046</v>
      </c>
      <c r="BJ97">
        <v>38582.447999999997</v>
      </c>
      <c r="BK97">
        <v>42006.79</v>
      </c>
      <c r="BL97">
        <v>50000</v>
      </c>
      <c r="BM97">
        <v>54336.774000000027</v>
      </c>
      <c r="BN97">
        <v>65042.055999999982</v>
      </c>
      <c r="BO97">
        <v>78281.780000000086</v>
      </c>
      <c r="BP97">
        <v>110403.728</v>
      </c>
      <c r="BQ97">
        <v>134983.79999999999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0</v>
      </c>
      <c r="CL97">
        <v>0</v>
      </c>
    </row>
    <row r="98" spans="1:90" x14ac:dyDescent="0.35">
      <c r="A98">
        <v>360469</v>
      </c>
      <c r="B98" t="s">
        <v>257</v>
      </c>
      <c r="C98" t="s">
        <v>258</v>
      </c>
      <c r="D98" s="1">
        <v>45834</v>
      </c>
      <c r="E98">
        <v>53850</v>
      </c>
      <c r="F98">
        <v>102</v>
      </c>
      <c r="G98" t="s">
        <v>56</v>
      </c>
      <c r="H98" t="s">
        <v>48</v>
      </c>
      <c r="I98" t="s">
        <v>49</v>
      </c>
      <c r="K98">
        <v>202506258123920</v>
      </c>
      <c r="L98">
        <v>1023304893170</v>
      </c>
      <c r="M98">
        <v>20250625</v>
      </c>
      <c r="N98" t="s">
        <v>193</v>
      </c>
      <c r="P98" t="s">
        <v>279</v>
      </c>
      <c r="Q98" t="s">
        <v>50</v>
      </c>
      <c r="R98">
        <v>47560.56</v>
      </c>
      <c r="S98">
        <v>0</v>
      </c>
      <c r="T98">
        <v>489317</v>
      </c>
      <c r="U98">
        <v>4213260724</v>
      </c>
      <c r="V98" t="s">
        <v>357</v>
      </c>
      <c r="W98" t="s">
        <v>57</v>
      </c>
      <c r="X98" t="s">
        <v>85</v>
      </c>
      <c r="Y98" t="s">
        <v>52</v>
      </c>
      <c r="Z98">
        <v>1203</v>
      </c>
      <c r="AH98">
        <v>0</v>
      </c>
      <c r="AI98">
        <v>202506</v>
      </c>
      <c r="AJ98" t="s">
        <v>179</v>
      </c>
      <c r="AK98">
        <v>1</v>
      </c>
      <c r="AL98">
        <v>1</v>
      </c>
      <c r="AO98">
        <v>0</v>
      </c>
      <c r="AP98">
        <v>464</v>
      </c>
      <c r="AQ98">
        <v>430</v>
      </c>
      <c r="AR98">
        <v>430464</v>
      </c>
      <c r="AS98" t="s">
        <v>86</v>
      </c>
      <c r="AU98" t="s">
        <v>86</v>
      </c>
      <c r="AV98" t="s">
        <v>281</v>
      </c>
      <c r="AW98">
        <v>35255.730000000003</v>
      </c>
      <c r="AX98">
        <v>40532.292000000001</v>
      </c>
      <c r="AY98">
        <v>44318.877999999997</v>
      </c>
      <c r="AZ98">
        <v>45125.512000000002</v>
      </c>
      <c r="BA98">
        <v>47063.91</v>
      </c>
      <c r="BB98">
        <v>49568.19</v>
      </c>
      <c r="BC98">
        <v>51155.741999999998</v>
      </c>
      <c r="BD98">
        <v>53646.266000000003</v>
      </c>
      <c r="BE98">
        <v>57942.733999999997</v>
      </c>
      <c r="BF98">
        <v>60683.345999999998</v>
      </c>
      <c r="BG98">
        <v>62646.03</v>
      </c>
      <c r="BH98">
        <v>136475.66400000011</v>
      </c>
      <c r="BI98">
        <v>186663.09400000001</v>
      </c>
      <c r="BJ98">
        <v>189566.11600000001</v>
      </c>
      <c r="BK98">
        <v>195938.15400000001</v>
      </c>
      <c r="BL98">
        <v>204044.7</v>
      </c>
      <c r="BM98">
        <v>227373.3000000001</v>
      </c>
      <c r="BN98">
        <v>252854.712</v>
      </c>
      <c r="BO98">
        <v>282641.74800000002</v>
      </c>
      <c r="BP98">
        <v>294996.82</v>
      </c>
      <c r="BQ98">
        <v>298635.90999999997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</row>
    <row r="99" spans="1:90" x14ac:dyDescent="0.35">
      <c r="A99">
        <v>360465</v>
      </c>
      <c r="B99" t="s">
        <v>257</v>
      </c>
      <c r="C99" t="s">
        <v>258</v>
      </c>
      <c r="D99" s="1">
        <v>45834</v>
      </c>
      <c r="E99">
        <v>53850</v>
      </c>
      <c r="F99">
        <v>105</v>
      </c>
      <c r="G99" t="s">
        <v>47</v>
      </c>
      <c r="H99" t="s">
        <v>48</v>
      </c>
      <c r="I99" t="s">
        <v>49</v>
      </c>
      <c r="K99">
        <v>202506258123921</v>
      </c>
      <c r="L99">
        <v>1053306295089</v>
      </c>
      <c r="M99">
        <v>20250625</v>
      </c>
      <c r="N99" t="s">
        <v>193</v>
      </c>
      <c r="P99" t="s">
        <v>279</v>
      </c>
      <c r="Q99" t="s">
        <v>50</v>
      </c>
      <c r="R99">
        <v>35699.160000000003</v>
      </c>
      <c r="S99">
        <v>0</v>
      </c>
      <c r="T99">
        <v>3716148</v>
      </c>
      <c r="U99">
        <v>6264740728</v>
      </c>
      <c r="V99" t="s">
        <v>346</v>
      </c>
      <c r="W99" t="s">
        <v>57</v>
      </c>
      <c r="X99" t="s">
        <v>347</v>
      </c>
      <c r="Y99" t="s">
        <v>52</v>
      </c>
      <c r="Z99">
        <v>462</v>
      </c>
      <c r="AH99">
        <v>0</v>
      </c>
      <c r="AI99">
        <v>202506</v>
      </c>
      <c r="AJ99" t="s">
        <v>180</v>
      </c>
      <c r="AK99">
        <v>1</v>
      </c>
      <c r="AL99">
        <v>1</v>
      </c>
      <c r="AO99">
        <v>0</v>
      </c>
      <c r="AP99">
        <v>999</v>
      </c>
      <c r="AQ99">
        <v>430</v>
      </c>
      <c r="AR99">
        <v>430999</v>
      </c>
      <c r="AT99">
        <v>1</v>
      </c>
      <c r="AU99" t="s">
        <v>58</v>
      </c>
      <c r="AV99" t="s">
        <v>281</v>
      </c>
      <c r="AW99">
        <v>35255.730000000003</v>
      </c>
      <c r="AX99">
        <v>40532.292000000001</v>
      </c>
      <c r="AY99">
        <v>44318.877999999997</v>
      </c>
      <c r="AZ99">
        <v>45125.512000000002</v>
      </c>
      <c r="BA99">
        <v>47063.91</v>
      </c>
      <c r="BB99">
        <v>49568.19</v>
      </c>
      <c r="BC99">
        <v>51155.741999999998</v>
      </c>
      <c r="BD99">
        <v>53646.266000000003</v>
      </c>
      <c r="BE99">
        <v>57942.733999999997</v>
      </c>
      <c r="BF99">
        <v>60683.345999999998</v>
      </c>
      <c r="BG99">
        <v>62646.03</v>
      </c>
      <c r="BH99">
        <v>136475.66400000011</v>
      </c>
      <c r="BI99">
        <v>186663.09400000001</v>
      </c>
      <c r="BJ99">
        <v>189566.11600000001</v>
      </c>
      <c r="BK99">
        <v>195938.15400000001</v>
      </c>
      <c r="BL99">
        <v>204044.7</v>
      </c>
      <c r="BM99">
        <v>227373.3000000001</v>
      </c>
      <c r="BN99">
        <v>252854.712</v>
      </c>
      <c r="BO99">
        <v>282641.74800000002</v>
      </c>
      <c r="BP99">
        <v>294996.82</v>
      </c>
      <c r="BQ99">
        <v>298635.90999999997</v>
      </c>
      <c r="BR99">
        <v>1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</row>
    <row r="100" spans="1:90" x14ac:dyDescent="0.35">
      <c r="A100">
        <v>360456</v>
      </c>
      <c r="B100" t="s">
        <v>257</v>
      </c>
      <c r="C100" t="s">
        <v>258</v>
      </c>
      <c r="D100" s="1">
        <v>45833</v>
      </c>
      <c r="E100">
        <v>53850</v>
      </c>
      <c r="F100">
        <v>268</v>
      </c>
      <c r="G100" t="s">
        <v>190</v>
      </c>
      <c r="H100" t="s">
        <v>48</v>
      </c>
      <c r="I100" t="s">
        <v>49</v>
      </c>
      <c r="K100">
        <v>202506248120482</v>
      </c>
      <c r="L100">
        <v>2683300003688</v>
      </c>
      <c r="M100">
        <v>20250624</v>
      </c>
      <c r="N100" t="s">
        <v>193</v>
      </c>
      <c r="P100" t="s">
        <v>259</v>
      </c>
      <c r="Q100" t="s">
        <v>59</v>
      </c>
      <c r="R100">
        <v>15000</v>
      </c>
      <c r="S100">
        <v>0</v>
      </c>
      <c r="T100">
        <v>1626577</v>
      </c>
      <c r="U100" t="s">
        <v>358</v>
      </c>
      <c r="V100" t="s">
        <v>359</v>
      </c>
      <c r="W100" t="s">
        <v>51</v>
      </c>
      <c r="Y100" t="s">
        <v>52</v>
      </c>
      <c r="Z100">
        <v>1832</v>
      </c>
      <c r="AH100">
        <v>0</v>
      </c>
      <c r="AI100">
        <v>202506</v>
      </c>
      <c r="AJ100" t="s">
        <v>179</v>
      </c>
      <c r="AK100">
        <v>1</v>
      </c>
      <c r="AL100">
        <v>1</v>
      </c>
      <c r="AO100">
        <v>0</v>
      </c>
      <c r="AP100">
        <v>999</v>
      </c>
      <c r="AQ100">
        <v>600</v>
      </c>
      <c r="AR100">
        <v>600999</v>
      </c>
      <c r="AS100" t="s">
        <v>53</v>
      </c>
      <c r="AU100" t="s">
        <v>53</v>
      </c>
      <c r="AV100" t="s">
        <v>262</v>
      </c>
      <c r="AW100">
        <v>5000</v>
      </c>
      <c r="AX100">
        <v>15712.4</v>
      </c>
      <c r="AY100">
        <v>18425.036</v>
      </c>
      <c r="AZ100">
        <v>19036</v>
      </c>
      <c r="BA100">
        <v>19840</v>
      </c>
      <c r="BB100">
        <v>20740</v>
      </c>
      <c r="BC100">
        <v>22473.462</v>
      </c>
      <c r="BD100">
        <v>23237.86</v>
      </c>
      <c r="BE100">
        <v>25000</v>
      </c>
      <c r="BF100">
        <v>27463.635999999999</v>
      </c>
      <c r="BG100">
        <v>30000</v>
      </c>
      <c r="BH100">
        <v>34610.514000000003</v>
      </c>
      <c r="BI100">
        <v>35046</v>
      </c>
      <c r="BJ100">
        <v>38582.447999999997</v>
      </c>
      <c r="BK100">
        <v>42006.79</v>
      </c>
      <c r="BL100">
        <v>50000</v>
      </c>
      <c r="BM100">
        <v>54336.774000000027</v>
      </c>
      <c r="BN100">
        <v>65042.055999999982</v>
      </c>
      <c r="BO100">
        <v>78281.780000000086</v>
      </c>
      <c r="BP100">
        <v>110403.728</v>
      </c>
      <c r="BQ100">
        <v>134983.79999999999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</row>
    <row r="101" spans="1:90" x14ac:dyDescent="0.35">
      <c r="A101">
        <v>360454</v>
      </c>
      <c r="B101" t="s">
        <v>257</v>
      </c>
      <c r="C101" t="s">
        <v>258</v>
      </c>
      <c r="D101" s="1">
        <v>45833</v>
      </c>
      <c r="E101">
        <v>53850</v>
      </c>
      <c r="F101">
        <v>268</v>
      </c>
      <c r="G101" t="s">
        <v>190</v>
      </c>
      <c r="H101" t="s">
        <v>48</v>
      </c>
      <c r="I101" t="s">
        <v>49</v>
      </c>
      <c r="K101">
        <v>202506248120482</v>
      </c>
      <c r="L101">
        <v>2683300003688</v>
      </c>
      <c r="M101">
        <v>20250624</v>
      </c>
      <c r="N101" t="s">
        <v>193</v>
      </c>
      <c r="P101" t="s">
        <v>259</v>
      </c>
      <c r="Q101" t="s">
        <v>59</v>
      </c>
      <c r="R101">
        <v>15000</v>
      </c>
      <c r="S101">
        <v>0</v>
      </c>
      <c r="T101">
        <v>1640741</v>
      </c>
      <c r="U101" t="s">
        <v>360</v>
      </c>
      <c r="V101" t="s">
        <v>361</v>
      </c>
      <c r="W101" t="s">
        <v>51</v>
      </c>
      <c r="Y101" t="s">
        <v>52</v>
      </c>
      <c r="Z101">
        <v>1870</v>
      </c>
      <c r="AH101">
        <v>0</v>
      </c>
      <c r="AI101">
        <v>202506</v>
      </c>
      <c r="AJ101" t="s">
        <v>179</v>
      </c>
      <c r="AK101">
        <v>1</v>
      </c>
      <c r="AL101">
        <v>1</v>
      </c>
      <c r="AO101">
        <v>0</v>
      </c>
      <c r="AP101">
        <v>999</v>
      </c>
      <c r="AQ101">
        <v>600</v>
      </c>
      <c r="AR101">
        <v>600999</v>
      </c>
      <c r="AS101" t="s">
        <v>53</v>
      </c>
      <c r="AU101" t="s">
        <v>53</v>
      </c>
      <c r="AV101" t="s">
        <v>262</v>
      </c>
      <c r="AW101">
        <v>5000</v>
      </c>
      <c r="AX101">
        <v>15712.4</v>
      </c>
      <c r="AY101">
        <v>18425.036</v>
      </c>
      <c r="AZ101">
        <v>19036</v>
      </c>
      <c r="BA101">
        <v>19840</v>
      </c>
      <c r="BB101">
        <v>20740</v>
      </c>
      <c r="BC101">
        <v>22473.462</v>
      </c>
      <c r="BD101">
        <v>23237.86</v>
      </c>
      <c r="BE101">
        <v>25000</v>
      </c>
      <c r="BF101">
        <v>27463.635999999999</v>
      </c>
      <c r="BG101">
        <v>30000</v>
      </c>
      <c r="BH101">
        <v>34610.514000000003</v>
      </c>
      <c r="BI101">
        <v>35046</v>
      </c>
      <c r="BJ101">
        <v>38582.447999999997</v>
      </c>
      <c r="BK101">
        <v>42006.79</v>
      </c>
      <c r="BL101">
        <v>50000</v>
      </c>
      <c r="BM101">
        <v>54336.774000000027</v>
      </c>
      <c r="BN101">
        <v>65042.055999999982</v>
      </c>
      <c r="BO101">
        <v>78281.780000000086</v>
      </c>
      <c r="BP101">
        <v>110403.728</v>
      </c>
      <c r="BQ101">
        <v>134983.79999999999</v>
      </c>
      <c r="BR101">
        <v>1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</row>
    <row r="102" spans="1:90" x14ac:dyDescent="0.35">
      <c r="A102">
        <v>360431</v>
      </c>
      <c r="B102" t="s">
        <v>257</v>
      </c>
      <c r="C102" t="s">
        <v>258</v>
      </c>
      <c r="D102" s="1">
        <v>45833</v>
      </c>
      <c r="E102">
        <v>53850</v>
      </c>
      <c r="F102">
        <v>110</v>
      </c>
      <c r="G102" t="s">
        <v>89</v>
      </c>
      <c r="H102" t="s">
        <v>48</v>
      </c>
      <c r="I102" t="s">
        <v>49</v>
      </c>
      <c r="K102">
        <v>202506248120998</v>
      </c>
      <c r="L102">
        <v>1103306288240</v>
      </c>
      <c r="M102">
        <v>20250624</v>
      </c>
      <c r="N102" t="s">
        <v>193</v>
      </c>
      <c r="P102" t="s">
        <v>287</v>
      </c>
      <c r="Q102" t="s">
        <v>59</v>
      </c>
      <c r="R102">
        <v>35142.01</v>
      </c>
      <c r="S102">
        <v>0</v>
      </c>
      <c r="T102">
        <v>4960705</v>
      </c>
      <c r="U102">
        <v>8520490726</v>
      </c>
      <c r="V102" t="s">
        <v>288</v>
      </c>
      <c r="W102" t="s">
        <v>57</v>
      </c>
      <c r="X102" t="s">
        <v>85</v>
      </c>
      <c r="Y102" t="s">
        <v>52</v>
      </c>
      <c r="Z102">
        <v>1696</v>
      </c>
      <c r="AH102">
        <v>0</v>
      </c>
      <c r="AI102">
        <v>202506</v>
      </c>
      <c r="AJ102" t="s">
        <v>179</v>
      </c>
      <c r="AK102">
        <v>1</v>
      </c>
      <c r="AL102">
        <v>1</v>
      </c>
      <c r="AO102">
        <v>0</v>
      </c>
      <c r="AP102">
        <v>464</v>
      </c>
      <c r="AQ102">
        <v>430</v>
      </c>
      <c r="AR102">
        <v>430464</v>
      </c>
      <c r="AS102" t="s">
        <v>86</v>
      </c>
      <c r="AU102" t="s">
        <v>86</v>
      </c>
      <c r="AV102" t="s">
        <v>281</v>
      </c>
      <c r="AW102">
        <v>35255.730000000003</v>
      </c>
      <c r="AX102">
        <v>40532.292000000001</v>
      </c>
      <c r="AY102">
        <v>44318.877999999997</v>
      </c>
      <c r="AZ102">
        <v>45125.512000000002</v>
      </c>
      <c r="BA102">
        <v>47063.91</v>
      </c>
      <c r="BB102">
        <v>49568.19</v>
      </c>
      <c r="BC102">
        <v>51155.741999999998</v>
      </c>
      <c r="BD102">
        <v>53646.266000000003</v>
      </c>
      <c r="BE102">
        <v>57942.733999999997</v>
      </c>
      <c r="BF102">
        <v>60683.345999999998</v>
      </c>
      <c r="BG102">
        <v>62646.03</v>
      </c>
      <c r="BH102">
        <v>136475.66400000011</v>
      </c>
      <c r="BI102">
        <v>186663.09400000001</v>
      </c>
      <c r="BJ102">
        <v>189566.11600000001</v>
      </c>
      <c r="BK102">
        <v>195938.15400000001</v>
      </c>
      <c r="BL102">
        <v>204044.7</v>
      </c>
      <c r="BM102">
        <v>227373.3000000001</v>
      </c>
      <c r="BN102">
        <v>252854.712</v>
      </c>
      <c r="BO102">
        <v>282641.74800000002</v>
      </c>
      <c r="BP102">
        <v>294996.82</v>
      </c>
      <c r="BQ102">
        <v>298635.90999999997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</row>
    <row r="103" spans="1:90" x14ac:dyDescent="0.35">
      <c r="A103">
        <v>360417</v>
      </c>
      <c r="B103" t="s">
        <v>257</v>
      </c>
      <c r="C103" t="s">
        <v>258</v>
      </c>
      <c r="D103" s="1">
        <v>45832</v>
      </c>
      <c r="E103">
        <v>53850</v>
      </c>
      <c r="F103">
        <v>102</v>
      </c>
      <c r="G103" t="s">
        <v>56</v>
      </c>
      <c r="H103" t="s">
        <v>48</v>
      </c>
      <c r="I103" t="s">
        <v>49</v>
      </c>
      <c r="K103">
        <v>202506238117713</v>
      </c>
      <c r="L103">
        <v>1023306274827</v>
      </c>
      <c r="M103">
        <v>20250623</v>
      </c>
      <c r="N103" t="s">
        <v>193</v>
      </c>
      <c r="P103" t="s">
        <v>272</v>
      </c>
      <c r="Q103" t="s">
        <v>59</v>
      </c>
      <c r="R103">
        <v>15415</v>
      </c>
      <c r="S103">
        <v>0</v>
      </c>
      <c r="T103">
        <v>4532331</v>
      </c>
      <c r="U103">
        <v>6874220723</v>
      </c>
      <c r="V103" t="s">
        <v>362</v>
      </c>
      <c r="W103" t="s">
        <v>57</v>
      </c>
      <c r="X103" t="s">
        <v>199</v>
      </c>
      <c r="Y103" t="s">
        <v>52</v>
      </c>
      <c r="Z103">
        <v>911</v>
      </c>
      <c r="AH103">
        <v>0</v>
      </c>
      <c r="AI103">
        <v>202506</v>
      </c>
      <c r="AJ103" t="s">
        <v>179</v>
      </c>
      <c r="AK103">
        <v>1</v>
      </c>
      <c r="AL103">
        <v>1</v>
      </c>
      <c r="AO103">
        <v>0</v>
      </c>
      <c r="AP103">
        <v>999</v>
      </c>
      <c r="AQ103">
        <v>430</v>
      </c>
      <c r="AR103">
        <v>430999</v>
      </c>
      <c r="AT103">
        <v>1</v>
      </c>
      <c r="AU103" t="s">
        <v>58</v>
      </c>
      <c r="AV103" t="s">
        <v>262</v>
      </c>
      <c r="AW103">
        <v>5000</v>
      </c>
      <c r="AX103">
        <v>15712.4</v>
      </c>
      <c r="AY103">
        <v>18425.036</v>
      </c>
      <c r="AZ103">
        <v>19036</v>
      </c>
      <c r="BA103">
        <v>19840</v>
      </c>
      <c r="BB103">
        <v>20740</v>
      </c>
      <c r="BC103">
        <v>22473.462</v>
      </c>
      <c r="BD103">
        <v>23237.86</v>
      </c>
      <c r="BE103">
        <v>25000</v>
      </c>
      <c r="BF103">
        <v>27463.635999999999</v>
      </c>
      <c r="BG103">
        <v>30000</v>
      </c>
      <c r="BH103">
        <v>34610.514000000003</v>
      </c>
      <c r="BI103">
        <v>35046</v>
      </c>
      <c r="BJ103">
        <v>38582.447999999997</v>
      </c>
      <c r="BK103">
        <v>42006.79</v>
      </c>
      <c r="BL103">
        <v>50000</v>
      </c>
      <c r="BM103">
        <v>54336.774000000027</v>
      </c>
      <c r="BN103">
        <v>65042.055999999982</v>
      </c>
      <c r="BO103">
        <v>78281.780000000086</v>
      </c>
      <c r="BP103">
        <v>110403.728</v>
      </c>
      <c r="BQ103">
        <v>134983.79999999999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</row>
    <row r="104" spans="1:90" x14ac:dyDescent="0.35">
      <c r="A104">
        <v>360348</v>
      </c>
      <c r="B104" t="s">
        <v>257</v>
      </c>
      <c r="C104" t="s">
        <v>258</v>
      </c>
      <c r="D104" s="1">
        <v>45829</v>
      </c>
      <c r="E104">
        <v>53850</v>
      </c>
      <c r="F104">
        <v>175</v>
      </c>
      <c r="G104" t="s">
        <v>66</v>
      </c>
      <c r="H104" t="s">
        <v>48</v>
      </c>
      <c r="I104" t="s">
        <v>49</v>
      </c>
      <c r="K104">
        <v>202506208087904</v>
      </c>
      <c r="L104">
        <v>1753302203813</v>
      </c>
      <c r="M104">
        <v>20250620</v>
      </c>
      <c r="N104" t="s">
        <v>193</v>
      </c>
      <c r="P104" t="s">
        <v>275</v>
      </c>
      <c r="Q104" t="s">
        <v>50</v>
      </c>
      <c r="R104">
        <v>199951.22</v>
      </c>
      <c r="S104">
        <v>0</v>
      </c>
      <c r="T104">
        <v>4907691</v>
      </c>
      <c r="U104">
        <v>1146400773</v>
      </c>
      <c r="V104" t="s">
        <v>299</v>
      </c>
      <c r="W104" t="s">
        <v>57</v>
      </c>
      <c r="X104" t="s">
        <v>199</v>
      </c>
      <c r="Y104" t="s">
        <v>52</v>
      </c>
      <c r="Z104">
        <v>1926</v>
      </c>
      <c r="AH104">
        <v>0</v>
      </c>
      <c r="AI104">
        <v>202506</v>
      </c>
      <c r="AJ104" t="s">
        <v>179</v>
      </c>
      <c r="AK104">
        <v>1</v>
      </c>
      <c r="AL104">
        <v>1</v>
      </c>
      <c r="AO104">
        <v>0</v>
      </c>
      <c r="AP104">
        <v>999</v>
      </c>
      <c r="AQ104">
        <v>430</v>
      </c>
      <c r="AR104">
        <v>430999</v>
      </c>
      <c r="AT104">
        <v>1</v>
      </c>
      <c r="AU104" t="s">
        <v>58</v>
      </c>
      <c r="AV104" t="s">
        <v>262</v>
      </c>
      <c r="AW104">
        <v>5000</v>
      </c>
      <c r="AX104">
        <v>15712.4</v>
      </c>
      <c r="AY104">
        <v>18425.036</v>
      </c>
      <c r="AZ104">
        <v>19036</v>
      </c>
      <c r="BA104">
        <v>19840</v>
      </c>
      <c r="BB104">
        <v>20740</v>
      </c>
      <c r="BC104">
        <v>22473.462</v>
      </c>
      <c r="BD104">
        <v>23237.86</v>
      </c>
      <c r="BE104">
        <v>25000</v>
      </c>
      <c r="BF104">
        <v>27463.635999999999</v>
      </c>
      <c r="BG104">
        <v>30000</v>
      </c>
      <c r="BH104">
        <v>34610.514000000003</v>
      </c>
      <c r="BI104">
        <v>35046</v>
      </c>
      <c r="BJ104">
        <v>38582.447999999997</v>
      </c>
      <c r="BK104">
        <v>42006.79</v>
      </c>
      <c r="BL104">
        <v>50000</v>
      </c>
      <c r="BM104">
        <v>54336.774000000027</v>
      </c>
      <c r="BN104">
        <v>65042.055999999982</v>
      </c>
      <c r="BO104">
        <v>78281.780000000086</v>
      </c>
      <c r="BP104">
        <v>110403.728</v>
      </c>
      <c r="BQ104">
        <v>134983.79999999999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</row>
    <row r="105" spans="1:90" x14ac:dyDescent="0.35">
      <c r="A105">
        <v>360342</v>
      </c>
      <c r="B105" t="s">
        <v>257</v>
      </c>
      <c r="C105" t="s">
        <v>258</v>
      </c>
      <c r="D105" s="1">
        <v>45829</v>
      </c>
      <c r="E105">
        <v>53850</v>
      </c>
      <c r="F105">
        <v>192</v>
      </c>
      <c r="G105" t="s">
        <v>77</v>
      </c>
      <c r="H105" t="s">
        <v>48</v>
      </c>
      <c r="I105" t="s">
        <v>49</v>
      </c>
      <c r="K105">
        <v>202506208087735</v>
      </c>
      <c r="L105">
        <v>1923300183207</v>
      </c>
      <c r="M105">
        <v>20250620</v>
      </c>
      <c r="N105" t="s">
        <v>193</v>
      </c>
      <c r="P105" t="s">
        <v>259</v>
      </c>
      <c r="Q105" t="s">
        <v>59</v>
      </c>
      <c r="R105">
        <v>29000</v>
      </c>
      <c r="S105">
        <v>0</v>
      </c>
      <c r="T105">
        <v>461447</v>
      </c>
      <c r="U105" t="s">
        <v>385</v>
      </c>
      <c r="V105" t="s">
        <v>386</v>
      </c>
      <c r="W105" t="s">
        <v>67</v>
      </c>
      <c r="X105" t="s">
        <v>387</v>
      </c>
      <c r="Y105" t="s">
        <v>52</v>
      </c>
      <c r="Z105">
        <v>481</v>
      </c>
      <c r="AH105">
        <v>0</v>
      </c>
      <c r="AI105">
        <v>202506</v>
      </c>
      <c r="AJ105" t="s">
        <v>64</v>
      </c>
      <c r="AK105">
        <v>0</v>
      </c>
      <c r="AL105">
        <v>1</v>
      </c>
      <c r="AM105">
        <v>461447</v>
      </c>
      <c r="AN105">
        <v>1</v>
      </c>
      <c r="AO105">
        <v>0</v>
      </c>
      <c r="AP105">
        <v>999</v>
      </c>
      <c r="AQ105">
        <v>615</v>
      </c>
      <c r="AR105">
        <v>615999</v>
      </c>
      <c r="AT105">
        <v>1</v>
      </c>
      <c r="AU105" t="s">
        <v>62</v>
      </c>
      <c r="AV105" t="s">
        <v>262</v>
      </c>
      <c r="AW105">
        <v>5000</v>
      </c>
      <c r="AX105">
        <v>15712.4</v>
      </c>
      <c r="AY105">
        <v>18425.036</v>
      </c>
      <c r="AZ105">
        <v>19036</v>
      </c>
      <c r="BA105">
        <v>19840</v>
      </c>
      <c r="BB105">
        <v>20740</v>
      </c>
      <c r="BC105">
        <v>22473.462</v>
      </c>
      <c r="BD105">
        <v>23237.86</v>
      </c>
      <c r="BE105">
        <v>25000</v>
      </c>
      <c r="BF105">
        <v>27463.635999999999</v>
      </c>
      <c r="BG105">
        <v>30000</v>
      </c>
      <c r="BH105">
        <v>34610.514000000003</v>
      </c>
      <c r="BI105">
        <v>35046</v>
      </c>
      <c r="BJ105">
        <v>38582.447999999997</v>
      </c>
      <c r="BK105">
        <v>42006.79</v>
      </c>
      <c r="BL105">
        <v>50000</v>
      </c>
      <c r="BM105">
        <v>54336.774000000027</v>
      </c>
      <c r="BN105">
        <v>65042.055999999982</v>
      </c>
      <c r="BO105">
        <v>78281.780000000086</v>
      </c>
      <c r="BP105">
        <v>110403.728</v>
      </c>
      <c r="BQ105">
        <v>134983.79999999999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</row>
    <row r="106" spans="1:90" x14ac:dyDescent="0.35">
      <c r="A106">
        <v>360333</v>
      </c>
      <c r="B106" t="s">
        <v>257</v>
      </c>
      <c r="C106" t="s">
        <v>258</v>
      </c>
      <c r="D106" s="1">
        <v>45829</v>
      </c>
      <c r="E106">
        <v>53850</v>
      </c>
      <c r="F106">
        <v>185</v>
      </c>
      <c r="G106" t="s">
        <v>194</v>
      </c>
      <c r="H106" t="s">
        <v>48</v>
      </c>
      <c r="I106" t="s">
        <v>49</v>
      </c>
      <c r="K106">
        <v>202506208087905</v>
      </c>
      <c r="L106">
        <v>1853300029728</v>
      </c>
      <c r="M106">
        <v>20250620</v>
      </c>
      <c r="N106" t="s">
        <v>193</v>
      </c>
      <c r="P106" t="s">
        <v>195</v>
      </c>
      <c r="Q106" t="s">
        <v>50</v>
      </c>
      <c r="R106">
        <v>19870</v>
      </c>
      <c r="S106">
        <v>0</v>
      </c>
      <c r="T106">
        <v>4945889</v>
      </c>
      <c r="U106">
        <v>3234670739</v>
      </c>
      <c r="V106" t="s">
        <v>363</v>
      </c>
      <c r="W106" t="s">
        <v>57</v>
      </c>
      <c r="X106" t="s">
        <v>85</v>
      </c>
      <c r="Y106" t="s">
        <v>52</v>
      </c>
      <c r="Z106">
        <v>1351</v>
      </c>
      <c r="AH106">
        <v>0</v>
      </c>
      <c r="AI106">
        <v>202506</v>
      </c>
      <c r="AJ106" t="s">
        <v>179</v>
      </c>
      <c r="AK106">
        <v>1</v>
      </c>
      <c r="AL106">
        <v>1</v>
      </c>
      <c r="AO106">
        <v>0</v>
      </c>
      <c r="AP106">
        <v>464</v>
      </c>
      <c r="AQ106">
        <v>430</v>
      </c>
      <c r="AR106">
        <v>430464</v>
      </c>
      <c r="AS106" t="s">
        <v>86</v>
      </c>
      <c r="AU106" t="s">
        <v>86</v>
      </c>
      <c r="AV106" t="s">
        <v>262</v>
      </c>
      <c r="AW106">
        <v>5000</v>
      </c>
      <c r="AX106">
        <v>15712.4</v>
      </c>
      <c r="AY106">
        <v>18425.036</v>
      </c>
      <c r="AZ106">
        <v>19036</v>
      </c>
      <c r="BA106">
        <v>19840</v>
      </c>
      <c r="BB106">
        <v>20740</v>
      </c>
      <c r="BC106">
        <v>22473.462</v>
      </c>
      <c r="BD106">
        <v>23237.86</v>
      </c>
      <c r="BE106">
        <v>25000</v>
      </c>
      <c r="BF106">
        <v>27463.635999999999</v>
      </c>
      <c r="BG106">
        <v>30000</v>
      </c>
      <c r="BH106">
        <v>34610.514000000003</v>
      </c>
      <c r="BI106">
        <v>35046</v>
      </c>
      <c r="BJ106">
        <v>38582.447999999997</v>
      </c>
      <c r="BK106">
        <v>42006.79</v>
      </c>
      <c r="BL106">
        <v>50000</v>
      </c>
      <c r="BM106">
        <v>54336.774000000027</v>
      </c>
      <c r="BN106">
        <v>65042.055999999982</v>
      </c>
      <c r="BO106">
        <v>78281.780000000086</v>
      </c>
      <c r="BP106">
        <v>110403.728</v>
      </c>
      <c r="BQ106">
        <v>134983.79999999999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</row>
    <row r="107" spans="1:90" x14ac:dyDescent="0.35">
      <c r="A107">
        <v>360289</v>
      </c>
      <c r="B107" t="s">
        <v>257</v>
      </c>
      <c r="C107" t="s">
        <v>258</v>
      </c>
      <c r="D107" s="1">
        <v>45828</v>
      </c>
      <c r="E107">
        <v>53850</v>
      </c>
      <c r="F107">
        <v>110</v>
      </c>
      <c r="G107" t="s">
        <v>89</v>
      </c>
      <c r="H107" t="s">
        <v>48</v>
      </c>
      <c r="I107" t="s">
        <v>49</v>
      </c>
      <c r="K107">
        <v>202506198085268</v>
      </c>
      <c r="L107">
        <v>1103306288240</v>
      </c>
      <c r="M107">
        <v>20250619</v>
      </c>
      <c r="N107" t="s">
        <v>193</v>
      </c>
      <c r="P107" t="s">
        <v>287</v>
      </c>
      <c r="Q107" t="s">
        <v>59</v>
      </c>
      <c r="R107">
        <v>103567.01</v>
      </c>
      <c r="S107">
        <v>0</v>
      </c>
      <c r="T107">
        <v>4960705</v>
      </c>
      <c r="U107">
        <v>8520490726</v>
      </c>
      <c r="V107" t="s">
        <v>288</v>
      </c>
      <c r="W107" t="s">
        <v>57</v>
      </c>
      <c r="X107" t="s">
        <v>85</v>
      </c>
      <c r="Y107" t="s">
        <v>52</v>
      </c>
      <c r="Z107">
        <v>1696</v>
      </c>
      <c r="AH107">
        <v>0</v>
      </c>
      <c r="AI107">
        <v>202506</v>
      </c>
      <c r="AJ107" t="s">
        <v>179</v>
      </c>
      <c r="AK107">
        <v>1</v>
      </c>
      <c r="AL107">
        <v>1</v>
      </c>
      <c r="AO107">
        <v>0</v>
      </c>
      <c r="AP107">
        <v>464</v>
      </c>
      <c r="AQ107">
        <v>430</v>
      </c>
      <c r="AR107">
        <v>430464</v>
      </c>
      <c r="AS107" t="s">
        <v>86</v>
      </c>
      <c r="AU107" t="s">
        <v>86</v>
      </c>
      <c r="AV107" t="s">
        <v>281</v>
      </c>
      <c r="AW107">
        <v>35255.730000000003</v>
      </c>
      <c r="AX107">
        <v>40532.292000000001</v>
      </c>
      <c r="AY107">
        <v>44318.877999999997</v>
      </c>
      <c r="AZ107">
        <v>45125.512000000002</v>
      </c>
      <c r="BA107">
        <v>47063.91</v>
      </c>
      <c r="BB107">
        <v>49568.19</v>
      </c>
      <c r="BC107">
        <v>51155.741999999998</v>
      </c>
      <c r="BD107">
        <v>53646.266000000003</v>
      </c>
      <c r="BE107">
        <v>57942.733999999997</v>
      </c>
      <c r="BF107">
        <v>60683.345999999998</v>
      </c>
      <c r="BG107">
        <v>62646.03</v>
      </c>
      <c r="BH107">
        <v>136475.66400000011</v>
      </c>
      <c r="BI107">
        <v>186663.09400000001</v>
      </c>
      <c r="BJ107">
        <v>189566.11600000001</v>
      </c>
      <c r="BK107">
        <v>195938.15400000001</v>
      </c>
      <c r="BL107">
        <v>204044.7</v>
      </c>
      <c r="BM107">
        <v>227373.3000000001</v>
      </c>
      <c r="BN107">
        <v>252854.712</v>
      </c>
      <c r="BO107">
        <v>282641.74800000002</v>
      </c>
      <c r="BP107">
        <v>294996.82</v>
      </c>
      <c r="BQ107">
        <v>298635.90999999997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</row>
    <row r="108" spans="1:90" x14ac:dyDescent="0.35">
      <c r="A108">
        <v>360287</v>
      </c>
      <c r="B108" t="s">
        <v>257</v>
      </c>
      <c r="C108" t="s">
        <v>258</v>
      </c>
      <c r="D108" s="1">
        <v>45828</v>
      </c>
      <c r="E108">
        <v>53850</v>
      </c>
      <c r="F108">
        <v>137</v>
      </c>
      <c r="G108" t="s">
        <v>71</v>
      </c>
      <c r="H108" t="s">
        <v>48</v>
      </c>
      <c r="I108" t="s">
        <v>49</v>
      </c>
      <c r="K108">
        <v>202506198085272</v>
      </c>
      <c r="L108">
        <v>1371204172627</v>
      </c>
      <c r="M108">
        <v>20250619</v>
      </c>
      <c r="N108" t="s">
        <v>193</v>
      </c>
      <c r="P108" t="s">
        <v>279</v>
      </c>
      <c r="Q108" t="s">
        <v>50</v>
      </c>
      <c r="R108">
        <v>53581.85</v>
      </c>
      <c r="S108">
        <v>0</v>
      </c>
      <c r="T108">
        <v>4172627</v>
      </c>
      <c r="U108">
        <v>820790707</v>
      </c>
      <c r="V108" t="s">
        <v>364</v>
      </c>
      <c r="W108" t="s">
        <v>57</v>
      </c>
      <c r="X108" t="s">
        <v>85</v>
      </c>
      <c r="Y108" t="s">
        <v>52</v>
      </c>
      <c r="Z108">
        <v>1856</v>
      </c>
      <c r="AH108">
        <v>0</v>
      </c>
      <c r="AI108">
        <v>202506</v>
      </c>
      <c r="AJ108" t="s">
        <v>179</v>
      </c>
      <c r="AK108">
        <v>1</v>
      </c>
      <c r="AL108">
        <v>1</v>
      </c>
      <c r="AO108">
        <v>0</v>
      </c>
      <c r="AP108">
        <v>464</v>
      </c>
      <c r="AQ108">
        <v>430</v>
      </c>
      <c r="AR108">
        <v>430464</v>
      </c>
      <c r="AS108" t="s">
        <v>86</v>
      </c>
      <c r="AU108" t="s">
        <v>86</v>
      </c>
      <c r="AV108" t="s">
        <v>281</v>
      </c>
      <c r="AW108">
        <v>35255.730000000003</v>
      </c>
      <c r="AX108">
        <v>40532.292000000001</v>
      </c>
      <c r="AY108">
        <v>44318.877999999997</v>
      </c>
      <c r="AZ108">
        <v>45125.512000000002</v>
      </c>
      <c r="BA108">
        <v>47063.91</v>
      </c>
      <c r="BB108">
        <v>49568.19</v>
      </c>
      <c r="BC108">
        <v>51155.741999999998</v>
      </c>
      <c r="BD108">
        <v>53646.266000000003</v>
      </c>
      <c r="BE108">
        <v>57942.733999999997</v>
      </c>
      <c r="BF108">
        <v>60683.345999999998</v>
      </c>
      <c r="BG108">
        <v>62646.03</v>
      </c>
      <c r="BH108">
        <v>136475.66400000011</v>
      </c>
      <c r="BI108">
        <v>186663.09400000001</v>
      </c>
      <c r="BJ108">
        <v>189566.11600000001</v>
      </c>
      <c r="BK108">
        <v>195938.15400000001</v>
      </c>
      <c r="BL108">
        <v>204044.7</v>
      </c>
      <c r="BM108">
        <v>227373.3000000001</v>
      </c>
      <c r="BN108">
        <v>252854.712</v>
      </c>
      <c r="BO108">
        <v>282641.74800000002</v>
      </c>
      <c r="BP108">
        <v>294996.82</v>
      </c>
      <c r="BQ108">
        <v>298635.90999999997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</row>
    <row r="109" spans="1:90" x14ac:dyDescent="0.35">
      <c r="A109">
        <v>360284</v>
      </c>
      <c r="B109" t="s">
        <v>257</v>
      </c>
      <c r="C109" t="s">
        <v>258</v>
      </c>
      <c r="D109" s="1">
        <v>45828</v>
      </c>
      <c r="E109">
        <v>53850</v>
      </c>
      <c r="F109">
        <v>137</v>
      </c>
      <c r="G109" t="s">
        <v>71</v>
      </c>
      <c r="H109" t="s">
        <v>48</v>
      </c>
      <c r="I109" t="s">
        <v>49</v>
      </c>
      <c r="K109">
        <v>202506198085274</v>
      </c>
      <c r="L109">
        <v>1371204172627</v>
      </c>
      <c r="M109">
        <v>20250619</v>
      </c>
      <c r="N109" t="s">
        <v>193</v>
      </c>
      <c r="P109" t="s">
        <v>279</v>
      </c>
      <c r="Q109" t="s">
        <v>50</v>
      </c>
      <c r="R109">
        <v>90567.13</v>
      </c>
      <c r="S109">
        <v>0</v>
      </c>
      <c r="T109">
        <v>4172627</v>
      </c>
      <c r="U109">
        <v>820790707</v>
      </c>
      <c r="V109" t="s">
        <v>364</v>
      </c>
      <c r="W109" t="s">
        <v>57</v>
      </c>
      <c r="X109" t="s">
        <v>85</v>
      </c>
      <c r="Y109" t="s">
        <v>52</v>
      </c>
      <c r="Z109">
        <v>1856</v>
      </c>
      <c r="AH109">
        <v>0</v>
      </c>
      <c r="AI109">
        <v>202506</v>
      </c>
      <c r="AJ109" t="s">
        <v>179</v>
      </c>
      <c r="AK109">
        <v>1</v>
      </c>
      <c r="AL109">
        <v>1</v>
      </c>
      <c r="AO109">
        <v>0</v>
      </c>
      <c r="AP109">
        <v>464</v>
      </c>
      <c r="AQ109">
        <v>430</v>
      </c>
      <c r="AR109">
        <v>430464</v>
      </c>
      <c r="AS109" t="s">
        <v>86</v>
      </c>
      <c r="AU109" t="s">
        <v>86</v>
      </c>
      <c r="AV109" t="s">
        <v>281</v>
      </c>
      <c r="AW109">
        <v>35255.730000000003</v>
      </c>
      <c r="AX109">
        <v>40532.292000000001</v>
      </c>
      <c r="AY109">
        <v>44318.877999999997</v>
      </c>
      <c r="AZ109">
        <v>45125.512000000002</v>
      </c>
      <c r="BA109">
        <v>47063.91</v>
      </c>
      <c r="BB109">
        <v>49568.19</v>
      </c>
      <c r="BC109">
        <v>51155.741999999998</v>
      </c>
      <c r="BD109">
        <v>53646.266000000003</v>
      </c>
      <c r="BE109">
        <v>57942.733999999997</v>
      </c>
      <c r="BF109">
        <v>60683.345999999998</v>
      </c>
      <c r="BG109">
        <v>62646.03</v>
      </c>
      <c r="BH109">
        <v>136475.66400000011</v>
      </c>
      <c r="BI109">
        <v>186663.09400000001</v>
      </c>
      <c r="BJ109">
        <v>189566.11600000001</v>
      </c>
      <c r="BK109">
        <v>195938.15400000001</v>
      </c>
      <c r="BL109">
        <v>204044.7</v>
      </c>
      <c r="BM109">
        <v>227373.3000000001</v>
      </c>
      <c r="BN109">
        <v>252854.712</v>
      </c>
      <c r="BO109">
        <v>282641.74800000002</v>
      </c>
      <c r="BP109">
        <v>294996.82</v>
      </c>
      <c r="BQ109">
        <v>298635.90999999997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</row>
    <row r="110" spans="1:90" x14ac:dyDescent="0.35">
      <c r="A110">
        <v>360250</v>
      </c>
      <c r="B110" t="s">
        <v>257</v>
      </c>
      <c r="C110" t="s">
        <v>258</v>
      </c>
      <c r="D110" s="1">
        <v>45827</v>
      </c>
      <c r="E110">
        <v>53850</v>
      </c>
      <c r="F110">
        <v>109</v>
      </c>
      <c r="G110" t="s">
        <v>69</v>
      </c>
      <c r="H110" t="s">
        <v>48</v>
      </c>
      <c r="I110" t="s">
        <v>49</v>
      </c>
      <c r="K110">
        <v>202506188082032</v>
      </c>
      <c r="L110">
        <v>1093306667367</v>
      </c>
      <c r="M110">
        <v>20250618</v>
      </c>
      <c r="N110" t="s">
        <v>193</v>
      </c>
      <c r="P110" t="s">
        <v>275</v>
      </c>
      <c r="Q110" t="s">
        <v>59</v>
      </c>
      <c r="R110">
        <v>103298.9</v>
      </c>
      <c r="S110">
        <v>0</v>
      </c>
      <c r="T110">
        <v>4026861</v>
      </c>
      <c r="U110">
        <v>5195820724</v>
      </c>
      <c r="V110" t="s">
        <v>384</v>
      </c>
      <c r="W110" t="s">
        <v>57</v>
      </c>
      <c r="X110" t="s">
        <v>87</v>
      </c>
      <c r="Y110" t="s">
        <v>52</v>
      </c>
      <c r="Z110">
        <v>1696</v>
      </c>
      <c r="AH110">
        <v>0</v>
      </c>
      <c r="AI110">
        <v>202506</v>
      </c>
      <c r="AJ110" t="s">
        <v>64</v>
      </c>
      <c r="AK110">
        <v>0</v>
      </c>
      <c r="AL110">
        <v>1</v>
      </c>
      <c r="AM110">
        <v>4026861</v>
      </c>
      <c r="AN110">
        <v>1</v>
      </c>
      <c r="AO110">
        <v>0</v>
      </c>
      <c r="AP110">
        <v>477</v>
      </c>
      <c r="AQ110">
        <v>430</v>
      </c>
      <c r="AR110">
        <v>430477</v>
      </c>
      <c r="AS110" t="s">
        <v>62</v>
      </c>
      <c r="AU110" t="s">
        <v>62</v>
      </c>
      <c r="AV110" t="s">
        <v>262</v>
      </c>
      <c r="AW110">
        <v>5000</v>
      </c>
      <c r="AX110">
        <v>15712.4</v>
      </c>
      <c r="AY110">
        <v>18425.036</v>
      </c>
      <c r="AZ110">
        <v>19036</v>
      </c>
      <c r="BA110">
        <v>19840</v>
      </c>
      <c r="BB110">
        <v>20740</v>
      </c>
      <c r="BC110">
        <v>22473.462</v>
      </c>
      <c r="BD110">
        <v>23237.86</v>
      </c>
      <c r="BE110">
        <v>25000</v>
      </c>
      <c r="BF110">
        <v>27463.635999999999</v>
      </c>
      <c r="BG110">
        <v>30000</v>
      </c>
      <c r="BH110">
        <v>34610.514000000003</v>
      </c>
      <c r="BI110">
        <v>35046</v>
      </c>
      <c r="BJ110">
        <v>38582.447999999997</v>
      </c>
      <c r="BK110">
        <v>42006.79</v>
      </c>
      <c r="BL110">
        <v>50000</v>
      </c>
      <c r="BM110">
        <v>54336.774000000027</v>
      </c>
      <c r="BN110">
        <v>65042.055999999982</v>
      </c>
      <c r="BO110">
        <v>78281.780000000086</v>
      </c>
      <c r="BP110">
        <v>110403.728</v>
      </c>
      <c r="BQ110">
        <v>134983.79999999999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0</v>
      </c>
      <c r="CL110">
        <v>0</v>
      </c>
    </row>
    <row r="111" spans="1:90" x14ac:dyDescent="0.35">
      <c r="A111">
        <v>360247</v>
      </c>
      <c r="B111" t="s">
        <v>257</v>
      </c>
      <c r="C111" t="s">
        <v>258</v>
      </c>
      <c r="D111" s="1">
        <v>45827</v>
      </c>
      <c r="E111">
        <v>53850</v>
      </c>
      <c r="F111">
        <v>190</v>
      </c>
      <c r="G111" t="s">
        <v>196</v>
      </c>
      <c r="H111" t="s">
        <v>48</v>
      </c>
      <c r="I111" t="s">
        <v>49</v>
      </c>
      <c r="K111">
        <v>202506188082052</v>
      </c>
      <c r="L111">
        <v>1903300017388</v>
      </c>
      <c r="M111">
        <v>20250618</v>
      </c>
      <c r="N111" t="s">
        <v>193</v>
      </c>
      <c r="P111" t="s">
        <v>259</v>
      </c>
      <c r="Q111" t="s">
        <v>59</v>
      </c>
      <c r="R111">
        <v>23790</v>
      </c>
      <c r="S111">
        <v>0</v>
      </c>
      <c r="T111">
        <v>4884959</v>
      </c>
      <c r="U111">
        <v>6732580722</v>
      </c>
      <c r="V111" t="s">
        <v>356</v>
      </c>
      <c r="W111" t="s">
        <v>57</v>
      </c>
      <c r="X111" t="s">
        <v>78</v>
      </c>
      <c r="Y111" t="s">
        <v>52</v>
      </c>
      <c r="Z111">
        <v>1926</v>
      </c>
      <c r="AH111">
        <v>0</v>
      </c>
      <c r="AI111">
        <v>202506</v>
      </c>
      <c r="AJ111" t="s">
        <v>179</v>
      </c>
      <c r="AK111">
        <v>1</v>
      </c>
      <c r="AL111">
        <v>1</v>
      </c>
      <c r="AO111">
        <v>0</v>
      </c>
      <c r="AP111">
        <v>999</v>
      </c>
      <c r="AQ111">
        <v>430</v>
      </c>
      <c r="AR111">
        <v>430999</v>
      </c>
      <c r="AT111">
        <v>1</v>
      </c>
      <c r="AU111" t="s">
        <v>58</v>
      </c>
      <c r="AV111" t="s">
        <v>262</v>
      </c>
      <c r="AW111">
        <v>5000</v>
      </c>
      <c r="AX111">
        <v>15712.4</v>
      </c>
      <c r="AY111">
        <v>18425.036</v>
      </c>
      <c r="AZ111">
        <v>19036</v>
      </c>
      <c r="BA111">
        <v>19840</v>
      </c>
      <c r="BB111">
        <v>20740</v>
      </c>
      <c r="BC111">
        <v>22473.462</v>
      </c>
      <c r="BD111">
        <v>23237.86</v>
      </c>
      <c r="BE111">
        <v>25000</v>
      </c>
      <c r="BF111">
        <v>27463.635999999999</v>
      </c>
      <c r="BG111">
        <v>30000</v>
      </c>
      <c r="BH111">
        <v>34610.514000000003</v>
      </c>
      <c r="BI111">
        <v>35046</v>
      </c>
      <c r="BJ111">
        <v>38582.447999999997</v>
      </c>
      <c r="BK111">
        <v>42006.79</v>
      </c>
      <c r="BL111">
        <v>50000</v>
      </c>
      <c r="BM111">
        <v>54336.774000000027</v>
      </c>
      <c r="BN111">
        <v>65042.055999999982</v>
      </c>
      <c r="BO111">
        <v>78281.780000000086</v>
      </c>
      <c r="BP111">
        <v>110403.728</v>
      </c>
      <c r="BQ111">
        <v>134983.79999999999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</row>
    <row r="112" spans="1:90" x14ac:dyDescent="0.35">
      <c r="A112">
        <v>360241</v>
      </c>
      <c r="B112" t="s">
        <v>257</v>
      </c>
      <c r="C112" t="s">
        <v>258</v>
      </c>
      <c r="D112" s="1">
        <v>45827</v>
      </c>
      <c r="E112">
        <v>53850</v>
      </c>
      <c r="F112">
        <v>267</v>
      </c>
      <c r="G112" t="s">
        <v>181</v>
      </c>
      <c r="H112" t="s">
        <v>48</v>
      </c>
      <c r="I112" t="s">
        <v>49</v>
      </c>
      <c r="K112">
        <v>202506188082048</v>
      </c>
      <c r="L112">
        <v>2673300010274</v>
      </c>
      <c r="M112">
        <v>20250618</v>
      </c>
      <c r="N112" t="s">
        <v>193</v>
      </c>
      <c r="P112" t="s">
        <v>195</v>
      </c>
      <c r="Q112" t="s">
        <v>50</v>
      </c>
      <c r="R112">
        <v>36905.599999999999</v>
      </c>
      <c r="S112">
        <v>0</v>
      </c>
      <c r="T112">
        <v>4992646</v>
      </c>
      <c r="U112">
        <v>3152440792</v>
      </c>
      <c r="V112" t="s">
        <v>365</v>
      </c>
      <c r="W112" t="s">
        <v>57</v>
      </c>
      <c r="X112" t="s">
        <v>78</v>
      </c>
      <c r="Y112" t="s">
        <v>52</v>
      </c>
      <c r="Z112">
        <v>1627</v>
      </c>
      <c r="AH112">
        <v>0</v>
      </c>
      <c r="AI112">
        <v>202506</v>
      </c>
      <c r="AJ112" t="s">
        <v>179</v>
      </c>
      <c r="AK112">
        <v>1</v>
      </c>
      <c r="AL112">
        <v>1</v>
      </c>
      <c r="AO112">
        <v>0</v>
      </c>
      <c r="AP112">
        <v>999</v>
      </c>
      <c r="AQ112">
        <v>430</v>
      </c>
      <c r="AR112">
        <v>430999</v>
      </c>
      <c r="AT112">
        <v>1</v>
      </c>
      <c r="AU112" t="s">
        <v>58</v>
      </c>
      <c r="AV112" t="s">
        <v>262</v>
      </c>
      <c r="AW112">
        <v>5000</v>
      </c>
      <c r="AX112">
        <v>15712.4</v>
      </c>
      <c r="AY112">
        <v>18425.036</v>
      </c>
      <c r="AZ112">
        <v>19036</v>
      </c>
      <c r="BA112">
        <v>19840</v>
      </c>
      <c r="BB112">
        <v>20740</v>
      </c>
      <c r="BC112">
        <v>22473.462</v>
      </c>
      <c r="BD112">
        <v>23237.86</v>
      </c>
      <c r="BE112">
        <v>25000</v>
      </c>
      <c r="BF112">
        <v>27463.635999999999</v>
      </c>
      <c r="BG112">
        <v>30000</v>
      </c>
      <c r="BH112">
        <v>34610.514000000003</v>
      </c>
      <c r="BI112">
        <v>35046</v>
      </c>
      <c r="BJ112">
        <v>38582.447999999997</v>
      </c>
      <c r="BK112">
        <v>42006.79</v>
      </c>
      <c r="BL112">
        <v>50000</v>
      </c>
      <c r="BM112">
        <v>54336.774000000027</v>
      </c>
      <c r="BN112">
        <v>65042.055999999982</v>
      </c>
      <c r="BO112">
        <v>78281.780000000086</v>
      </c>
      <c r="BP112">
        <v>110403.728</v>
      </c>
      <c r="BQ112">
        <v>134983.79999999999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</row>
    <row r="113" spans="1:90" x14ac:dyDescent="0.35">
      <c r="A113">
        <v>360234</v>
      </c>
      <c r="B113" t="s">
        <v>257</v>
      </c>
      <c r="C113" t="s">
        <v>258</v>
      </c>
      <c r="D113" s="1">
        <v>45826</v>
      </c>
      <c r="E113">
        <v>53850</v>
      </c>
      <c r="F113">
        <v>121</v>
      </c>
      <c r="G113" t="s">
        <v>75</v>
      </c>
      <c r="H113" t="s">
        <v>48</v>
      </c>
      <c r="I113" t="s">
        <v>49</v>
      </c>
      <c r="K113">
        <v>202506178078774</v>
      </c>
      <c r="L113">
        <v>1213300002600</v>
      </c>
      <c r="M113">
        <v>20250617</v>
      </c>
      <c r="N113" t="s">
        <v>193</v>
      </c>
      <c r="P113" t="s">
        <v>353</v>
      </c>
      <c r="Q113" t="s">
        <v>59</v>
      </c>
      <c r="R113">
        <v>38000</v>
      </c>
      <c r="S113">
        <v>0</v>
      </c>
      <c r="T113">
        <v>4939345</v>
      </c>
      <c r="U113">
        <v>5754810728</v>
      </c>
      <c r="V113" t="s">
        <v>188</v>
      </c>
      <c r="W113" t="s">
        <v>57</v>
      </c>
      <c r="X113" t="s">
        <v>76</v>
      </c>
      <c r="Y113" t="s">
        <v>52</v>
      </c>
      <c r="Z113">
        <v>1058</v>
      </c>
      <c r="AH113">
        <v>0</v>
      </c>
      <c r="AI113">
        <v>202506</v>
      </c>
      <c r="AJ113" t="s">
        <v>180</v>
      </c>
      <c r="AK113">
        <v>1</v>
      </c>
      <c r="AL113">
        <v>1</v>
      </c>
      <c r="AO113">
        <v>0</v>
      </c>
      <c r="AP113">
        <v>463</v>
      </c>
      <c r="AQ113">
        <v>430</v>
      </c>
      <c r="AR113">
        <v>430463</v>
      </c>
      <c r="AS113" t="s">
        <v>62</v>
      </c>
      <c r="AU113" t="s">
        <v>62</v>
      </c>
      <c r="AV113" t="s">
        <v>262</v>
      </c>
      <c r="AW113">
        <v>5000</v>
      </c>
      <c r="AX113">
        <v>15712.4</v>
      </c>
      <c r="AY113">
        <v>18425.036</v>
      </c>
      <c r="AZ113">
        <v>19036</v>
      </c>
      <c r="BA113">
        <v>19840</v>
      </c>
      <c r="BB113">
        <v>20740</v>
      </c>
      <c r="BC113">
        <v>22473.462</v>
      </c>
      <c r="BD113">
        <v>23237.86</v>
      </c>
      <c r="BE113">
        <v>25000</v>
      </c>
      <c r="BF113">
        <v>27463.635999999999</v>
      </c>
      <c r="BG113">
        <v>30000</v>
      </c>
      <c r="BH113">
        <v>34610.514000000003</v>
      </c>
      <c r="BI113">
        <v>35046</v>
      </c>
      <c r="BJ113">
        <v>38582.447999999997</v>
      </c>
      <c r="BK113">
        <v>42006.79</v>
      </c>
      <c r="BL113">
        <v>50000</v>
      </c>
      <c r="BM113">
        <v>54336.774000000027</v>
      </c>
      <c r="BN113">
        <v>65042.055999999982</v>
      </c>
      <c r="BO113">
        <v>78281.780000000086</v>
      </c>
      <c r="BP113">
        <v>110403.728</v>
      </c>
      <c r="BQ113">
        <v>134983.79999999999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</row>
    <row r="114" spans="1:90" x14ac:dyDescent="0.35">
      <c r="A114">
        <v>360229</v>
      </c>
      <c r="B114" t="s">
        <v>257</v>
      </c>
      <c r="C114" t="s">
        <v>258</v>
      </c>
      <c r="D114" s="1">
        <v>45826</v>
      </c>
      <c r="E114">
        <v>53850</v>
      </c>
      <c r="F114">
        <v>121</v>
      </c>
      <c r="G114" t="s">
        <v>75</v>
      </c>
      <c r="H114" t="s">
        <v>48</v>
      </c>
      <c r="I114" t="s">
        <v>49</v>
      </c>
      <c r="K114">
        <v>202506178078767</v>
      </c>
      <c r="L114">
        <v>1213300002600</v>
      </c>
      <c r="M114">
        <v>20250617</v>
      </c>
      <c r="N114" t="s">
        <v>193</v>
      </c>
      <c r="P114" t="s">
        <v>353</v>
      </c>
      <c r="Q114" t="s">
        <v>59</v>
      </c>
      <c r="R114">
        <v>17367.63</v>
      </c>
      <c r="S114">
        <v>0</v>
      </c>
      <c r="T114">
        <v>4939345</v>
      </c>
      <c r="U114">
        <v>5754810728</v>
      </c>
      <c r="V114" t="s">
        <v>188</v>
      </c>
      <c r="W114" t="s">
        <v>57</v>
      </c>
      <c r="X114" t="s">
        <v>76</v>
      </c>
      <c r="Y114" t="s">
        <v>52</v>
      </c>
      <c r="Z114">
        <v>1058</v>
      </c>
      <c r="AH114">
        <v>0</v>
      </c>
      <c r="AI114">
        <v>202506</v>
      </c>
      <c r="AJ114" t="s">
        <v>180</v>
      </c>
      <c r="AK114">
        <v>1</v>
      </c>
      <c r="AL114">
        <v>1</v>
      </c>
      <c r="AO114">
        <v>0</v>
      </c>
      <c r="AP114">
        <v>463</v>
      </c>
      <c r="AQ114">
        <v>430</v>
      </c>
      <c r="AR114">
        <v>430463</v>
      </c>
      <c r="AS114" t="s">
        <v>62</v>
      </c>
      <c r="AU114" t="s">
        <v>62</v>
      </c>
      <c r="AV114" t="s">
        <v>262</v>
      </c>
      <c r="AW114">
        <v>5000</v>
      </c>
      <c r="AX114">
        <v>15712.4</v>
      </c>
      <c r="AY114">
        <v>18425.036</v>
      </c>
      <c r="AZ114">
        <v>19036</v>
      </c>
      <c r="BA114">
        <v>19840</v>
      </c>
      <c r="BB114">
        <v>20740</v>
      </c>
      <c r="BC114">
        <v>22473.462</v>
      </c>
      <c r="BD114">
        <v>23237.86</v>
      </c>
      <c r="BE114">
        <v>25000</v>
      </c>
      <c r="BF114">
        <v>27463.635999999999</v>
      </c>
      <c r="BG114">
        <v>30000</v>
      </c>
      <c r="BH114">
        <v>34610.514000000003</v>
      </c>
      <c r="BI114">
        <v>35046</v>
      </c>
      <c r="BJ114">
        <v>38582.447999999997</v>
      </c>
      <c r="BK114">
        <v>42006.79</v>
      </c>
      <c r="BL114">
        <v>50000</v>
      </c>
      <c r="BM114">
        <v>54336.774000000027</v>
      </c>
      <c r="BN114">
        <v>65042.055999999982</v>
      </c>
      <c r="BO114">
        <v>78281.780000000086</v>
      </c>
      <c r="BP114">
        <v>110403.728</v>
      </c>
      <c r="BQ114">
        <v>134983.79999999999</v>
      </c>
      <c r="BR114">
        <v>1</v>
      </c>
      <c r="BS114">
        <v>1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</row>
    <row r="115" spans="1:90" x14ac:dyDescent="0.35">
      <c r="A115">
        <v>360200</v>
      </c>
      <c r="B115" t="s">
        <v>257</v>
      </c>
      <c r="C115" t="s">
        <v>258</v>
      </c>
      <c r="D115" s="1">
        <v>45826</v>
      </c>
      <c r="E115">
        <v>53850</v>
      </c>
      <c r="F115">
        <v>102</v>
      </c>
      <c r="G115" t="s">
        <v>56</v>
      </c>
      <c r="H115" t="s">
        <v>48</v>
      </c>
      <c r="I115" t="s">
        <v>49</v>
      </c>
      <c r="K115">
        <v>202506168073975</v>
      </c>
      <c r="L115">
        <v>1023308723686</v>
      </c>
      <c r="M115">
        <v>20250616</v>
      </c>
      <c r="N115" t="s">
        <v>193</v>
      </c>
      <c r="P115" t="s">
        <v>259</v>
      </c>
      <c r="Q115" t="s">
        <v>59</v>
      </c>
      <c r="R115">
        <v>30000</v>
      </c>
      <c r="S115">
        <v>0</v>
      </c>
      <c r="T115">
        <v>531420</v>
      </c>
      <c r="U115" t="s">
        <v>325</v>
      </c>
      <c r="V115" t="s">
        <v>326</v>
      </c>
      <c r="W115" t="s">
        <v>67</v>
      </c>
      <c r="X115" t="s">
        <v>201</v>
      </c>
      <c r="Y115" t="s">
        <v>52</v>
      </c>
      <c r="Z115">
        <v>1306</v>
      </c>
      <c r="AH115">
        <v>0</v>
      </c>
      <c r="AI115">
        <v>202506</v>
      </c>
      <c r="AJ115" t="s">
        <v>64</v>
      </c>
      <c r="AK115">
        <v>0</v>
      </c>
      <c r="AL115">
        <v>1</v>
      </c>
      <c r="AM115">
        <v>531420</v>
      </c>
      <c r="AN115">
        <v>1</v>
      </c>
      <c r="AO115">
        <v>0</v>
      </c>
      <c r="AP115">
        <v>999</v>
      </c>
      <c r="AQ115">
        <v>615</v>
      </c>
      <c r="AR115">
        <v>615999</v>
      </c>
      <c r="AT115">
        <v>1</v>
      </c>
      <c r="AU115" t="s">
        <v>62</v>
      </c>
      <c r="AV115" t="s">
        <v>262</v>
      </c>
      <c r="AW115">
        <v>5000</v>
      </c>
      <c r="AX115">
        <v>15712.4</v>
      </c>
      <c r="AY115">
        <v>18425.036</v>
      </c>
      <c r="AZ115">
        <v>19036</v>
      </c>
      <c r="BA115">
        <v>19840</v>
      </c>
      <c r="BB115">
        <v>20740</v>
      </c>
      <c r="BC115">
        <v>22473.462</v>
      </c>
      <c r="BD115">
        <v>23237.86</v>
      </c>
      <c r="BE115">
        <v>25000</v>
      </c>
      <c r="BF115">
        <v>27463.635999999999</v>
      </c>
      <c r="BG115">
        <v>30000</v>
      </c>
      <c r="BH115">
        <v>34610.514000000003</v>
      </c>
      <c r="BI115">
        <v>35046</v>
      </c>
      <c r="BJ115">
        <v>38582.447999999997</v>
      </c>
      <c r="BK115">
        <v>42006.79</v>
      </c>
      <c r="BL115">
        <v>50000</v>
      </c>
      <c r="BM115">
        <v>54336.774000000027</v>
      </c>
      <c r="BN115">
        <v>65042.055999999982</v>
      </c>
      <c r="BO115">
        <v>78281.780000000086</v>
      </c>
      <c r="BP115">
        <v>110403.728</v>
      </c>
      <c r="BQ115">
        <v>134983.79999999999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</row>
    <row r="116" spans="1:90" x14ac:dyDescent="0.35">
      <c r="A116">
        <v>360163</v>
      </c>
      <c r="B116" t="s">
        <v>257</v>
      </c>
      <c r="C116" t="s">
        <v>258</v>
      </c>
      <c r="D116" s="1">
        <v>45826</v>
      </c>
      <c r="E116">
        <v>53850</v>
      </c>
      <c r="F116">
        <v>170</v>
      </c>
      <c r="G116" t="s">
        <v>90</v>
      </c>
      <c r="H116" t="s">
        <v>48</v>
      </c>
      <c r="I116" t="s">
        <v>49</v>
      </c>
      <c r="K116">
        <v>202506168074355</v>
      </c>
      <c r="L116">
        <v>1703306288195</v>
      </c>
      <c r="M116">
        <v>20250616</v>
      </c>
      <c r="N116" t="s">
        <v>193</v>
      </c>
      <c r="P116" t="s">
        <v>195</v>
      </c>
      <c r="Q116" t="s">
        <v>50</v>
      </c>
      <c r="R116">
        <v>116377.34</v>
      </c>
      <c r="S116">
        <v>0</v>
      </c>
      <c r="T116">
        <v>4401631</v>
      </c>
      <c r="U116">
        <v>4724350725</v>
      </c>
      <c r="V116" t="s">
        <v>192</v>
      </c>
      <c r="W116" t="s">
        <v>57</v>
      </c>
      <c r="X116" t="s">
        <v>97</v>
      </c>
      <c r="Y116" t="s">
        <v>52</v>
      </c>
      <c r="Z116">
        <v>1919</v>
      </c>
      <c r="AH116">
        <v>0</v>
      </c>
      <c r="AI116">
        <v>202506</v>
      </c>
      <c r="AJ116" t="s">
        <v>179</v>
      </c>
      <c r="AK116">
        <v>1</v>
      </c>
      <c r="AL116">
        <v>1</v>
      </c>
      <c r="AO116">
        <v>0</v>
      </c>
      <c r="AP116">
        <v>999</v>
      </c>
      <c r="AQ116">
        <v>430</v>
      </c>
      <c r="AR116">
        <v>430999</v>
      </c>
      <c r="AT116">
        <v>1</v>
      </c>
      <c r="AU116" t="s">
        <v>58</v>
      </c>
      <c r="AV116" t="s">
        <v>262</v>
      </c>
      <c r="AW116">
        <v>5000</v>
      </c>
      <c r="AX116">
        <v>15712.4</v>
      </c>
      <c r="AY116">
        <v>18425.036</v>
      </c>
      <c r="AZ116">
        <v>19036</v>
      </c>
      <c r="BA116">
        <v>19840</v>
      </c>
      <c r="BB116">
        <v>20740</v>
      </c>
      <c r="BC116">
        <v>22473.462</v>
      </c>
      <c r="BD116">
        <v>23237.86</v>
      </c>
      <c r="BE116">
        <v>25000</v>
      </c>
      <c r="BF116">
        <v>27463.635999999999</v>
      </c>
      <c r="BG116">
        <v>30000</v>
      </c>
      <c r="BH116">
        <v>34610.514000000003</v>
      </c>
      <c r="BI116">
        <v>35046</v>
      </c>
      <c r="BJ116">
        <v>38582.447999999997</v>
      </c>
      <c r="BK116">
        <v>42006.79</v>
      </c>
      <c r="BL116">
        <v>50000</v>
      </c>
      <c r="BM116">
        <v>54336.774000000027</v>
      </c>
      <c r="BN116">
        <v>65042.055999999982</v>
      </c>
      <c r="BO116">
        <v>78281.780000000086</v>
      </c>
      <c r="BP116">
        <v>110403.728</v>
      </c>
      <c r="BQ116">
        <v>134983.79999999999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0</v>
      </c>
    </row>
    <row r="117" spans="1:90" x14ac:dyDescent="0.35">
      <c r="A117">
        <v>348944</v>
      </c>
      <c r="B117" t="s">
        <v>257</v>
      </c>
      <c r="C117" t="s">
        <v>258</v>
      </c>
      <c r="D117" s="1">
        <v>45821</v>
      </c>
      <c r="E117">
        <v>53850</v>
      </c>
      <c r="F117">
        <v>109</v>
      </c>
      <c r="G117" t="s">
        <v>69</v>
      </c>
      <c r="H117" t="s">
        <v>48</v>
      </c>
      <c r="I117" t="s">
        <v>49</v>
      </c>
      <c r="K117">
        <v>202506128064054</v>
      </c>
      <c r="L117">
        <v>1093306675068</v>
      </c>
      <c r="M117">
        <v>20250612</v>
      </c>
      <c r="N117" t="s">
        <v>193</v>
      </c>
      <c r="P117" t="s">
        <v>279</v>
      </c>
      <c r="Q117" t="s">
        <v>50</v>
      </c>
      <c r="R117">
        <v>47802.5</v>
      </c>
      <c r="S117">
        <v>0</v>
      </c>
      <c r="T117">
        <v>4960923</v>
      </c>
      <c r="U117">
        <v>7910610729</v>
      </c>
      <c r="V117" t="s">
        <v>366</v>
      </c>
      <c r="W117" t="s">
        <v>57</v>
      </c>
      <c r="X117" t="s">
        <v>85</v>
      </c>
      <c r="Y117" t="s">
        <v>52</v>
      </c>
      <c r="Z117">
        <v>1107</v>
      </c>
      <c r="AH117">
        <v>0</v>
      </c>
      <c r="AI117">
        <v>202506</v>
      </c>
      <c r="AJ117" t="s">
        <v>180</v>
      </c>
      <c r="AK117">
        <v>1</v>
      </c>
      <c r="AL117">
        <v>1</v>
      </c>
      <c r="AO117">
        <v>0</v>
      </c>
      <c r="AP117">
        <v>464</v>
      </c>
      <c r="AQ117">
        <v>430</v>
      </c>
      <c r="AR117">
        <v>430464</v>
      </c>
      <c r="AS117" t="s">
        <v>86</v>
      </c>
      <c r="AU117" t="s">
        <v>86</v>
      </c>
      <c r="AV117" t="s">
        <v>281</v>
      </c>
      <c r="AW117">
        <v>35255.730000000003</v>
      </c>
      <c r="AX117">
        <v>40532.292000000001</v>
      </c>
      <c r="AY117">
        <v>44318.877999999997</v>
      </c>
      <c r="AZ117">
        <v>45125.512000000002</v>
      </c>
      <c r="BA117">
        <v>47063.91</v>
      </c>
      <c r="BB117">
        <v>49568.19</v>
      </c>
      <c r="BC117">
        <v>51155.741999999998</v>
      </c>
      <c r="BD117">
        <v>53646.266000000003</v>
      </c>
      <c r="BE117">
        <v>57942.733999999997</v>
      </c>
      <c r="BF117">
        <v>60683.345999999998</v>
      </c>
      <c r="BG117">
        <v>62646.03</v>
      </c>
      <c r="BH117">
        <v>136475.66400000011</v>
      </c>
      <c r="BI117">
        <v>186663.09400000001</v>
      </c>
      <c r="BJ117">
        <v>189566.11600000001</v>
      </c>
      <c r="BK117">
        <v>195938.15400000001</v>
      </c>
      <c r="BL117">
        <v>204044.7</v>
      </c>
      <c r="BM117">
        <v>227373.3000000001</v>
      </c>
      <c r="BN117">
        <v>252854.712</v>
      </c>
      <c r="BO117">
        <v>282641.74800000002</v>
      </c>
      <c r="BP117">
        <v>294996.82</v>
      </c>
      <c r="BQ117">
        <v>298635.90999999997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</row>
    <row r="118" spans="1:90" x14ac:dyDescent="0.35">
      <c r="A118">
        <v>348915</v>
      </c>
      <c r="B118" t="s">
        <v>257</v>
      </c>
      <c r="C118" t="s">
        <v>258</v>
      </c>
      <c r="D118" s="1">
        <v>45820</v>
      </c>
      <c r="E118">
        <v>53850</v>
      </c>
      <c r="F118">
        <v>268</v>
      </c>
      <c r="G118" t="s">
        <v>190</v>
      </c>
      <c r="H118" t="s">
        <v>48</v>
      </c>
      <c r="I118" t="s">
        <v>49</v>
      </c>
      <c r="K118">
        <v>202506118060521</v>
      </c>
      <c r="L118">
        <v>2683300005644</v>
      </c>
      <c r="M118">
        <v>20250611</v>
      </c>
      <c r="N118" t="s">
        <v>193</v>
      </c>
      <c r="P118" t="s">
        <v>259</v>
      </c>
      <c r="Q118" t="s">
        <v>59</v>
      </c>
      <c r="R118">
        <v>67000</v>
      </c>
      <c r="S118">
        <v>0</v>
      </c>
      <c r="T118">
        <v>1695582</v>
      </c>
      <c r="U118" t="s">
        <v>388</v>
      </c>
      <c r="V118" t="s">
        <v>389</v>
      </c>
      <c r="W118" t="s">
        <v>67</v>
      </c>
      <c r="X118" t="s">
        <v>387</v>
      </c>
      <c r="Y118" t="s">
        <v>52</v>
      </c>
      <c r="Z118">
        <v>1870</v>
      </c>
      <c r="AH118">
        <v>0</v>
      </c>
      <c r="AI118">
        <v>202506</v>
      </c>
      <c r="AJ118" t="s">
        <v>64</v>
      </c>
      <c r="AK118">
        <v>0</v>
      </c>
      <c r="AL118">
        <v>1</v>
      </c>
      <c r="AM118">
        <v>1695582</v>
      </c>
      <c r="AN118">
        <v>1</v>
      </c>
      <c r="AO118">
        <v>0</v>
      </c>
      <c r="AP118">
        <v>999</v>
      </c>
      <c r="AQ118">
        <v>615</v>
      </c>
      <c r="AR118">
        <v>615999</v>
      </c>
      <c r="AT118">
        <v>1</v>
      </c>
      <c r="AU118" t="s">
        <v>62</v>
      </c>
      <c r="AV118" t="s">
        <v>262</v>
      </c>
      <c r="AW118">
        <v>5000</v>
      </c>
      <c r="AX118">
        <v>15712.4</v>
      </c>
      <c r="AY118">
        <v>18425.036</v>
      </c>
      <c r="AZ118">
        <v>19036</v>
      </c>
      <c r="BA118">
        <v>19840</v>
      </c>
      <c r="BB118">
        <v>20740</v>
      </c>
      <c r="BC118">
        <v>22473.462</v>
      </c>
      <c r="BD118">
        <v>23237.86</v>
      </c>
      <c r="BE118">
        <v>25000</v>
      </c>
      <c r="BF118">
        <v>27463.635999999999</v>
      </c>
      <c r="BG118">
        <v>30000</v>
      </c>
      <c r="BH118">
        <v>34610.514000000003</v>
      </c>
      <c r="BI118">
        <v>35046</v>
      </c>
      <c r="BJ118">
        <v>38582.447999999997</v>
      </c>
      <c r="BK118">
        <v>42006.79</v>
      </c>
      <c r="BL118">
        <v>50000</v>
      </c>
      <c r="BM118">
        <v>54336.774000000027</v>
      </c>
      <c r="BN118">
        <v>65042.055999999982</v>
      </c>
      <c r="BO118">
        <v>78281.780000000086</v>
      </c>
      <c r="BP118">
        <v>110403.728</v>
      </c>
      <c r="BQ118">
        <v>134983.79999999999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0</v>
      </c>
      <c r="CK118">
        <v>0</v>
      </c>
      <c r="CL118">
        <v>0</v>
      </c>
    </row>
    <row r="119" spans="1:90" x14ac:dyDescent="0.35">
      <c r="A119">
        <v>348901</v>
      </c>
      <c r="B119" t="s">
        <v>257</v>
      </c>
      <c r="C119" t="s">
        <v>258</v>
      </c>
      <c r="D119" s="1">
        <v>45820</v>
      </c>
      <c r="E119">
        <v>53850</v>
      </c>
      <c r="F119">
        <v>102</v>
      </c>
      <c r="G119" t="s">
        <v>56</v>
      </c>
      <c r="H119" t="s">
        <v>48</v>
      </c>
      <c r="I119" t="s">
        <v>49</v>
      </c>
      <c r="K119">
        <v>202506118060760</v>
      </c>
      <c r="L119">
        <v>1023304893170</v>
      </c>
      <c r="M119">
        <v>20250611</v>
      </c>
      <c r="N119" t="s">
        <v>193</v>
      </c>
      <c r="P119" t="s">
        <v>195</v>
      </c>
      <c r="Q119" t="s">
        <v>50</v>
      </c>
      <c r="R119">
        <v>16645.89</v>
      </c>
      <c r="S119">
        <v>0</v>
      </c>
      <c r="T119">
        <v>489317</v>
      </c>
      <c r="U119">
        <v>4213260724</v>
      </c>
      <c r="V119" t="s">
        <v>357</v>
      </c>
      <c r="W119" t="s">
        <v>57</v>
      </c>
      <c r="X119" t="s">
        <v>85</v>
      </c>
      <c r="Y119" t="s">
        <v>52</v>
      </c>
      <c r="Z119">
        <v>1203</v>
      </c>
      <c r="AH119">
        <v>0</v>
      </c>
      <c r="AI119">
        <v>202506</v>
      </c>
      <c r="AJ119" t="s">
        <v>179</v>
      </c>
      <c r="AK119">
        <v>1</v>
      </c>
      <c r="AL119">
        <v>1</v>
      </c>
      <c r="AO119">
        <v>0</v>
      </c>
      <c r="AP119">
        <v>464</v>
      </c>
      <c r="AQ119">
        <v>430</v>
      </c>
      <c r="AR119">
        <v>430464</v>
      </c>
      <c r="AS119" t="s">
        <v>86</v>
      </c>
      <c r="AU119" t="s">
        <v>86</v>
      </c>
      <c r="AV119" t="s">
        <v>262</v>
      </c>
      <c r="AW119">
        <v>5000</v>
      </c>
      <c r="AX119">
        <v>15712.4</v>
      </c>
      <c r="AY119">
        <v>18425.036</v>
      </c>
      <c r="AZ119">
        <v>19036</v>
      </c>
      <c r="BA119">
        <v>19840</v>
      </c>
      <c r="BB119">
        <v>20740</v>
      </c>
      <c r="BC119">
        <v>22473.462</v>
      </c>
      <c r="BD119">
        <v>23237.86</v>
      </c>
      <c r="BE119">
        <v>25000</v>
      </c>
      <c r="BF119">
        <v>27463.635999999999</v>
      </c>
      <c r="BG119">
        <v>30000</v>
      </c>
      <c r="BH119">
        <v>34610.514000000003</v>
      </c>
      <c r="BI119">
        <v>35046</v>
      </c>
      <c r="BJ119">
        <v>38582.447999999997</v>
      </c>
      <c r="BK119">
        <v>42006.79</v>
      </c>
      <c r="BL119">
        <v>50000</v>
      </c>
      <c r="BM119">
        <v>54336.774000000027</v>
      </c>
      <c r="BN119">
        <v>65042.055999999982</v>
      </c>
      <c r="BO119">
        <v>78281.780000000086</v>
      </c>
      <c r="BP119">
        <v>110403.728</v>
      </c>
      <c r="BQ119">
        <v>134983.79999999999</v>
      </c>
      <c r="BR119">
        <v>1</v>
      </c>
      <c r="BS119">
        <v>1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</row>
    <row r="120" spans="1:90" x14ac:dyDescent="0.35">
      <c r="A120">
        <v>348824</v>
      </c>
      <c r="B120" t="s">
        <v>257</v>
      </c>
      <c r="C120" t="s">
        <v>258</v>
      </c>
      <c r="D120" s="1">
        <v>45818</v>
      </c>
      <c r="E120">
        <v>53850</v>
      </c>
      <c r="F120">
        <v>109</v>
      </c>
      <c r="G120" t="s">
        <v>69</v>
      </c>
      <c r="H120" t="s">
        <v>48</v>
      </c>
      <c r="I120" t="s">
        <v>49</v>
      </c>
      <c r="K120">
        <v>202506098053678</v>
      </c>
      <c r="L120">
        <v>1093306667367</v>
      </c>
      <c r="M120">
        <v>20250609</v>
      </c>
      <c r="N120" t="s">
        <v>193</v>
      </c>
      <c r="P120" t="s">
        <v>275</v>
      </c>
      <c r="Q120" t="s">
        <v>59</v>
      </c>
      <c r="R120">
        <v>15403.59</v>
      </c>
      <c r="S120">
        <v>0</v>
      </c>
      <c r="T120">
        <v>4026861</v>
      </c>
      <c r="U120">
        <v>5195820724</v>
      </c>
      <c r="V120" t="s">
        <v>384</v>
      </c>
      <c r="W120" t="s">
        <v>57</v>
      </c>
      <c r="X120" t="s">
        <v>87</v>
      </c>
      <c r="Y120" t="s">
        <v>52</v>
      </c>
      <c r="Z120">
        <v>1696</v>
      </c>
      <c r="AH120">
        <v>0</v>
      </c>
      <c r="AI120">
        <v>202506</v>
      </c>
      <c r="AJ120" t="s">
        <v>64</v>
      </c>
      <c r="AK120">
        <v>0</v>
      </c>
      <c r="AL120">
        <v>1</v>
      </c>
      <c r="AM120">
        <v>4026861</v>
      </c>
      <c r="AN120">
        <v>1</v>
      </c>
      <c r="AO120">
        <v>0</v>
      </c>
      <c r="AP120">
        <v>477</v>
      </c>
      <c r="AQ120">
        <v>430</v>
      </c>
      <c r="AR120">
        <v>430477</v>
      </c>
      <c r="AS120" t="s">
        <v>62</v>
      </c>
      <c r="AU120" t="s">
        <v>62</v>
      </c>
      <c r="AV120" t="s">
        <v>262</v>
      </c>
      <c r="AW120">
        <v>5000</v>
      </c>
      <c r="AX120">
        <v>15712.4</v>
      </c>
      <c r="AY120">
        <v>18425.036</v>
      </c>
      <c r="AZ120">
        <v>19036</v>
      </c>
      <c r="BA120">
        <v>19840</v>
      </c>
      <c r="BB120">
        <v>20740</v>
      </c>
      <c r="BC120">
        <v>22473.462</v>
      </c>
      <c r="BD120">
        <v>23237.86</v>
      </c>
      <c r="BE120">
        <v>25000</v>
      </c>
      <c r="BF120">
        <v>27463.635999999999</v>
      </c>
      <c r="BG120">
        <v>30000</v>
      </c>
      <c r="BH120">
        <v>34610.514000000003</v>
      </c>
      <c r="BI120">
        <v>35046</v>
      </c>
      <c r="BJ120">
        <v>38582.447999999997</v>
      </c>
      <c r="BK120">
        <v>42006.79</v>
      </c>
      <c r="BL120">
        <v>50000</v>
      </c>
      <c r="BM120">
        <v>54336.774000000027</v>
      </c>
      <c r="BN120">
        <v>65042.055999999982</v>
      </c>
      <c r="BO120">
        <v>78281.780000000086</v>
      </c>
      <c r="BP120">
        <v>110403.728</v>
      </c>
      <c r="BQ120">
        <v>134983.79999999999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</row>
    <row r="121" spans="1:90" x14ac:dyDescent="0.35">
      <c r="A121">
        <v>348786</v>
      </c>
      <c r="B121" t="s">
        <v>257</v>
      </c>
      <c r="C121" t="s">
        <v>258</v>
      </c>
      <c r="D121" s="1">
        <v>45818</v>
      </c>
      <c r="E121">
        <v>53850</v>
      </c>
      <c r="F121">
        <v>109</v>
      </c>
      <c r="G121" t="s">
        <v>69</v>
      </c>
      <c r="H121" t="s">
        <v>48</v>
      </c>
      <c r="I121" t="s">
        <v>49</v>
      </c>
      <c r="K121">
        <v>202506098053677</v>
      </c>
      <c r="L121">
        <v>1093306667367</v>
      </c>
      <c r="M121">
        <v>20250609</v>
      </c>
      <c r="N121" t="s">
        <v>193</v>
      </c>
      <c r="P121" t="s">
        <v>275</v>
      </c>
      <c r="Q121" t="s">
        <v>59</v>
      </c>
      <c r="R121">
        <v>16582.78</v>
      </c>
      <c r="S121">
        <v>0</v>
      </c>
      <c r="T121">
        <v>4026861</v>
      </c>
      <c r="U121">
        <v>5195820724</v>
      </c>
      <c r="V121" t="s">
        <v>384</v>
      </c>
      <c r="W121" t="s">
        <v>57</v>
      </c>
      <c r="X121" t="s">
        <v>87</v>
      </c>
      <c r="Y121" t="s">
        <v>52</v>
      </c>
      <c r="Z121">
        <v>1696</v>
      </c>
      <c r="AH121">
        <v>0</v>
      </c>
      <c r="AI121">
        <v>202506</v>
      </c>
      <c r="AJ121" t="s">
        <v>64</v>
      </c>
      <c r="AK121">
        <v>0</v>
      </c>
      <c r="AL121">
        <v>1</v>
      </c>
      <c r="AM121">
        <v>4026861</v>
      </c>
      <c r="AN121">
        <v>1</v>
      </c>
      <c r="AO121">
        <v>0</v>
      </c>
      <c r="AP121">
        <v>477</v>
      </c>
      <c r="AQ121">
        <v>430</v>
      </c>
      <c r="AR121">
        <v>430477</v>
      </c>
      <c r="AS121" t="s">
        <v>62</v>
      </c>
      <c r="AU121" t="s">
        <v>62</v>
      </c>
      <c r="AV121" t="s">
        <v>262</v>
      </c>
      <c r="AW121">
        <v>5000</v>
      </c>
      <c r="AX121">
        <v>15712.4</v>
      </c>
      <c r="AY121">
        <v>18425.036</v>
      </c>
      <c r="AZ121">
        <v>19036</v>
      </c>
      <c r="BA121">
        <v>19840</v>
      </c>
      <c r="BB121">
        <v>20740</v>
      </c>
      <c r="BC121">
        <v>22473.462</v>
      </c>
      <c r="BD121">
        <v>23237.86</v>
      </c>
      <c r="BE121">
        <v>25000</v>
      </c>
      <c r="BF121">
        <v>27463.635999999999</v>
      </c>
      <c r="BG121">
        <v>30000</v>
      </c>
      <c r="BH121">
        <v>34610.514000000003</v>
      </c>
      <c r="BI121">
        <v>35046</v>
      </c>
      <c r="BJ121">
        <v>38582.447999999997</v>
      </c>
      <c r="BK121">
        <v>42006.79</v>
      </c>
      <c r="BL121">
        <v>50000</v>
      </c>
      <c r="BM121">
        <v>54336.774000000027</v>
      </c>
      <c r="BN121">
        <v>65042.055999999982</v>
      </c>
      <c r="BO121">
        <v>78281.780000000086</v>
      </c>
      <c r="BP121">
        <v>110403.728</v>
      </c>
      <c r="BQ121">
        <v>134983.79999999999</v>
      </c>
      <c r="BR121">
        <v>1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</row>
    <row r="122" spans="1:90" x14ac:dyDescent="0.35">
      <c r="A122">
        <v>348751</v>
      </c>
      <c r="B122" t="s">
        <v>257</v>
      </c>
      <c r="C122" t="s">
        <v>258</v>
      </c>
      <c r="D122" s="1">
        <v>45815</v>
      </c>
      <c r="E122">
        <v>53850</v>
      </c>
      <c r="F122">
        <v>109</v>
      </c>
      <c r="G122" t="s">
        <v>69</v>
      </c>
      <c r="H122" t="s">
        <v>48</v>
      </c>
      <c r="I122" t="s">
        <v>49</v>
      </c>
      <c r="K122">
        <v>202506068047342</v>
      </c>
      <c r="L122">
        <v>1093306667367</v>
      </c>
      <c r="M122">
        <v>20250606</v>
      </c>
      <c r="N122" t="s">
        <v>193</v>
      </c>
      <c r="P122" t="s">
        <v>275</v>
      </c>
      <c r="Q122" t="s">
        <v>59</v>
      </c>
      <c r="R122">
        <v>21154.46</v>
      </c>
      <c r="S122">
        <v>0</v>
      </c>
      <c r="T122">
        <v>4026861</v>
      </c>
      <c r="U122">
        <v>5195820724</v>
      </c>
      <c r="V122" t="s">
        <v>384</v>
      </c>
      <c r="W122" t="s">
        <v>57</v>
      </c>
      <c r="X122" t="s">
        <v>87</v>
      </c>
      <c r="Y122" t="s">
        <v>52</v>
      </c>
      <c r="Z122">
        <v>1696</v>
      </c>
      <c r="AH122">
        <v>0</v>
      </c>
      <c r="AI122">
        <v>202506</v>
      </c>
      <c r="AJ122" t="s">
        <v>64</v>
      </c>
      <c r="AK122">
        <v>0</v>
      </c>
      <c r="AL122">
        <v>1</v>
      </c>
      <c r="AM122">
        <v>4026861</v>
      </c>
      <c r="AN122">
        <v>1</v>
      </c>
      <c r="AO122">
        <v>0</v>
      </c>
      <c r="AP122">
        <v>477</v>
      </c>
      <c r="AQ122">
        <v>430</v>
      </c>
      <c r="AR122">
        <v>430477</v>
      </c>
      <c r="AS122" t="s">
        <v>62</v>
      </c>
      <c r="AU122" t="s">
        <v>62</v>
      </c>
      <c r="AV122" t="s">
        <v>262</v>
      </c>
      <c r="AW122">
        <v>5000</v>
      </c>
      <c r="AX122">
        <v>15712.4</v>
      </c>
      <c r="AY122">
        <v>18425.036</v>
      </c>
      <c r="AZ122">
        <v>19036</v>
      </c>
      <c r="BA122">
        <v>19840</v>
      </c>
      <c r="BB122">
        <v>20740</v>
      </c>
      <c r="BC122">
        <v>22473.462</v>
      </c>
      <c r="BD122">
        <v>23237.86</v>
      </c>
      <c r="BE122">
        <v>25000</v>
      </c>
      <c r="BF122">
        <v>27463.635999999999</v>
      </c>
      <c r="BG122">
        <v>30000</v>
      </c>
      <c r="BH122">
        <v>34610.514000000003</v>
      </c>
      <c r="BI122">
        <v>35046</v>
      </c>
      <c r="BJ122">
        <v>38582.447999999997</v>
      </c>
      <c r="BK122">
        <v>42006.79</v>
      </c>
      <c r="BL122">
        <v>50000</v>
      </c>
      <c r="BM122">
        <v>54336.774000000027</v>
      </c>
      <c r="BN122">
        <v>65042.055999999982</v>
      </c>
      <c r="BO122">
        <v>78281.780000000086</v>
      </c>
      <c r="BP122">
        <v>110403.728</v>
      </c>
      <c r="BQ122">
        <v>134983.79999999999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</row>
    <row r="123" spans="1:90" x14ac:dyDescent="0.35">
      <c r="A123">
        <v>348741</v>
      </c>
      <c r="B123" t="s">
        <v>257</v>
      </c>
      <c r="C123" t="s">
        <v>258</v>
      </c>
      <c r="D123" s="1">
        <v>45815</v>
      </c>
      <c r="E123">
        <v>53850</v>
      </c>
      <c r="F123">
        <v>267</v>
      </c>
      <c r="G123" t="s">
        <v>181</v>
      </c>
      <c r="H123" t="s">
        <v>48</v>
      </c>
      <c r="I123" t="s">
        <v>49</v>
      </c>
      <c r="K123">
        <v>202506068047348</v>
      </c>
      <c r="L123">
        <v>2673300010274</v>
      </c>
      <c r="M123">
        <v>20250606</v>
      </c>
      <c r="N123" t="s">
        <v>193</v>
      </c>
      <c r="P123" t="s">
        <v>195</v>
      </c>
      <c r="Q123" t="s">
        <v>50</v>
      </c>
      <c r="R123">
        <v>36359.74</v>
      </c>
      <c r="S123">
        <v>0</v>
      </c>
      <c r="T123">
        <v>4992646</v>
      </c>
      <c r="U123">
        <v>3152440792</v>
      </c>
      <c r="V123" t="s">
        <v>365</v>
      </c>
      <c r="W123" t="s">
        <v>57</v>
      </c>
      <c r="X123" t="s">
        <v>78</v>
      </c>
      <c r="Y123" t="s">
        <v>52</v>
      </c>
      <c r="Z123">
        <v>1627</v>
      </c>
      <c r="AH123">
        <v>0</v>
      </c>
      <c r="AI123">
        <v>202506</v>
      </c>
      <c r="AJ123" t="s">
        <v>179</v>
      </c>
      <c r="AK123">
        <v>1</v>
      </c>
      <c r="AL123">
        <v>1</v>
      </c>
      <c r="AO123">
        <v>0</v>
      </c>
      <c r="AP123">
        <v>999</v>
      </c>
      <c r="AQ123">
        <v>430</v>
      </c>
      <c r="AR123">
        <v>430999</v>
      </c>
      <c r="AT123">
        <v>1</v>
      </c>
      <c r="AU123" t="s">
        <v>58</v>
      </c>
      <c r="AV123" t="s">
        <v>262</v>
      </c>
      <c r="AW123">
        <v>5000</v>
      </c>
      <c r="AX123">
        <v>15712.4</v>
      </c>
      <c r="AY123">
        <v>18425.036</v>
      </c>
      <c r="AZ123">
        <v>19036</v>
      </c>
      <c r="BA123">
        <v>19840</v>
      </c>
      <c r="BB123">
        <v>20740</v>
      </c>
      <c r="BC123">
        <v>22473.462</v>
      </c>
      <c r="BD123">
        <v>23237.86</v>
      </c>
      <c r="BE123">
        <v>25000</v>
      </c>
      <c r="BF123">
        <v>27463.635999999999</v>
      </c>
      <c r="BG123">
        <v>30000</v>
      </c>
      <c r="BH123">
        <v>34610.514000000003</v>
      </c>
      <c r="BI123">
        <v>35046</v>
      </c>
      <c r="BJ123">
        <v>38582.447999999997</v>
      </c>
      <c r="BK123">
        <v>42006.79</v>
      </c>
      <c r="BL123">
        <v>50000</v>
      </c>
      <c r="BM123">
        <v>54336.774000000027</v>
      </c>
      <c r="BN123">
        <v>65042.055999999982</v>
      </c>
      <c r="BO123">
        <v>78281.780000000086</v>
      </c>
      <c r="BP123">
        <v>110403.728</v>
      </c>
      <c r="BQ123">
        <v>134983.79999999999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</row>
    <row r="124" spans="1:90" x14ac:dyDescent="0.35">
      <c r="A124">
        <v>348731</v>
      </c>
      <c r="B124" t="s">
        <v>257</v>
      </c>
      <c r="C124" t="s">
        <v>258</v>
      </c>
      <c r="D124" s="1">
        <v>45815</v>
      </c>
      <c r="E124">
        <v>53850</v>
      </c>
      <c r="F124">
        <v>226</v>
      </c>
      <c r="G124" t="s">
        <v>185</v>
      </c>
      <c r="H124" t="s">
        <v>48</v>
      </c>
      <c r="I124" t="s">
        <v>49</v>
      </c>
      <c r="K124">
        <v>202506068047007</v>
      </c>
      <c r="L124">
        <v>1453300003928</v>
      </c>
      <c r="M124">
        <v>20250606</v>
      </c>
      <c r="N124" t="s">
        <v>193</v>
      </c>
      <c r="P124" t="s">
        <v>259</v>
      </c>
      <c r="Q124" t="s">
        <v>59</v>
      </c>
      <c r="R124">
        <v>30000</v>
      </c>
      <c r="S124">
        <v>0</v>
      </c>
      <c r="T124">
        <v>3726295</v>
      </c>
      <c r="U124">
        <v>10503411216</v>
      </c>
      <c r="V124" t="s">
        <v>301</v>
      </c>
      <c r="W124" t="s">
        <v>57</v>
      </c>
      <c r="X124" t="s">
        <v>302</v>
      </c>
      <c r="Y124" t="s">
        <v>52</v>
      </c>
      <c r="Z124">
        <v>1932</v>
      </c>
      <c r="AH124">
        <v>0</v>
      </c>
      <c r="AI124">
        <v>202506</v>
      </c>
      <c r="AJ124" t="s">
        <v>179</v>
      </c>
      <c r="AK124">
        <v>1</v>
      </c>
      <c r="AL124">
        <v>1</v>
      </c>
      <c r="AO124">
        <v>0</v>
      </c>
      <c r="AP124">
        <v>999</v>
      </c>
      <c r="AQ124">
        <v>430</v>
      </c>
      <c r="AR124">
        <v>430999</v>
      </c>
      <c r="AT124">
        <v>1</v>
      </c>
      <c r="AU124" t="s">
        <v>58</v>
      </c>
      <c r="AV124" t="s">
        <v>262</v>
      </c>
      <c r="AW124">
        <v>5000</v>
      </c>
      <c r="AX124">
        <v>15712.4</v>
      </c>
      <c r="AY124">
        <v>18425.036</v>
      </c>
      <c r="AZ124">
        <v>19036</v>
      </c>
      <c r="BA124">
        <v>19840</v>
      </c>
      <c r="BB124">
        <v>20740</v>
      </c>
      <c r="BC124">
        <v>22473.462</v>
      </c>
      <c r="BD124">
        <v>23237.86</v>
      </c>
      <c r="BE124">
        <v>25000</v>
      </c>
      <c r="BF124">
        <v>27463.635999999999</v>
      </c>
      <c r="BG124">
        <v>30000</v>
      </c>
      <c r="BH124">
        <v>34610.514000000003</v>
      </c>
      <c r="BI124">
        <v>35046</v>
      </c>
      <c r="BJ124">
        <v>38582.447999999997</v>
      </c>
      <c r="BK124">
        <v>42006.79</v>
      </c>
      <c r="BL124">
        <v>50000</v>
      </c>
      <c r="BM124">
        <v>54336.774000000027</v>
      </c>
      <c r="BN124">
        <v>65042.055999999982</v>
      </c>
      <c r="BO124">
        <v>78281.780000000086</v>
      </c>
      <c r="BP124">
        <v>110403.728</v>
      </c>
      <c r="BQ124">
        <v>134983.79999999999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</row>
    <row r="125" spans="1:90" x14ac:dyDescent="0.35">
      <c r="A125">
        <v>348691</v>
      </c>
      <c r="B125" t="s">
        <v>257</v>
      </c>
      <c r="C125" t="s">
        <v>258</v>
      </c>
      <c r="D125" s="1">
        <v>45814</v>
      </c>
      <c r="E125">
        <v>53850</v>
      </c>
      <c r="F125">
        <v>120</v>
      </c>
      <c r="G125" t="s">
        <v>202</v>
      </c>
      <c r="H125" t="s">
        <v>48</v>
      </c>
      <c r="I125" t="s">
        <v>49</v>
      </c>
      <c r="K125">
        <v>202506058043929</v>
      </c>
      <c r="L125">
        <v>1203300001729</v>
      </c>
      <c r="M125">
        <v>20250605</v>
      </c>
      <c r="N125" t="s">
        <v>193</v>
      </c>
      <c r="P125" t="s">
        <v>259</v>
      </c>
      <c r="Q125" t="s">
        <v>59</v>
      </c>
      <c r="R125">
        <v>40001.46</v>
      </c>
      <c r="S125">
        <v>0</v>
      </c>
      <c r="T125">
        <v>4535200</v>
      </c>
      <c r="U125" t="s">
        <v>367</v>
      </c>
      <c r="V125" t="s">
        <v>368</v>
      </c>
      <c r="W125" t="s">
        <v>51</v>
      </c>
      <c r="Y125" t="s">
        <v>52</v>
      </c>
      <c r="Z125">
        <v>716</v>
      </c>
      <c r="AH125">
        <v>0</v>
      </c>
      <c r="AI125">
        <v>202506</v>
      </c>
      <c r="AJ125" t="s">
        <v>179</v>
      </c>
      <c r="AK125">
        <v>1</v>
      </c>
      <c r="AL125">
        <v>1</v>
      </c>
      <c r="AO125">
        <v>0</v>
      </c>
      <c r="AP125">
        <v>999</v>
      </c>
      <c r="AQ125">
        <v>600</v>
      </c>
      <c r="AR125">
        <v>600999</v>
      </c>
      <c r="AS125" t="s">
        <v>53</v>
      </c>
      <c r="AU125" t="s">
        <v>53</v>
      </c>
      <c r="AV125" t="s">
        <v>262</v>
      </c>
      <c r="AW125">
        <v>5000</v>
      </c>
      <c r="AX125">
        <v>15712.4</v>
      </c>
      <c r="AY125">
        <v>18425.036</v>
      </c>
      <c r="AZ125">
        <v>19036</v>
      </c>
      <c r="BA125">
        <v>19840</v>
      </c>
      <c r="BB125">
        <v>20740</v>
      </c>
      <c r="BC125">
        <v>22473.462</v>
      </c>
      <c r="BD125">
        <v>23237.86</v>
      </c>
      <c r="BE125">
        <v>25000</v>
      </c>
      <c r="BF125">
        <v>27463.635999999999</v>
      </c>
      <c r="BG125">
        <v>30000</v>
      </c>
      <c r="BH125">
        <v>34610.514000000003</v>
      </c>
      <c r="BI125">
        <v>35046</v>
      </c>
      <c r="BJ125">
        <v>38582.447999999997</v>
      </c>
      <c r="BK125">
        <v>42006.79</v>
      </c>
      <c r="BL125">
        <v>50000</v>
      </c>
      <c r="BM125">
        <v>54336.774000000027</v>
      </c>
      <c r="BN125">
        <v>65042.055999999982</v>
      </c>
      <c r="BO125">
        <v>78281.780000000086</v>
      </c>
      <c r="BP125">
        <v>110403.728</v>
      </c>
      <c r="BQ125">
        <v>134983.79999999999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</row>
    <row r="126" spans="1:90" x14ac:dyDescent="0.35">
      <c r="A126">
        <v>348683</v>
      </c>
      <c r="B126" t="s">
        <v>257</v>
      </c>
      <c r="C126" t="s">
        <v>258</v>
      </c>
      <c r="D126" s="1">
        <v>45814</v>
      </c>
      <c r="E126">
        <v>53850</v>
      </c>
      <c r="F126">
        <v>131</v>
      </c>
      <c r="G126" t="s">
        <v>184</v>
      </c>
      <c r="H126" t="s">
        <v>48</v>
      </c>
      <c r="I126" t="s">
        <v>49</v>
      </c>
      <c r="K126">
        <v>202506058044261</v>
      </c>
      <c r="L126">
        <v>1313300001588</v>
      </c>
      <c r="M126">
        <v>20250605</v>
      </c>
      <c r="N126" t="s">
        <v>193</v>
      </c>
      <c r="P126" t="s">
        <v>351</v>
      </c>
      <c r="Q126" t="s">
        <v>59</v>
      </c>
      <c r="R126">
        <v>134983.79999999999</v>
      </c>
      <c r="S126">
        <v>0</v>
      </c>
      <c r="T126">
        <v>4121868</v>
      </c>
      <c r="U126">
        <v>5913290630</v>
      </c>
      <c r="V126" t="s">
        <v>352</v>
      </c>
      <c r="W126" t="s">
        <v>57</v>
      </c>
      <c r="X126" t="s">
        <v>345</v>
      </c>
      <c r="Y126" t="s">
        <v>52</v>
      </c>
      <c r="Z126">
        <v>739</v>
      </c>
      <c r="AH126">
        <v>0</v>
      </c>
      <c r="AI126">
        <v>202506</v>
      </c>
      <c r="AJ126" t="s">
        <v>64</v>
      </c>
      <c r="AK126">
        <v>0</v>
      </c>
      <c r="AL126">
        <v>1</v>
      </c>
      <c r="AO126">
        <v>0</v>
      </c>
      <c r="AP126">
        <v>999</v>
      </c>
      <c r="AQ126">
        <v>430</v>
      </c>
      <c r="AR126">
        <v>430999</v>
      </c>
      <c r="AT126">
        <v>1</v>
      </c>
      <c r="AU126" t="s">
        <v>58</v>
      </c>
      <c r="AV126" t="s">
        <v>262</v>
      </c>
      <c r="AW126">
        <v>5000</v>
      </c>
      <c r="AX126">
        <v>15712.4</v>
      </c>
      <c r="AY126">
        <v>18425.036</v>
      </c>
      <c r="AZ126">
        <v>19036</v>
      </c>
      <c r="BA126">
        <v>19840</v>
      </c>
      <c r="BB126">
        <v>20740</v>
      </c>
      <c r="BC126">
        <v>22473.462</v>
      </c>
      <c r="BD126">
        <v>23237.86</v>
      </c>
      <c r="BE126">
        <v>25000</v>
      </c>
      <c r="BF126">
        <v>27463.635999999999</v>
      </c>
      <c r="BG126">
        <v>30000</v>
      </c>
      <c r="BH126">
        <v>34610.514000000003</v>
      </c>
      <c r="BI126">
        <v>35046</v>
      </c>
      <c r="BJ126">
        <v>38582.447999999997</v>
      </c>
      <c r="BK126">
        <v>42006.79</v>
      </c>
      <c r="BL126">
        <v>50000</v>
      </c>
      <c r="BM126">
        <v>54336.774000000027</v>
      </c>
      <c r="BN126">
        <v>65042.055999999982</v>
      </c>
      <c r="BO126">
        <v>78281.780000000086</v>
      </c>
      <c r="BP126">
        <v>110403.728</v>
      </c>
      <c r="BQ126">
        <v>134983.79999999999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</row>
    <row r="127" spans="1:90" x14ac:dyDescent="0.35">
      <c r="A127">
        <v>348681</v>
      </c>
      <c r="B127" t="s">
        <v>257</v>
      </c>
      <c r="C127" t="s">
        <v>258</v>
      </c>
      <c r="D127" s="1">
        <v>45814</v>
      </c>
      <c r="E127">
        <v>53850</v>
      </c>
      <c r="F127">
        <v>121</v>
      </c>
      <c r="G127" t="s">
        <v>75</v>
      </c>
      <c r="H127" t="s">
        <v>48</v>
      </c>
      <c r="I127" t="s">
        <v>49</v>
      </c>
      <c r="K127">
        <v>202506058043926</v>
      </c>
      <c r="L127">
        <v>1213300003010</v>
      </c>
      <c r="M127">
        <v>20250605</v>
      </c>
      <c r="N127" t="s">
        <v>193</v>
      </c>
      <c r="P127" t="s">
        <v>259</v>
      </c>
      <c r="Q127" t="s">
        <v>59</v>
      </c>
      <c r="R127">
        <v>27000</v>
      </c>
      <c r="S127">
        <v>0</v>
      </c>
      <c r="T127">
        <v>4974937</v>
      </c>
      <c r="U127" t="s">
        <v>369</v>
      </c>
      <c r="V127" t="s">
        <v>370</v>
      </c>
      <c r="W127" t="s">
        <v>51</v>
      </c>
      <c r="Y127" t="s">
        <v>52</v>
      </c>
      <c r="AH127">
        <v>0</v>
      </c>
      <c r="AI127">
        <v>202506</v>
      </c>
      <c r="AJ127" t="s">
        <v>179</v>
      </c>
      <c r="AK127">
        <v>1</v>
      </c>
      <c r="AL127">
        <v>1</v>
      </c>
      <c r="AO127">
        <v>0</v>
      </c>
      <c r="AP127">
        <v>999</v>
      </c>
      <c r="AQ127">
        <v>600</v>
      </c>
      <c r="AR127">
        <v>600999</v>
      </c>
      <c r="AS127" t="s">
        <v>53</v>
      </c>
      <c r="AU127" t="s">
        <v>53</v>
      </c>
      <c r="AV127" t="s">
        <v>262</v>
      </c>
      <c r="AW127">
        <v>5000</v>
      </c>
      <c r="AX127">
        <v>15712.4</v>
      </c>
      <c r="AY127">
        <v>18425.036</v>
      </c>
      <c r="AZ127">
        <v>19036</v>
      </c>
      <c r="BA127">
        <v>19840</v>
      </c>
      <c r="BB127">
        <v>20740</v>
      </c>
      <c r="BC127">
        <v>22473.462</v>
      </c>
      <c r="BD127">
        <v>23237.86</v>
      </c>
      <c r="BE127">
        <v>25000</v>
      </c>
      <c r="BF127">
        <v>27463.635999999999</v>
      </c>
      <c r="BG127">
        <v>30000</v>
      </c>
      <c r="BH127">
        <v>34610.514000000003</v>
      </c>
      <c r="BI127">
        <v>35046</v>
      </c>
      <c r="BJ127">
        <v>38582.447999999997</v>
      </c>
      <c r="BK127">
        <v>42006.79</v>
      </c>
      <c r="BL127">
        <v>50000</v>
      </c>
      <c r="BM127">
        <v>54336.774000000027</v>
      </c>
      <c r="BN127">
        <v>65042.055999999982</v>
      </c>
      <c r="BO127">
        <v>78281.780000000086</v>
      </c>
      <c r="BP127">
        <v>110403.728</v>
      </c>
      <c r="BQ127">
        <v>134983.79999999999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</row>
    <row r="128" spans="1:90" x14ac:dyDescent="0.35">
      <c r="A128">
        <v>348680</v>
      </c>
      <c r="B128" t="s">
        <v>257</v>
      </c>
      <c r="C128" t="s">
        <v>258</v>
      </c>
      <c r="D128" s="1">
        <v>45814</v>
      </c>
      <c r="E128">
        <v>53850</v>
      </c>
      <c r="F128">
        <v>170</v>
      </c>
      <c r="G128" t="s">
        <v>90</v>
      </c>
      <c r="H128" t="s">
        <v>48</v>
      </c>
      <c r="I128" t="s">
        <v>49</v>
      </c>
      <c r="K128">
        <v>202506058044251</v>
      </c>
      <c r="L128">
        <v>1703306288195</v>
      </c>
      <c r="M128">
        <v>20250605</v>
      </c>
      <c r="N128" t="s">
        <v>193</v>
      </c>
      <c r="P128" t="s">
        <v>195</v>
      </c>
      <c r="Q128" t="s">
        <v>50</v>
      </c>
      <c r="R128">
        <v>42912.62</v>
      </c>
      <c r="S128">
        <v>0</v>
      </c>
      <c r="T128">
        <v>4401631</v>
      </c>
      <c r="U128">
        <v>4724350725</v>
      </c>
      <c r="V128" t="s">
        <v>192</v>
      </c>
      <c r="W128" t="s">
        <v>57</v>
      </c>
      <c r="X128" t="s">
        <v>97</v>
      </c>
      <c r="Y128" t="s">
        <v>52</v>
      </c>
      <c r="Z128">
        <v>1919</v>
      </c>
      <c r="AH128">
        <v>0</v>
      </c>
      <c r="AI128">
        <v>202506</v>
      </c>
      <c r="AJ128" t="s">
        <v>179</v>
      </c>
      <c r="AK128">
        <v>1</v>
      </c>
      <c r="AL128">
        <v>1</v>
      </c>
      <c r="AO128">
        <v>0</v>
      </c>
      <c r="AP128">
        <v>999</v>
      </c>
      <c r="AQ128">
        <v>430</v>
      </c>
      <c r="AR128">
        <v>430999</v>
      </c>
      <c r="AT128">
        <v>1</v>
      </c>
      <c r="AU128" t="s">
        <v>58</v>
      </c>
      <c r="AV128" t="s">
        <v>262</v>
      </c>
      <c r="AW128">
        <v>5000</v>
      </c>
      <c r="AX128">
        <v>15712.4</v>
      </c>
      <c r="AY128">
        <v>18425.036</v>
      </c>
      <c r="AZ128">
        <v>19036</v>
      </c>
      <c r="BA128">
        <v>19840</v>
      </c>
      <c r="BB128">
        <v>20740</v>
      </c>
      <c r="BC128">
        <v>22473.462</v>
      </c>
      <c r="BD128">
        <v>23237.86</v>
      </c>
      <c r="BE128">
        <v>25000</v>
      </c>
      <c r="BF128">
        <v>27463.635999999999</v>
      </c>
      <c r="BG128">
        <v>30000</v>
      </c>
      <c r="BH128">
        <v>34610.514000000003</v>
      </c>
      <c r="BI128">
        <v>35046</v>
      </c>
      <c r="BJ128">
        <v>38582.447999999997</v>
      </c>
      <c r="BK128">
        <v>42006.79</v>
      </c>
      <c r="BL128">
        <v>50000</v>
      </c>
      <c r="BM128">
        <v>54336.774000000027</v>
      </c>
      <c r="BN128">
        <v>65042.055999999982</v>
      </c>
      <c r="BO128">
        <v>78281.780000000086</v>
      </c>
      <c r="BP128">
        <v>110403.728</v>
      </c>
      <c r="BQ128">
        <v>134983.79999999999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</row>
    <row r="129" spans="1:90" x14ac:dyDescent="0.35">
      <c r="A129">
        <v>348679</v>
      </c>
      <c r="B129" t="s">
        <v>257</v>
      </c>
      <c r="C129" t="s">
        <v>258</v>
      </c>
      <c r="D129" s="1">
        <v>45814</v>
      </c>
      <c r="E129">
        <v>53850</v>
      </c>
      <c r="F129">
        <v>121</v>
      </c>
      <c r="G129" t="s">
        <v>75</v>
      </c>
      <c r="H129" t="s">
        <v>48</v>
      </c>
      <c r="I129" t="s">
        <v>49</v>
      </c>
      <c r="K129">
        <v>202506058043926</v>
      </c>
      <c r="L129">
        <v>1213300003010</v>
      </c>
      <c r="M129">
        <v>20250605</v>
      </c>
      <c r="N129" t="s">
        <v>193</v>
      </c>
      <c r="P129" t="s">
        <v>259</v>
      </c>
      <c r="Q129" t="s">
        <v>59</v>
      </c>
      <c r="R129">
        <v>27000</v>
      </c>
      <c r="S129">
        <v>0</v>
      </c>
      <c r="T129">
        <v>4433949</v>
      </c>
      <c r="U129" t="s">
        <v>371</v>
      </c>
      <c r="V129" t="s">
        <v>372</v>
      </c>
      <c r="W129" t="s">
        <v>51</v>
      </c>
      <c r="Y129" t="s">
        <v>52</v>
      </c>
      <c r="Z129">
        <v>928</v>
      </c>
      <c r="AH129">
        <v>0</v>
      </c>
      <c r="AI129">
        <v>202506</v>
      </c>
      <c r="AJ129" t="s">
        <v>179</v>
      </c>
      <c r="AK129">
        <v>1</v>
      </c>
      <c r="AL129">
        <v>1</v>
      </c>
      <c r="AO129">
        <v>0</v>
      </c>
      <c r="AP129">
        <v>999</v>
      </c>
      <c r="AQ129">
        <v>600</v>
      </c>
      <c r="AR129">
        <v>600999</v>
      </c>
      <c r="AS129" t="s">
        <v>53</v>
      </c>
      <c r="AU129" t="s">
        <v>53</v>
      </c>
      <c r="AV129" t="s">
        <v>262</v>
      </c>
      <c r="AW129">
        <v>5000</v>
      </c>
      <c r="AX129">
        <v>15712.4</v>
      </c>
      <c r="AY129">
        <v>18425.036</v>
      </c>
      <c r="AZ129">
        <v>19036</v>
      </c>
      <c r="BA129">
        <v>19840</v>
      </c>
      <c r="BB129">
        <v>20740</v>
      </c>
      <c r="BC129">
        <v>22473.462</v>
      </c>
      <c r="BD129">
        <v>23237.86</v>
      </c>
      <c r="BE129">
        <v>25000</v>
      </c>
      <c r="BF129">
        <v>27463.635999999999</v>
      </c>
      <c r="BG129">
        <v>30000</v>
      </c>
      <c r="BH129">
        <v>34610.514000000003</v>
      </c>
      <c r="BI129">
        <v>35046</v>
      </c>
      <c r="BJ129">
        <v>38582.447999999997</v>
      </c>
      <c r="BK129">
        <v>42006.79</v>
      </c>
      <c r="BL129">
        <v>50000</v>
      </c>
      <c r="BM129">
        <v>54336.774000000027</v>
      </c>
      <c r="BN129">
        <v>65042.055999999982</v>
      </c>
      <c r="BO129">
        <v>78281.780000000086</v>
      </c>
      <c r="BP129">
        <v>110403.728</v>
      </c>
      <c r="BQ129">
        <v>134983.79999999999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</row>
    <row r="130" spans="1:90" x14ac:dyDescent="0.35">
      <c r="A130">
        <v>348648</v>
      </c>
      <c r="B130" t="s">
        <v>257</v>
      </c>
      <c r="C130" t="s">
        <v>258</v>
      </c>
      <c r="D130" s="1">
        <v>45813</v>
      </c>
      <c r="E130">
        <v>53850</v>
      </c>
      <c r="F130">
        <v>148</v>
      </c>
      <c r="G130" t="s">
        <v>101</v>
      </c>
      <c r="H130" t="s">
        <v>48</v>
      </c>
      <c r="I130" t="s">
        <v>49</v>
      </c>
      <c r="K130">
        <v>202506048038686</v>
      </c>
      <c r="L130">
        <v>1483303001176</v>
      </c>
      <c r="M130">
        <v>20250604</v>
      </c>
      <c r="N130" t="s">
        <v>193</v>
      </c>
      <c r="P130" t="s">
        <v>259</v>
      </c>
      <c r="Q130" t="s">
        <v>50</v>
      </c>
      <c r="R130">
        <v>25000</v>
      </c>
      <c r="S130">
        <v>0</v>
      </c>
      <c r="T130">
        <v>2012964</v>
      </c>
      <c r="U130" t="s">
        <v>331</v>
      </c>
      <c r="V130" t="s">
        <v>332</v>
      </c>
      <c r="W130" t="s">
        <v>51</v>
      </c>
      <c r="Y130" t="s">
        <v>52</v>
      </c>
      <c r="Z130">
        <v>1636</v>
      </c>
      <c r="AH130">
        <v>0</v>
      </c>
      <c r="AI130">
        <v>202506</v>
      </c>
      <c r="AJ130" t="s">
        <v>179</v>
      </c>
      <c r="AK130">
        <v>1</v>
      </c>
      <c r="AL130">
        <v>1</v>
      </c>
      <c r="AO130">
        <v>0</v>
      </c>
      <c r="AP130">
        <v>999</v>
      </c>
      <c r="AQ130">
        <v>600</v>
      </c>
      <c r="AR130">
        <v>600999</v>
      </c>
      <c r="AS130" t="s">
        <v>53</v>
      </c>
      <c r="AU130" t="s">
        <v>53</v>
      </c>
      <c r="AV130" t="s">
        <v>262</v>
      </c>
      <c r="AW130">
        <v>5000</v>
      </c>
      <c r="AX130">
        <v>15712.4</v>
      </c>
      <c r="AY130">
        <v>18425.036</v>
      </c>
      <c r="AZ130">
        <v>19036</v>
      </c>
      <c r="BA130">
        <v>19840</v>
      </c>
      <c r="BB130">
        <v>20740</v>
      </c>
      <c r="BC130">
        <v>22473.462</v>
      </c>
      <c r="BD130">
        <v>23237.86</v>
      </c>
      <c r="BE130">
        <v>25000</v>
      </c>
      <c r="BF130">
        <v>27463.635999999999</v>
      </c>
      <c r="BG130">
        <v>30000</v>
      </c>
      <c r="BH130">
        <v>34610.514000000003</v>
      </c>
      <c r="BI130">
        <v>35046</v>
      </c>
      <c r="BJ130">
        <v>38582.447999999997</v>
      </c>
      <c r="BK130">
        <v>42006.79</v>
      </c>
      <c r="BL130">
        <v>50000</v>
      </c>
      <c r="BM130">
        <v>54336.774000000027</v>
      </c>
      <c r="BN130">
        <v>65042.055999999982</v>
      </c>
      <c r="BO130">
        <v>78281.780000000086</v>
      </c>
      <c r="BP130">
        <v>110403.728</v>
      </c>
      <c r="BQ130">
        <v>134983.79999999999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</row>
    <row r="131" spans="1:90" x14ac:dyDescent="0.35">
      <c r="A131">
        <v>348615</v>
      </c>
      <c r="B131" t="s">
        <v>257</v>
      </c>
      <c r="C131" t="s">
        <v>258</v>
      </c>
      <c r="D131" s="1">
        <v>45812</v>
      </c>
      <c r="E131">
        <v>53850</v>
      </c>
      <c r="F131">
        <v>141</v>
      </c>
      <c r="G131" t="s">
        <v>79</v>
      </c>
      <c r="H131" t="s">
        <v>48</v>
      </c>
      <c r="I131" t="s">
        <v>49</v>
      </c>
      <c r="K131">
        <v>202506038032485</v>
      </c>
      <c r="L131">
        <v>1413300003985</v>
      </c>
      <c r="M131">
        <v>20250603</v>
      </c>
      <c r="N131" t="s">
        <v>193</v>
      </c>
      <c r="P131" t="s">
        <v>259</v>
      </c>
      <c r="Q131" t="s">
        <v>50</v>
      </c>
      <c r="R131">
        <v>50000</v>
      </c>
      <c r="S131">
        <v>0</v>
      </c>
      <c r="T131">
        <v>4996689</v>
      </c>
      <c r="U131">
        <v>80010360750</v>
      </c>
      <c r="V131" t="s">
        <v>82</v>
      </c>
      <c r="W131" t="s">
        <v>57</v>
      </c>
      <c r="X131" t="s">
        <v>83</v>
      </c>
      <c r="Y131" t="s">
        <v>52</v>
      </c>
      <c r="Z131">
        <v>1940</v>
      </c>
      <c r="AH131">
        <v>0</v>
      </c>
      <c r="AI131">
        <v>202506</v>
      </c>
      <c r="AJ131" t="s">
        <v>180</v>
      </c>
      <c r="AK131">
        <v>1</v>
      </c>
      <c r="AL131">
        <v>1</v>
      </c>
      <c r="AO131">
        <v>0</v>
      </c>
      <c r="AP131">
        <v>931</v>
      </c>
      <c r="AQ131">
        <v>430</v>
      </c>
      <c r="AR131">
        <v>430931</v>
      </c>
      <c r="AS131" t="s">
        <v>62</v>
      </c>
      <c r="AU131" t="s">
        <v>62</v>
      </c>
      <c r="AV131" t="s">
        <v>262</v>
      </c>
      <c r="AW131">
        <v>5000</v>
      </c>
      <c r="AX131">
        <v>15712.4</v>
      </c>
      <c r="AY131">
        <v>18425.036</v>
      </c>
      <c r="AZ131">
        <v>19036</v>
      </c>
      <c r="BA131">
        <v>19840</v>
      </c>
      <c r="BB131">
        <v>20740</v>
      </c>
      <c r="BC131">
        <v>22473.462</v>
      </c>
      <c r="BD131">
        <v>23237.86</v>
      </c>
      <c r="BE131">
        <v>25000</v>
      </c>
      <c r="BF131">
        <v>27463.635999999999</v>
      </c>
      <c r="BG131">
        <v>30000</v>
      </c>
      <c r="BH131">
        <v>34610.514000000003</v>
      </c>
      <c r="BI131">
        <v>35046</v>
      </c>
      <c r="BJ131">
        <v>38582.447999999997</v>
      </c>
      <c r="BK131">
        <v>42006.79</v>
      </c>
      <c r="BL131">
        <v>50000</v>
      </c>
      <c r="BM131">
        <v>54336.774000000027</v>
      </c>
      <c r="BN131">
        <v>65042.055999999982</v>
      </c>
      <c r="BO131">
        <v>78281.780000000086</v>
      </c>
      <c r="BP131">
        <v>110403.728</v>
      </c>
      <c r="BQ131">
        <v>134983.79999999999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0</v>
      </c>
      <c r="CI131">
        <v>0</v>
      </c>
      <c r="CJ131">
        <v>0</v>
      </c>
      <c r="CK131">
        <v>0</v>
      </c>
      <c r="CL131">
        <v>0</v>
      </c>
    </row>
    <row r="132" spans="1:90" x14ac:dyDescent="0.35">
      <c r="A132">
        <v>348611</v>
      </c>
      <c r="B132" t="s">
        <v>257</v>
      </c>
      <c r="C132" t="s">
        <v>258</v>
      </c>
      <c r="D132" s="1">
        <v>45812</v>
      </c>
      <c r="E132">
        <v>53850</v>
      </c>
      <c r="F132">
        <v>102</v>
      </c>
      <c r="G132" t="s">
        <v>56</v>
      </c>
      <c r="H132" t="s">
        <v>48</v>
      </c>
      <c r="I132" t="s">
        <v>49</v>
      </c>
      <c r="K132">
        <v>202506038034185</v>
      </c>
      <c r="L132">
        <v>2583300001294</v>
      </c>
      <c r="M132">
        <v>20250603</v>
      </c>
      <c r="N132" t="s">
        <v>193</v>
      </c>
      <c r="P132" t="s">
        <v>373</v>
      </c>
      <c r="Q132" t="s">
        <v>59</v>
      </c>
      <c r="R132">
        <v>18467</v>
      </c>
      <c r="S132">
        <v>0</v>
      </c>
      <c r="T132">
        <v>4923983</v>
      </c>
      <c r="U132">
        <v>8254330726</v>
      </c>
      <c r="V132" t="s">
        <v>374</v>
      </c>
      <c r="W132" t="s">
        <v>57</v>
      </c>
      <c r="X132" t="s">
        <v>199</v>
      </c>
      <c r="Y132" t="s">
        <v>52</v>
      </c>
      <c r="Z132">
        <v>1949</v>
      </c>
      <c r="AH132">
        <v>0</v>
      </c>
      <c r="AI132">
        <v>202506</v>
      </c>
      <c r="AJ132" t="s">
        <v>179</v>
      </c>
      <c r="AK132">
        <v>1</v>
      </c>
      <c r="AL132">
        <v>1</v>
      </c>
      <c r="AO132">
        <v>0</v>
      </c>
      <c r="AP132">
        <v>999</v>
      </c>
      <c r="AQ132">
        <v>430</v>
      </c>
      <c r="AR132">
        <v>430999</v>
      </c>
      <c r="AT132">
        <v>1</v>
      </c>
      <c r="AU132" t="s">
        <v>58</v>
      </c>
      <c r="AV132" t="s">
        <v>262</v>
      </c>
      <c r="AW132">
        <v>5000</v>
      </c>
      <c r="AX132">
        <v>15712.4</v>
      </c>
      <c r="AY132">
        <v>18425.036</v>
      </c>
      <c r="AZ132">
        <v>19036</v>
      </c>
      <c r="BA132">
        <v>19840</v>
      </c>
      <c r="BB132">
        <v>20740</v>
      </c>
      <c r="BC132">
        <v>22473.462</v>
      </c>
      <c r="BD132">
        <v>23237.86</v>
      </c>
      <c r="BE132">
        <v>25000</v>
      </c>
      <c r="BF132">
        <v>27463.635999999999</v>
      </c>
      <c r="BG132">
        <v>30000</v>
      </c>
      <c r="BH132">
        <v>34610.514000000003</v>
      </c>
      <c r="BI132">
        <v>35046</v>
      </c>
      <c r="BJ132">
        <v>38582.447999999997</v>
      </c>
      <c r="BK132">
        <v>42006.79</v>
      </c>
      <c r="BL132">
        <v>50000</v>
      </c>
      <c r="BM132">
        <v>54336.774000000027</v>
      </c>
      <c r="BN132">
        <v>65042.055999999982</v>
      </c>
      <c r="BO132">
        <v>78281.780000000086</v>
      </c>
      <c r="BP132">
        <v>110403.728</v>
      </c>
      <c r="BQ132">
        <v>134983.79999999999</v>
      </c>
      <c r="BR132">
        <v>1</v>
      </c>
      <c r="BS132">
        <v>1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</row>
    <row r="133" spans="1:90" x14ac:dyDescent="0.35">
      <c r="A133">
        <v>348600</v>
      </c>
      <c r="B133" t="s">
        <v>257</v>
      </c>
      <c r="C133" t="s">
        <v>258</v>
      </c>
      <c r="D133" s="1">
        <v>45812</v>
      </c>
      <c r="E133">
        <v>53850</v>
      </c>
      <c r="F133">
        <v>190</v>
      </c>
      <c r="G133" t="s">
        <v>196</v>
      </c>
      <c r="H133" t="s">
        <v>48</v>
      </c>
      <c r="I133" t="s">
        <v>49</v>
      </c>
      <c r="K133">
        <v>202506038034212</v>
      </c>
      <c r="L133">
        <v>1903300017388</v>
      </c>
      <c r="M133">
        <v>20250603</v>
      </c>
      <c r="N133" t="s">
        <v>193</v>
      </c>
      <c r="P133" t="s">
        <v>259</v>
      </c>
      <c r="Q133" t="s">
        <v>59</v>
      </c>
      <c r="R133">
        <v>23774.400000000001</v>
      </c>
      <c r="S133">
        <v>0</v>
      </c>
      <c r="T133">
        <v>4884959</v>
      </c>
      <c r="U133">
        <v>6732580722</v>
      </c>
      <c r="V133" t="s">
        <v>356</v>
      </c>
      <c r="W133" t="s">
        <v>57</v>
      </c>
      <c r="X133" t="s">
        <v>78</v>
      </c>
      <c r="Y133" t="s">
        <v>52</v>
      </c>
      <c r="Z133">
        <v>1926</v>
      </c>
      <c r="AH133">
        <v>0</v>
      </c>
      <c r="AI133">
        <v>202506</v>
      </c>
      <c r="AJ133" t="s">
        <v>179</v>
      </c>
      <c r="AK133">
        <v>1</v>
      </c>
      <c r="AL133">
        <v>1</v>
      </c>
      <c r="AO133">
        <v>0</v>
      </c>
      <c r="AP133">
        <v>999</v>
      </c>
      <c r="AQ133">
        <v>430</v>
      </c>
      <c r="AR133">
        <v>430999</v>
      </c>
      <c r="AT133">
        <v>1</v>
      </c>
      <c r="AU133" t="s">
        <v>58</v>
      </c>
      <c r="AV133" t="s">
        <v>262</v>
      </c>
      <c r="AW133">
        <v>5000</v>
      </c>
      <c r="AX133">
        <v>15712.4</v>
      </c>
      <c r="AY133">
        <v>18425.036</v>
      </c>
      <c r="AZ133">
        <v>19036</v>
      </c>
      <c r="BA133">
        <v>19840</v>
      </c>
      <c r="BB133">
        <v>20740</v>
      </c>
      <c r="BC133">
        <v>22473.462</v>
      </c>
      <c r="BD133">
        <v>23237.86</v>
      </c>
      <c r="BE133">
        <v>25000</v>
      </c>
      <c r="BF133">
        <v>27463.635999999999</v>
      </c>
      <c r="BG133">
        <v>30000</v>
      </c>
      <c r="BH133">
        <v>34610.514000000003</v>
      </c>
      <c r="BI133">
        <v>35046</v>
      </c>
      <c r="BJ133">
        <v>38582.447999999997</v>
      </c>
      <c r="BK133">
        <v>42006.79</v>
      </c>
      <c r="BL133">
        <v>50000</v>
      </c>
      <c r="BM133">
        <v>54336.774000000027</v>
      </c>
      <c r="BN133">
        <v>65042.055999999982</v>
      </c>
      <c r="BO133">
        <v>78281.780000000086</v>
      </c>
      <c r="BP133">
        <v>110403.728</v>
      </c>
      <c r="BQ133">
        <v>134983.79999999999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</row>
    <row r="134" spans="1:90" x14ac:dyDescent="0.35">
      <c r="A134">
        <v>348579</v>
      </c>
      <c r="B134" t="s">
        <v>257</v>
      </c>
      <c r="C134" t="s">
        <v>258</v>
      </c>
      <c r="D134" s="1">
        <v>45812</v>
      </c>
      <c r="E134">
        <v>53850</v>
      </c>
      <c r="F134">
        <v>261</v>
      </c>
      <c r="G134" t="s">
        <v>84</v>
      </c>
      <c r="H134" t="s">
        <v>48</v>
      </c>
      <c r="I134" t="s">
        <v>49</v>
      </c>
      <c r="K134">
        <v>202506038033618</v>
      </c>
      <c r="L134">
        <v>2613300000162</v>
      </c>
      <c r="M134">
        <v>20250603</v>
      </c>
      <c r="N134" t="s">
        <v>193</v>
      </c>
      <c r="P134" t="s">
        <v>259</v>
      </c>
      <c r="Q134" t="s">
        <v>59</v>
      </c>
      <c r="R134">
        <v>15510</v>
      </c>
      <c r="S134">
        <v>0</v>
      </c>
      <c r="T134">
        <v>1602765</v>
      </c>
      <c r="U134">
        <v>705090702</v>
      </c>
      <c r="V134" t="s">
        <v>375</v>
      </c>
      <c r="W134" t="s">
        <v>57</v>
      </c>
      <c r="X134" t="s">
        <v>93</v>
      </c>
      <c r="Y134" t="s">
        <v>52</v>
      </c>
      <c r="Z134">
        <v>1856</v>
      </c>
      <c r="AH134">
        <v>0</v>
      </c>
      <c r="AI134">
        <v>202506</v>
      </c>
      <c r="AJ134" t="s">
        <v>55</v>
      </c>
      <c r="AK134">
        <v>0</v>
      </c>
      <c r="AL134">
        <v>1</v>
      </c>
      <c r="AO134">
        <v>0</v>
      </c>
      <c r="AP134">
        <v>999</v>
      </c>
      <c r="AQ134">
        <v>430</v>
      </c>
      <c r="AR134">
        <v>430999</v>
      </c>
      <c r="AT134">
        <v>1</v>
      </c>
      <c r="AU134" t="s">
        <v>58</v>
      </c>
      <c r="AV134" t="s">
        <v>262</v>
      </c>
      <c r="AW134">
        <v>5000</v>
      </c>
      <c r="AX134">
        <v>15712.4</v>
      </c>
      <c r="AY134">
        <v>18425.036</v>
      </c>
      <c r="AZ134">
        <v>19036</v>
      </c>
      <c r="BA134">
        <v>19840</v>
      </c>
      <c r="BB134">
        <v>20740</v>
      </c>
      <c r="BC134">
        <v>22473.462</v>
      </c>
      <c r="BD134">
        <v>23237.86</v>
      </c>
      <c r="BE134">
        <v>25000</v>
      </c>
      <c r="BF134">
        <v>27463.635999999999</v>
      </c>
      <c r="BG134">
        <v>30000</v>
      </c>
      <c r="BH134">
        <v>34610.514000000003</v>
      </c>
      <c r="BI134">
        <v>35046</v>
      </c>
      <c r="BJ134">
        <v>38582.447999999997</v>
      </c>
      <c r="BK134">
        <v>42006.79</v>
      </c>
      <c r="BL134">
        <v>50000</v>
      </c>
      <c r="BM134">
        <v>54336.774000000027</v>
      </c>
      <c r="BN134">
        <v>65042.055999999982</v>
      </c>
      <c r="BO134">
        <v>78281.780000000086</v>
      </c>
      <c r="BP134">
        <v>110403.728</v>
      </c>
      <c r="BQ134">
        <v>134983.79999999999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</row>
    <row r="135" spans="1:90" x14ac:dyDescent="0.35">
      <c r="D135" s="1"/>
    </row>
    <row r="136" spans="1:90" x14ac:dyDescent="0.35">
      <c r="D136" s="1"/>
    </row>
    <row r="137" spans="1:90" x14ac:dyDescent="0.35">
      <c r="D137" s="1"/>
    </row>
    <row r="138" spans="1:90" x14ac:dyDescent="0.35">
      <c r="D138" s="1"/>
    </row>
    <row r="139" spans="1:90" x14ac:dyDescent="0.35">
      <c r="D139" s="1"/>
    </row>
    <row r="140" spans="1:90" x14ac:dyDescent="0.35">
      <c r="D140" s="1"/>
    </row>
    <row r="141" spans="1:90" x14ac:dyDescent="0.35">
      <c r="D141" s="1"/>
    </row>
    <row r="142" spans="1:90" x14ac:dyDescent="0.35">
      <c r="D142" s="1"/>
    </row>
    <row r="143" spans="1:90" x14ac:dyDescent="0.35">
      <c r="D143" s="1"/>
    </row>
    <row r="144" spans="1:90" x14ac:dyDescent="0.35">
      <c r="D144" s="1"/>
    </row>
    <row r="145" spans="4:4" x14ac:dyDescent="0.35">
      <c r="D145" s="1"/>
    </row>
    <row r="146" spans="4:4" x14ac:dyDescent="0.35">
      <c r="D146" s="1"/>
    </row>
    <row r="147" spans="4:4" x14ac:dyDescent="0.35">
      <c r="D147" s="1"/>
    </row>
    <row r="148" spans="4:4" x14ac:dyDescent="0.35">
      <c r="D148" s="1"/>
    </row>
    <row r="149" spans="4:4" x14ac:dyDescent="0.35">
      <c r="D149" s="1"/>
    </row>
    <row r="150" spans="4:4" x14ac:dyDescent="0.35">
      <c r="D150" s="1"/>
    </row>
    <row r="151" spans="4:4" x14ac:dyDescent="0.35">
      <c r="D151" s="1"/>
    </row>
    <row r="152" spans="4:4" x14ac:dyDescent="0.35">
      <c r="D152" s="1"/>
    </row>
    <row r="153" spans="4:4" x14ac:dyDescent="0.35">
      <c r="D153" s="1"/>
    </row>
    <row r="154" spans="4:4" x14ac:dyDescent="0.35">
      <c r="D154" s="1"/>
    </row>
    <row r="155" spans="4:4" x14ac:dyDescent="0.35">
      <c r="D155" s="1"/>
    </row>
    <row r="156" spans="4:4" x14ac:dyDescent="0.35">
      <c r="D156" s="1"/>
    </row>
    <row r="157" spans="4:4" x14ac:dyDescent="0.35">
      <c r="D157" s="1"/>
    </row>
    <row r="158" spans="4:4" x14ac:dyDescent="0.35">
      <c r="D158" s="1"/>
    </row>
    <row r="159" spans="4:4" x14ac:dyDescent="0.35">
      <c r="D159" s="1"/>
    </row>
    <row r="160" spans="4:4" x14ac:dyDescent="0.35">
      <c r="D160" s="1"/>
    </row>
    <row r="161" spans="4:4" x14ac:dyDescent="0.35">
      <c r="D161" s="1"/>
    </row>
    <row r="162" spans="4:4" x14ac:dyDescent="0.35">
      <c r="D162" s="1"/>
    </row>
    <row r="163" spans="4:4" x14ac:dyDescent="0.35">
      <c r="D163" s="1"/>
    </row>
    <row r="164" spans="4:4" x14ac:dyDescent="0.35">
      <c r="D164" s="1"/>
    </row>
    <row r="165" spans="4:4" x14ac:dyDescent="0.35">
      <c r="D165" s="1"/>
    </row>
    <row r="166" spans="4:4" x14ac:dyDescent="0.35">
      <c r="D166" s="1"/>
    </row>
    <row r="167" spans="4:4" x14ac:dyDescent="0.35">
      <c r="D167" s="1"/>
    </row>
    <row r="168" spans="4:4" x14ac:dyDescent="0.35">
      <c r="D168" s="1"/>
    </row>
    <row r="169" spans="4:4" x14ac:dyDescent="0.35">
      <c r="D169" s="1"/>
    </row>
    <row r="170" spans="4:4" x14ac:dyDescent="0.35">
      <c r="D170" s="1"/>
    </row>
    <row r="171" spans="4:4" x14ac:dyDescent="0.35">
      <c r="D171" s="1"/>
    </row>
    <row r="172" spans="4:4" x14ac:dyDescent="0.35">
      <c r="D172" s="1"/>
    </row>
    <row r="173" spans="4:4" x14ac:dyDescent="0.35">
      <c r="D173" s="1"/>
    </row>
    <row r="174" spans="4:4" x14ac:dyDescent="0.35">
      <c r="D174" s="1"/>
    </row>
    <row r="175" spans="4:4" x14ac:dyDescent="0.35">
      <c r="D175" s="1"/>
    </row>
    <row r="176" spans="4:4" x14ac:dyDescent="0.35">
      <c r="D176" s="1"/>
    </row>
    <row r="177" spans="4:4" x14ac:dyDescent="0.35">
      <c r="D177" s="1"/>
    </row>
    <row r="178" spans="4:4" x14ac:dyDescent="0.35">
      <c r="D178" s="1"/>
    </row>
    <row r="179" spans="4:4" x14ac:dyDescent="0.35">
      <c r="D179" s="1"/>
    </row>
    <row r="180" spans="4:4" x14ac:dyDescent="0.35">
      <c r="D180" s="1"/>
    </row>
    <row r="181" spans="4:4" x14ac:dyDescent="0.35">
      <c r="D181" s="1"/>
    </row>
    <row r="182" spans="4:4" x14ac:dyDescent="0.35">
      <c r="D182" s="1"/>
    </row>
    <row r="183" spans="4:4" x14ac:dyDescent="0.35">
      <c r="D183" s="1"/>
    </row>
    <row r="184" spans="4:4" x14ac:dyDescent="0.35">
      <c r="D184" s="1"/>
    </row>
    <row r="185" spans="4:4" x14ac:dyDescent="0.35">
      <c r="D185" s="1"/>
    </row>
    <row r="186" spans="4:4" x14ac:dyDescent="0.35">
      <c r="D186" s="1"/>
    </row>
    <row r="187" spans="4:4" x14ac:dyDescent="0.35">
      <c r="D187" s="1"/>
    </row>
    <row r="188" spans="4:4" x14ac:dyDescent="0.35">
      <c r="D188" s="1"/>
    </row>
    <row r="189" spans="4:4" x14ac:dyDescent="0.35">
      <c r="D189" s="1"/>
    </row>
    <row r="190" spans="4:4" x14ac:dyDescent="0.35">
      <c r="D190" s="1"/>
    </row>
    <row r="191" spans="4:4" x14ac:dyDescent="0.35">
      <c r="D191" s="1"/>
    </row>
    <row r="192" spans="4:4" x14ac:dyDescent="0.35">
      <c r="D192" s="1"/>
    </row>
    <row r="193" spans="4:4" x14ac:dyDescent="0.35">
      <c r="D193" s="1"/>
    </row>
    <row r="194" spans="4:4" x14ac:dyDescent="0.35">
      <c r="D194" s="1"/>
    </row>
    <row r="195" spans="4:4" x14ac:dyDescent="0.35">
      <c r="D195" s="1"/>
    </row>
    <row r="196" spans="4:4" x14ac:dyDescent="0.35">
      <c r="D196" s="1"/>
    </row>
    <row r="197" spans="4:4" x14ac:dyDescent="0.35">
      <c r="D197" s="1"/>
    </row>
    <row r="198" spans="4:4" x14ac:dyDescent="0.35">
      <c r="D198" s="1"/>
    </row>
    <row r="199" spans="4:4" x14ac:dyDescent="0.35">
      <c r="D199" s="1"/>
    </row>
    <row r="200" spans="4:4" x14ac:dyDescent="0.35">
      <c r="D200" s="1"/>
    </row>
    <row r="201" spans="4:4" x14ac:dyDescent="0.35">
      <c r="D201" s="1"/>
    </row>
    <row r="202" spans="4:4" x14ac:dyDescent="0.35">
      <c r="D202" s="1"/>
    </row>
    <row r="203" spans="4:4" x14ac:dyDescent="0.35">
      <c r="D203" s="1"/>
    </row>
    <row r="204" spans="4:4" x14ac:dyDescent="0.35">
      <c r="D204" s="1"/>
    </row>
    <row r="205" spans="4:4" x14ac:dyDescent="0.35">
      <c r="D205" s="1"/>
    </row>
    <row r="206" spans="4:4" x14ac:dyDescent="0.35">
      <c r="D206" s="1"/>
    </row>
    <row r="207" spans="4:4" x14ac:dyDescent="0.35">
      <c r="D207" s="1"/>
    </row>
    <row r="208" spans="4:4" x14ac:dyDescent="0.35">
      <c r="D208" s="1"/>
    </row>
    <row r="209" spans="4:4" x14ac:dyDescent="0.35">
      <c r="D209" s="1"/>
    </row>
    <row r="210" spans="4:4" x14ac:dyDescent="0.35">
      <c r="D210" s="1"/>
    </row>
    <row r="211" spans="4:4" x14ac:dyDescent="0.35">
      <c r="D211" s="1"/>
    </row>
    <row r="212" spans="4:4" x14ac:dyDescent="0.35">
      <c r="D212" s="1"/>
    </row>
    <row r="213" spans="4:4" x14ac:dyDescent="0.35">
      <c r="D213" s="1"/>
    </row>
    <row r="214" spans="4:4" x14ac:dyDescent="0.35">
      <c r="D214" s="1"/>
    </row>
    <row r="215" spans="4:4" x14ac:dyDescent="0.35">
      <c r="D215" s="1"/>
    </row>
    <row r="216" spans="4:4" x14ac:dyDescent="0.35">
      <c r="D216" s="1"/>
    </row>
    <row r="217" spans="4:4" x14ac:dyDescent="0.35">
      <c r="D217" s="1"/>
    </row>
    <row r="218" spans="4:4" x14ac:dyDescent="0.35">
      <c r="D218" s="1"/>
    </row>
    <row r="219" spans="4:4" x14ac:dyDescent="0.35">
      <c r="D219" s="1"/>
    </row>
    <row r="220" spans="4:4" x14ac:dyDescent="0.35">
      <c r="D220" s="1"/>
    </row>
    <row r="221" spans="4:4" x14ac:dyDescent="0.35">
      <c r="D221" s="1"/>
    </row>
    <row r="222" spans="4:4" x14ac:dyDescent="0.35">
      <c r="D222" s="1"/>
    </row>
    <row r="223" spans="4:4" x14ac:dyDescent="0.35">
      <c r="D223" s="1"/>
    </row>
    <row r="224" spans="4:4" x14ac:dyDescent="0.35">
      <c r="D224" s="1"/>
    </row>
    <row r="225" spans="4:4" x14ac:dyDescent="0.35">
      <c r="D225" s="1"/>
    </row>
    <row r="226" spans="4:4" x14ac:dyDescent="0.35">
      <c r="D226" s="1"/>
    </row>
    <row r="227" spans="4:4" x14ac:dyDescent="0.35">
      <c r="D227" s="1"/>
    </row>
    <row r="228" spans="4:4" x14ac:dyDescent="0.35">
      <c r="D228" s="1"/>
    </row>
    <row r="229" spans="4:4" x14ac:dyDescent="0.35">
      <c r="D229" s="1"/>
    </row>
    <row r="230" spans="4:4" x14ac:dyDescent="0.35">
      <c r="D230" s="1"/>
    </row>
    <row r="231" spans="4:4" x14ac:dyDescent="0.35">
      <c r="D231" s="1"/>
    </row>
    <row r="232" spans="4:4" x14ac:dyDescent="0.35">
      <c r="D232" s="1"/>
    </row>
    <row r="233" spans="4:4" x14ac:dyDescent="0.35">
      <c r="D233" s="1"/>
    </row>
    <row r="234" spans="4:4" x14ac:dyDescent="0.35">
      <c r="D234" s="1"/>
    </row>
    <row r="235" spans="4:4" x14ac:dyDescent="0.35">
      <c r="D235" s="1"/>
    </row>
    <row r="236" spans="4:4" x14ac:dyDescent="0.35">
      <c r="D236" s="1"/>
    </row>
    <row r="237" spans="4:4" x14ac:dyDescent="0.35">
      <c r="D237" s="1"/>
    </row>
    <row r="238" spans="4:4" x14ac:dyDescent="0.35">
      <c r="D238" s="1"/>
    </row>
    <row r="239" spans="4:4" x14ac:dyDescent="0.35">
      <c r="D239" s="1"/>
    </row>
    <row r="240" spans="4:4" x14ac:dyDescent="0.35">
      <c r="D240" s="1"/>
    </row>
    <row r="241" spans="4:4" x14ac:dyDescent="0.35">
      <c r="D241" s="1"/>
    </row>
    <row r="242" spans="4:4" x14ac:dyDescent="0.35">
      <c r="D242" s="1"/>
    </row>
    <row r="243" spans="4:4" x14ac:dyDescent="0.35">
      <c r="D243" s="1"/>
    </row>
    <row r="244" spans="4:4" x14ac:dyDescent="0.35">
      <c r="D244" s="1"/>
    </row>
    <row r="245" spans="4:4" x14ac:dyDescent="0.35">
      <c r="D245" s="1"/>
    </row>
    <row r="246" spans="4:4" x14ac:dyDescent="0.35">
      <c r="D246" s="1"/>
    </row>
    <row r="247" spans="4:4" x14ac:dyDescent="0.35">
      <c r="D247" s="1"/>
    </row>
    <row r="248" spans="4:4" x14ac:dyDescent="0.35">
      <c r="D248" s="1"/>
    </row>
    <row r="249" spans="4:4" x14ac:dyDescent="0.35">
      <c r="D249" s="1"/>
    </row>
    <row r="250" spans="4:4" x14ac:dyDescent="0.35">
      <c r="D250" s="1"/>
    </row>
    <row r="251" spans="4:4" x14ac:dyDescent="0.35">
      <c r="D251" s="1"/>
    </row>
    <row r="252" spans="4:4" x14ac:dyDescent="0.35">
      <c r="D252" s="1"/>
    </row>
    <row r="253" spans="4:4" x14ac:dyDescent="0.35">
      <c r="D253" s="1"/>
    </row>
    <row r="254" spans="4:4" x14ac:dyDescent="0.35">
      <c r="D254" s="1"/>
    </row>
    <row r="255" spans="4:4" x14ac:dyDescent="0.35">
      <c r="D255" s="1"/>
    </row>
    <row r="256" spans="4:4" x14ac:dyDescent="0.35">
      <c r="D256" s="1"/>
    </row>
    <row r="257" spans="4:4" x14ac:dyDescent="0.35">
      <c r="D257" s="1"/>
    </row>
    <row r="258" spans="4:4" x14ac:dyDescent="0.35">
      <c r="D258" s="1"/>
    </row>
    <row r="259" spans="4:4" x14ac:dyDescent="0.35">
      <c r="D259" s="1"/>
    </row>
    <row r="260" spans="4:4" x14ac:dyDescent="0.35">
      <c r="D260" s="1"/>
    </row>
    <row r="261" spans="4:4" x14ac:dyDescent="0.35">
      <c r="D261" s="1"/>
    </row>
    <row r="262" spans="4:4" x14ac:dyDescent="0.35">
      <c r="D262" s="1"/>
    </row>
    <row r="263" spans="4:4" x14ac:dyDescent="0.35">
      <c r="D263" s="1"/>
    </row>
    <row r="264" spans="4:4" x14ac:dyDescent="0.35">
      <c r="D264" s="1"/>
    </row>
    <row r="265" spans="4:4" x14ac:dyDescent="0.35">
      <c r="D265" s="1"/>
    </row>
    <row r="266" spans="4:4" x14ac:dyDescent="0.35">
      <c r="D266" s="1"/>
    </row>
    <row r="267" spans="4:4" x14ac:dyDescent="0.35">
      <c r="D267" s="1"/>
    </row>
    <row r="268" spans="4:4" x14ac:dyDescent="0.35">
      <c r="D268" s="1"/>
    </row>
    <row r="269" spans="4:4" x14ac:dyDescent="0.35">
      <c r="D269" s="1"/>
    </row>
    <row r="270" spans="4:4" x14ac:dyDescent="0.35">
      <c r="D270" s="1"/>
    </row>
    <row r="271" spans="4:4" x14ac:dyDescent="0.35">
      <c r="D271" s="1"/>
    </row>
    <row r="272" spans="4:4" x14ac:dyDescent="0.35">
      <c r="D272" s="1"/>
    </row>
    <row r="273" spans="4:4" x14ac:dyDescent="0.35">
      <c r="D273" s="1"/>
    </row>
    <row r="274" spans="4:4" x14ac:dyDescent="0.35">
      <c r="D274" s="1"/>
    </row>
    <row r="275" spans="4:4" x14ac:dyDescent="0.35">
      <c r="D275" s="1"/>
    </row>
    <row r="276" spans="4:4" x14ac:dyDescent="0.35">
      <c r="D276" s="1"/>
    </row>
    <row r="277" spans="4:4" x14ac:dyDescent="0.35">
      <c r="D277" s="1"/>
    </row>
    <row r="278" spans="4:4" x14ac:dyDescent="0.35">
      <c r="D278" s="1"/>
    </row>
    <row r="279" spans="4:4" x14ac:dyDescent="0.35">
      <c r="D279" s="1"/>
    </row>
    <row r="280" spans="4:4" x14ac:dyDescent="0.35">
      <c r="D280" s="1"/>
    </row>
    <row r="281" spans="4:4" x14ac:dyDescent="0.35">
      <c r="D281" s="1"/>
    </row>
    <row r="282" spans="4:4" x14ac:dyDescent="0.35">
      <c r="D282" s="1"/>
    </row>
    <row r="283" spans="4:4" x14ac:dyDescent="0.35">
      <c r="D283" s="1"/>
    </row>
    <row r="284" spans="4:4" x14ac:dyDescent="0.35">
      <c r="D284" s="1"/>
    </row>
    <row r="285" spans="4:4" x14ac:dyDescent="0.35">
      <c r="D285" s="1"/>
    </row>
    <row r="286" spans="4:4" x14ac:dyDescent="0.35">
      <c r="D286" s="1"/>
    </row>
    <row r="287" spans="4:4" x14ac:dyDescent="0.35">
      <c r="D287" s="1"/>
    </row>
    <row r="288" spans="4:4" x14ac:dyDescent="0.35">
      <c r="D288" s="1"/>
    </row>
    <row r="289" spans="4:4" x14ac:dyDescent="0.35">
      <c r="D289" s="1"/>
    </row>
    <row r="290" spans="4:4" x14ac:dyDescent="0.35">
      <c r="D290" s="1"/>
    </row>
    <row r="291" spans="4:4" x14ac:dyDescent="0.35">
      <c r="D291" s="1"/>
    </row>
    <row r="292" spans="4:4" x14ac:dyDescent="0.35">
      <c r="D292" s="1"/>
    </row>
    <row r="293" spans="4:4" x14ac:dyDescent="0.35">
      <c r="D293" s="1"/>
    </row>
    <row r="294" spans="4:4" x14ac:dyDescent="0.35">
      <c r="D294" s="1"/>
    </row>
    <row r="295" spans="4:4" x14ac:dyDescent="0.35">
      <c r="D295" s="1"/>
    </row>
    <row r="296" spans="4:4" x14ac:dyDescent="0.35">
      <c r="D296" s="1"/>
    </row>
    <row r="297" spans="4:4" x14ac:dyDescent="0.35">
      <c r="D297" s="1"/>
    </row>
    <row r="298" spans="4:4" x14ac:dyDescent="0.35">
      <c r="D298" s="1"/>
    </row>
    <row r="299" spans="4:4" x14ac:dyDescent="0.35">
      <c r="D299" s="1"/>
    </row>
    <row r="300" spans="4:4" x14ac:dyDescent="0.35">
      <c r="D300" s="1"/>
    </row>
    <row r="301" spans="4:4" x14ac:dyDescent="0.35">
      <c r="D301" s="1"/>
    </row>
    <row r="302" spans="4:4" x14ac:dyDescent="0.35">
      <c r="D302" s="1"/>
    </row>
    <row r="303" spans="4:4" x14ac:dyDescent="0.35">
      <c r="D303" s="1"/>
    </row>
    <row r="304" spans="4:4" x14ac:dyDescent="0.35">
      <c r="D304" s="1"/>
    </row>
    <row r="305" spans="4:4" x14ac:dyDescent="0.35">
      <c r="D305" s="1"/>
    </row>
    <row r="306" spans="4:4" x14ac:dyDescent="0.35">
      <c r="D306" s="1"/>
    </row>
    <row r="307" spans="4:4" x14ac:dyDescent="0.35">
      <c r="D307" s="1"/>
    </row>
    <row r="308" spans="4:4" x14ac:dyDescent="0.35">
      <c r="D308" s="1"/>
    </row>
    <row r="309" spans="4:4" x14ac:dyDescent="0.35">
      <c r="D309" s="1"/>
    </row>
    <row r="310" spans="4:4" x14ac:dyDescent="0.35">
      <c r="D310" s="1"/>
    </row>
    <row r="311" spans="4:4" x14ac:dyDescent="0.35">
      <c r="D311" s="1"/>
    </row>
    <row r="312" spans="4:4" x14ac:dyDescent="0.35">
      <c r="D312" s="1"/>
    </row>
    <row r="313" spans="4:4" x14ac:dyDescent="0.35">
      <c r="D313" s="1"/>
    </row>
    <row r="314" spans="4:4" x14ac:dyDescent="0.35">
      <c r="D314" s="1"/>
    </row>
    <row r="315" spans="4:4" x14ac:dyDescent="0.35">
      <c r="D315" s="1"/>
    </row>
    <row r="316" spans="4:4" x14ac:dyDescent="0.35">
      <c r="D316" s="1"/>
    </row>
    <row r="317" spans="4:4" x14ac:dyDescent="0.35">
      <c r="D317" s="1"/>
    </row>
    <row r="318" spans="4:4" x14ac:dyDescent="0.35">
      <c r="D318" s="1"/>
    </row>
    <row r="319" spans="4:4" x14ac:dyDescent="0.35">
      <c r="D319" s="1"/>
    </row>
    <row r="320" spans="4:4" x14ac:dyDescent="0.35">
      <c r="D320" s="1"/>
    </row>
    <row r="321" spans="4:4" x14ac:dyDescent="0.35">
      <c r="D321" s="1"/>
    </row>
    <row r="322" spans="4:4" x14ac:dyDescent="0.35">
      <c r="D322" s="1"/>
    </row>
    <row r="323" spans="4:4" x14ac:dyDescent="0.35">
      <c r="D323" s="1"/>
    </row>
    <row r="324" spans="4:4" x14ac:dyDescent="0.35">
      <c r="D324" s="1"/>
    </row>
    <row r="325" spans="4:4" x14ac:dyDescent="0.35">
      <c r="D325" s="1"/>
    </row>
    <row r="326" spans="4:4" x14ac:dyDescent="0.35">
      <c r="D326" s="1"/>
    </row>
    <row r="327" spans="4:4" x14ac:dyDescent="0.35">
      <c r="D327" s="1"/>
    </row>
    <row r="328" spans="4:4" x14ac:dyDescent="0.35">
      <c r="D328" s="1"/>
    </row>
    <row r="329" spans="4:4" x14ac:dyDescent="0.35">
      <c r="D329" s="1"/>
    </row>
    <row r="330" spans="4:4" x14ac:dyDescent="0.35">
      <c r="D330" s="1"/>
    </row>
    <row r="331" spans="4:4" x14ac:dyDescent="0.35">
      <c r="D331" s="1"/>
    </row>
    <row r="332" spans="4:4" x14ac:dyDescent="0.35">
      <c r="D332" s="1"/>
    </row>
    <row r="333" spans="4:4" x14ac:dyDescent="0.35">
      <c r="D333" s="1"/>
    </row>
    <row r="334" spans="4:4" x14ac:dyDescent="0.35">
      <c r="D334" s="1"/>
    </row>
    <row r="335" spans="4:4" x14ac:dyDescent="0.35">
      <c r="D335" s="1"/>
    </row>
    <row r="336" spans="4:4" x14ac:dyDescent="0.35">
      <c r="D336" s="1"/>
    </row>
    <row r="337" spans="4:4" x14ac:dyDescent="0.35">
      <c r="D337" s="1"/>
    </row>
    <row r="338" spans="4:4" x14ac:dyDescent="0.35">
      <c r="D338" s="1"/>
    </row>
    <row r="339" spans="4:4" x14ac:dyDescent="0.35">
      <c r="D339" s="1"/>
    </row>
    <row r="340" spans="4:4" x14ac:dyDescent="0.35">
      <c r="D340" s="1"/>
    </row>
    <row r="341" spans="4:4" x14ac:dyDescent="0.35">
      <c r="D341" s="1"/>
    </row>
    <row r="342" spans="4:4" x14ac:dyDescent="0.35">
      <c r="D342" s="1"/>
    </row>
    <row r="343" spans="4:4" x14ac:dyDescent="0.35">
      <c r="D343" s="1"/>
    </row>
    <row r="344" spans="4:4" x14ac:dyDescent="0.35">
      <c r="D344" s="1"/>
    </row>
    <row r="345" spans="4:4" x14ac:dyDescent="0.35">
      <c r="D345" s="1"/>
    </row>
    <row r="346" spans="4:4" x14ac:dyDescent="0.35">
      <c r="D346" s="1"/>
    </row>
    <row r="347" spans="4:4" x14ac:dyDescent="0.35">
      <c r="D347" s="1"/>
    </row>
    <row r="348" spans="4:4" x14ac:dyDescent="0.35">
      <c r="D348" s="1"/>
    </row>
    <row r="349" spans="4:4" x14ac:dyDescent="0.35">
      <c r="D349" s="1"/>
    </row>
    <row r="350" spans="4:4" x14ac:dyDescent="0.35">
      <c r="D350" s="1"/>
    </row>
    <row r="351" spans="4:4" x14ac:dyDescent="0.35">
      <c r="D351" s="1"/>
    </row>
    <row r="352" spans="4:4" x14ac:dyDescent="0.35">
      <c r="D352" s="1"/>
    </row>
    <row r="353" spans="4:4" x14ac:dyDescent="0.35">
      <c r="D353" s="1"/>
    </row>
    <row r="354" spans="4:4" x14ac:dyDescent="0.35">
      <c r="D354" s="1"/>
    </row>
    <row r="355" spans="4:4" x14ac:dyDescent="0.35">
      <c r="D355" s="1"/>
    </row>
    <row r="356" spans="4:4" x14ac:dyDescent="0.35">
      <c r="D356" s="1"/>
    </row>
    <row r="357" spans="4:4" x14ac:dyDescent="0.35">
      <c r="D357" s="1"/>
    </row>
    <row r="358" spans="4:4" x14ac:dyDescent="0.35">
      <c r="D358" s="1"/>
    </row>
    <row r="359" spans="4:4" x14ac:dyDescent="0.35">
      <c r="D359" s="1"/>
    </row>
    <row r="360" spans="4:4" x14ac:dyDescent="0.35">
      <c r="D360" s="1"/>
    </row>
    <row r="361" spans="4:4" x14ac:dyDescent="0.35">
      <c r="D361" s="1"/>
    </row>
    <row r="362" spans="4:4" x14ac:dyDescent="0.35">
      <c r="D362" s="1"/>
    </row>
    <row r="363" spans="4:4" x14ac:dyDescent="0.35">
      <c r="D363" s="1"/>
    </row>
    <row r="364" spans="4:4" x14ac:dyDescent="0.35">
      <c r="D364" s="1"/>
    </row>
    <row r="365" spans="4:4" x14ac:dyDescent="0.35">
      <c r="D365" s="1"/>
    </row>
    <row r="366" spans="4:4" x14ac:dyDescent="0.35">
      <c r="D366" s="1"/>
    </row>
    <row r="367" spans="4:4" x14ac:dyDescent="0.35">
      <c r="D367" s="1"/>
    </row>
    <row r="368" spans="4:4" x14ac:dyDescent="0.35">
      <c r="D368" s="1"/>
    </row>
    <row r="369" spans="4:4" x14ac:dyDescent="0.35">
      <c r="D369" s="1"/>
    </row>
    <row r="370" spans="4:4" x14ac:dyDescent="0.35">
      <c r="D370" s="1"/>
    </row>
    <row r="371" spans="4:4" x14ac:dyDescent="0.35">
      <c r="D371" s="1"/>
    </row>
    <row r="372" spans="4:4" x14ac:dyDescent="0.35">
      <c r="D372" s="1"/>
    </row>
    <row r="373" spans="4:4" x14ac:dyDescent="0.35">
      <c r="D373" s="1"/>
    </row>
    <row r="374" spans="4:4" x14ac:dyDescent="0.35">
      <c r="D374" s="1"/>
    </row>
    <row r="375" spans="4:4" x14ac:dyDescent="0.35">
      <c r="D375" s="1"/>
    </row>
    <row r="376" spans="4:4" x14ac:dyDescent="0.35">
      <c r="D376" s="1"/>
    </row>
    <row r="377" spans="4:4" x14ac:dyDescent="0.35">
      <c r="D377" s="1"/>
    </row>
    <row r="378" spans="4:4" x14ac:dyDescent="0.35">
      <c r="D378" s="1"/>
    </row>
    <row r="379" spans="4:4" x14ac:dyDescent="0.35">
      <c r="D379" s="1"/>
    </row>
    <row r="380" spans="4:4" x14ac:dyDescent="0.35">
      <c r="D380" s="1"/>
    </row>
    <row r="381" spans="4:4" x14ac:dyDescent="0.35">
      <c r="D381" s="1"/>
    </row>
    <row r="382" spans="4:4" x14ac:dyDescent="0.35">
      <c r="D382" s="1"/>
    </row>
    <row r="383" spans="4:4" x14ac:dyDescent="0.35">
      <c r="D383" s="1"/>
    </row>
    <row r="384" spans="4:4" x14ac:dyDescent="0.35">
      <c r="D384" s="1"/>
    </row>
    <row r="385" spans="4:4" x14ac:dyDescent="0.35">
      <c r="D385" s="1"/>
    </row>
    <row r="386" spans="4:4" x14ac:dyDescent="0.35">
      <c r="D386" s="1"/>
    </row>
    <row r="387" spans="4:4" x14ac:dyDescent="0.35">
      <c r="D387" s="1"/>
    </row>
    <row r="388" spans="4:4" x14ac:dyDescent="0.35">
      <c r="D388" s="1"/>
    </row>
    <row r="389" spans="4:4" x14ac:dyDescent="0.35">
      <c r="D389" s="1"/>
    </row>
    <row r="390" spans="4:4" x14ac:dyDescent="0.35">
      <c r="D390" s="1"/>
    </row>
    <row r="391" spans="4:4" x14ac:dyDescent="0.35">
      <c r="D391" s="1"/>
    </row>
    <row r="392" spans="4:4" x14ac:dyDescent="0.35">
      <c r="D392" s="1"/>
    </row>
    <row r="393" spans="4:4" x14ac:dyDescent="0.35">
      <c r="D393" s="1"/>
    </row>
    <row r="394" spans="4:4" x14ac:dyDescent="0.35">
      <c r="D394" s="1"/>
    </row>
    <row r="395" spans="4:4" x14ac:dyDescent="0.35">
      <c r="D395" s="1"/>
    </row>
    <row r="396" spans="4:4" x14ac:dyDescent="0.35">
      <c r="D396" s="1"/>
    </row>
    <row r="397" spans="4:4" x14ac:dyDescent="0.35">
      <c r="D397" s="1"/>
    </row>
    <row r="398" spans="4:4" x14ac:dyDescent="0.35">
      <c r="D398" s="1"/>
    </row>
    <row r="399" spans="4:4" x14ac:dyDescent="0.35">
      <c r="D399" s="1"/>
    </row>
    <row r="400" spans="4:4" x14ac:dyDescent="0.35">
      <c r="D400" s="1"/>
    </row>
    <row r="401" spans="4:4" x14ac:dyDescent="0.35">
      <c r="D401" s="1"/>
    </row>
    <row r="402" spans="4:4" x14ac:dyDescent="0.35">
      <c r="D402" s="1"/>
    </row>
    <row r="403" spans="4:4" x14ac:dyDescent="0.35">
      <c r="D403" s="1"/>
    </row>
    <row r="404" spans="4:4" x14ac:dyDescent="0.35">
      <c r="D404" s="1"/>
    </row>
    <row r="405" spans="4:4" x14ac:dyDescent="0.35">
      <c r="D405" s="1"/>
    </row>
    <row r="406" spans="4:4" x14ac:dyDescent="0.35">
      <c r="D406" s="1"/>
    </row>
    <row r="407" spans="4:4" x14ac:dyDescent="0.35">
      <c r="D407" s="1"/>
    </row>
    <row r="408" spans="4:4" x14ac:dyDescent="0.35">
      <c r="D408" s="1"/>
    </row>
    <row r="409" spans="4:4" x14ac:dyDescent="0.35">
      <c r="D409" s="1"/>
    </row>
    <row r="410" spans="4:4" x14ac:dyDescent="0.35">
      <c r="D410" s="1"/>
    </row>
    <row r="411" spans="4:4" x14ac:dyDescent="0.35">
      <c r="D411" s="1"/>
    </row>
    <row r="412" spans="4:4" x14ac:dyDescent="0.35">
      <c r="D412" s="1"/>
    </row>
    <row r="413" spans="4:4" x14ac:dyDescent="0.35">
      <c r="D413" s="1"/>
    </row>
    <row r="414" spans="4:4" x14ac:dyDescent="0.35">
      <c r="D414" s="1"/>
    </row>
    <row r="415" spans="4:4" x14ac:dyDescent="0.35">
      <c r="D415" s="1"/>
    </row>
    <row r="416" spans="4:4" x14ac:dyDescent="0.35">
      <c r="D416" s="1"/>
    </row>
    <row r="417" spans="4:4" x14ac:dyDescent="0.35">
      <c r="D417" s="1"/>
    </row>
    <row r="418" spans="4:4" x14ac:dyDescent="0.35">
      <c r="D418" s="1"/>
    </row>
    <row r="419" spans="4:4" x14ac:dyDescent="0.35">
      <c r="D419" s="1"/>
    </row>
    <row r="420" spans="4:4" x14ac:dyDescent="0.35">
      <c r="D420" s="1"/>
    </row>
    <row r="421" spans="4:4" x14ac:dyDescent="0.35">
      <c r="D421" s="1"/>
    </row>
    <row r="422" spans="4:4" x14ac:dyDescent="0.35">
      <c r="D422" s="1"/>
    </row>
    <row r="423" spans="4:4" x14ac:dyDescent="0.35">
      <c r="D423" s="1"/>
    </row>
    <row r="424" spans="4:4" x14ac:dyDescent="0.35">
      <c r="D424" s="1"/>
    </row>
    <row r="425" spans="4:4" x14ac:dyDescent="0.35">
      <c r="D425" s="1"/>
    </row>
    <row r="426" spans="4:4" x14ac:dyDescent="0.35">
      <c r="D426" s="1"/>
    </row>
    <row r="427" spans="4:4" x14ac:dyDescent="0.35">
      <c r="D427" s="1"/>
    </row>
    <row r="428" spans="4:4" x14ac:dyDescent="0.35">
      <c r="D428" s="1"/>
    </row>
    <row r="429" spans="4:4" x14ac:dyDescent="0.35">
      <c r="D429" s="1"/>
    </row>
    <row r="430" spans="4:4" x14ac:dyDescent="0.35">
      <c r="D430" s="1"/>
    </row>
    <row r="431" spans="4:4" x14ac:dyDescent="0.35">
      <c r="D431" s="1"/>
    </row>
    <row r="432" spans="4:4" x14ac:dyDescent="0.35">
      <c r="D432" s="1"/>
    </row>
    <row r="433" spans="4:4" x14ac:dyDescent="0.35">
      <c r="D433" s="1"/>
    </row>
    <row r="434" spans="4:4" x14ac:dyDescent="0.35">
      <c r="D434" s="1"/>
    </row>
    <row r="435" spans="4:4" x14ac:dyDescent="0.35">
      <c r="D435" s="1"/>
    </row>
    <row r="436" spans="4:4" x14ac:dyDescent="0.35">
      <c r="D436" s="1"/>
    </row>
    <row r="437" spans="4:4" x14ac:dyDescent="0.35">
      <c r="D437" s="1"/>
    </row>
    <row r="438" spans="4:4" x14ac:dyDescent="0.35">
      <c r="D438" s="1"/>
    </row>
    <row r="439" spans="4:4" x14ac:dyDescent="0.35">
      <c r="D439" s="1"/>
    </row>
    <row r="440" spans="4:4" x14ac:dyDescent="0.35">
      <c r="D440" s="1"/>
    </row>
    <row r="441" spans="4:4" x14ac:dyDescent="0.35">
      <c r="D441" s="1"/>
    </row>
    <row r="442" spans="4:4" x14ac:dyDescent="0.35">
      <c r="D442" s="1"/>
    </row>
    <row r="443" spans="4:4" x14ac:dyDescent="0.35">
      <c r="D443" s="1"/>
    </row>
    <row r="444" spans="4:4" x14ac:dyDescent="0.35">
      <c r="D444" s="1"/>
    </row>
    <row r="445" spans="4:4" x14ac:dyDescent="0.35">
      <c r="D445" s="1"/>
    </row>
    <row r="446" spans="4:4" x14ac:dyDescent="0.35">
      <c r="D446" s="1"/>
    </row>
    <row r="447" spans="4:4" x14ac:dyDescent="0.35">
      <c r="D447" s="1"/>
    </row>
    <row r="448" spans="4:4" x14ac:dyDescent="0.35">
      <c r="D448" s="1"/>
    </row>
    <row r="449" spans="4:4" x14ac:dyDescent="0.35">
      <c r="D449" s="1"/>
    </row>
    <row r="450" spans="4:4" x14ac:dyDescent="0.35">
      <c r="D450" s="1"/>
    </row>
    <row r="451" spans="4:4" x14ac:dyDescent="0.35">
      <c r="D451" s="1"/>
    </row>
    <row r="452" spans="4:4" x14ac:dyDescent="0.35">
      <c r="D452" s="1"/>
    </row>
    <row r="453" spans="4:4" x14ac:dyDescent="0.35">
      <c r="D453" s="1"/>
    </row>
    <row r="454" spans="4:4" x14ac:dyDescent="0.35">
      <c r="D454" s="1"/>
    </row>
    <row r="455" spans="4:4" x14ac:dyDescent="0.35">
      <c r="D455" s="1"/>
    </row>
    <row r="456" spans="4:4" x14ac:dyDescent="0.35">
      <c r="D456" s="1"/>
    </row>
    <row r="457" spans="4:4" x14ac:dyDescent="0.35">
      <c r="D457" s="1"/>
    </row>
    <row r="458" spans="4:4" x14ac:dyDescent="0.35">
      <c r="D458" s="1"/>
    </row>
    <row r="459" spans="4:4" x14ac:dyDescent="0.35">
      <c r="D459" s="1"/>
    </row>
    <row r="460" spans="4:4" x14ac:dyDescent="0.35">
      <c r="D460" s="1"/>
    </row>
    <row r="461" spans="4:4" x14ac:dyDescent="0.35">
      <c r="D461" s="1"/>
    </row>
    <row r="462" spans="4:4" x14ac:dyDescent="0.35">
      <c r="D462" s="1"/>
    </row>
    <row r="463" spans="4:4" x14ac:dyDescent="0.35">
      <c r="D463" s="1"/>
    </row>
    <row r="464" spans="4:4" x14ac:dyDescent="0.35">
      <c r="D464" s="1"/>
    </row>
    <row r="465" spans="4:4" x14ac:dyDescent="0.35">
      <c r="D465" s="1"/>
    </row>
    <row r="466" spans="4:4" x14ac:dyDescent="0.35">
      <c r="D466" s="1"/>
    </row>
    <row r="467" spans="4:4" x14ac:dyDescent="0.35">
      <c r="D467" s="1"/>
    </row>
    <row r="468" spans="4:4" x14ac:dyDescent="0.35">
      <c r="D468" s="1"/>
    </row>
    <row r="469" spans="4:4" x14ac:dyDescent="0.35">
      <c r="D469" s="1"/>
    </row>
    <row r="470" spans="4:4" x14ac:dyDescent="0.35">
      <c r="D470" s="1"/>
    </row>
    <row r="471" spans="4:4" x14ac:dyDescent="0.35">
      <c r="D471" s="1"/>
    </row>
    <row r="472" spans="4:4" x14ac:dyDescent="0.35">
      <c r="D472" s="1"/>
    </row>
    <row r="473" spans="4:4" x14ac:dyDescent="0.35">
      <c r="D473" s="1"/>
    </row>
    <row r="474" spans="4:4" x14ac:dyDescent="0.35">
      <c r="D474" s="1"/>
    </row>
    <row r="475" spans="4:4" x14ac:dyDescent="0.35">
      <c r="D475" s="1"/>
    </row>
    <row r="476" spans="4:4" x14ac:dyDescent="0.35">
      <c r="D476" s="1"/>
    </row>
    <row r="477" spans="4:4" x14ac:dyDescent="0.35">
      <c r="D477" s="1"/>
    </row>
    <row r="478" spans="4:4" x14ac:dyDescent="0.35">
      <c r="D478" s="1"/>
    </row>
    <row r="479" spans="4:4" x14ac:dyDescent="0.35">
      <c r="D479" s="1"/>
    </row>
    <row r="480" spans="4:4" x14ac:dyDescent="0.35">
      <c r="D480" s="1"/>
    </row>
    <row r="481" spans="4:4" x14ac:dyDescent="0.35">
      <c r="D481" s="1"/>
    </row>
    <row r="482" spans="4:4" x14ac:dyDescent="0.35">
      <c r="D482" s="1"/>
    </row>
    <row r="483" spans="4:4" x14ac:dyDescent="0.35">
      <c r="D483" s="1"/>
    </row>
    <row r="484" spans="4:4" x14ac:dyDescent="0.35">
      <c r="D484" s="1"/>
    </row>
    <row r="485" spans="4:4" x14ac:dyDescent="0.35">
      <c r="D485" s="1"/>
    </row>
    <row r="486" spans="4:4" x14ac:dyDescent="0.35">
      <c r="D486" s="1"/>
    </row>
    <row r="487" spans="4:4" x14ac:dyDescent="0.35">
      <c r="D487" s="1"/>
    </row>
    <row r="488" spans="4:4" x14ac:dyDescent="0.35">
      <c r="D488" s="1"/>
    </row>
    <row r="489" spans="4:4" x14ac:dyDescent="0.35">
      <c r="D489" s="1"/>
    </row>
    <row r="490" spans="4:4" x14ac:dyDescent="0.35">
      <c r="D490" s="1"/>
    </row>
    <row r="491" spans="4:4" x14ac:dyDescent="0.35">
      <c r="D491" s="1"/>
    </row>
    <row r="492" spans="4:4" x14ac:dyDescent="0.35">
      <c r="D492" s="1"/>
    </row>
    <row r="493" spans="4:4" x14ac:dyDescent="0.35">
      <c r="D493" s="1"/>
    </row>
    <row r="494" spans="4:4" x14ac:dyDescent="0.35">
      <c r="D494" s="1"/>
    </row>
    <row r="495" spans="4:4" x14ac:dyDescent="0.35">
      <c r="D495" s="1"/>
    </row>
    <row r="496" spans="4:4" x14ac:dyDescent="0.35">
      <c r="D496" s="1"/>
    </row>
    <row r="497" spans="4:4" x14ac:dyDescent="0.35">
      <c r="D497" s="1"/>
    </row>
    <row r="498" spans="4:4" x14ac:dyDescent="0.35">
      <c r="D498" s="1"/>
    </row>
    <row r="499" spans="4:4" x14ac:dyDescent="0.35">
      <c r="D499" s="1"/>
    </row>
    <row r="500" spans="4:4" x14ac:dyDescent="0.35">
      <c r="D500" s="1"/>
    </row>
    <row r="501" spans="4:4" x14ac:dyDescent="0.35">
      <c r="D501" s="1"/>
    </row>
    <row r="502" spans="4:4" x14ac:dyDescent="0.35">
      <c r="D502" s="1"/>
    </row>
    <row r="503" spans="4:4" x14ac:dyDescent="0.35">
      <c r="D503" s="1"/>
    </row>
    <row r="504" spans="4:4" x14ac:dyDescent="0.35">
      <c r="D504" s="1"/>
    </row>
    <row r="505" spans="4:4" x14ac:dyDescent="0.35">
      <c r="D505" s="1"/>
    </row>
    <row r="506" spans="4:4" x14ac:dyDescent="0.35">
      <c r="D506" s="1"/>
    </row>
    <row r="507" spans="4:4" x14ac:dyDescent="0.35">
      <c r="D507" s="1"/>
    </row>
    <row r="508" spans="4:4" x14ac:dyDescent="0.35">
      <c r="D508" s="1"/>
    </row>
    <row r="509" spans="4:4" x14ac:dyDescent="0.35">
      <c r="D509" s="1"/>
    </row>
    <row r="510" spans="4:4" x14ac:dyDescent="0.35">
      <c r="D510" s="1"/>
    </row>
    <row r="511" spans="4:4" x14ac:dyDescent="0.35">
      <c r="D511" s="1"/>
    </row>
    <row r="512" spans="4:4" x14ac:dyDescent="0.35">
      <c r="D512" s="1"/>
    </row>
    <row r="513" spans="4:4" x14ac:dyDescent="0.35">
      <c r="D513" s="1"/>
    </row>
    <row r="514" spans="4:4" x14ac:dyDescent="0.35">
      <c r="D514" s="1"/>
    </row>
    <row r="515" spans="4:4" x14ac:dyDescent="0.35">
      <c r="D515" s="1"/>
    </row>
    <row r="516" spans="4:4" x14ac:dyDescent="0.35">
      <c r="D516" s="1"/>
    </row>
    <row r="517" spans="4:4" x14ac:dyDescent="0.35">
      <c r="D517" s="1"/>
    </row>
    <row r="518" spans="4:4" x14ac:dyDescent="0.35">
      <c r="D518" s="1"/>
    </row>
    <row r="519" spans="4:4" x14ac:dyDescent="0.35">
      <c r="D519" s="1"/>
    </row>
    <row r="520" spans="4:4" x14ac:dyDescent="0.35">
      <c r="D520" s="1"/>
    </row>
    <row r="521" spans="4:4" x14ac:dyDescent="0.35">
      <c r="D521" s="1"/>
    </row>
    <row r="522" spans="4:4" x14ac:dyDescent="0.35">
      <c r="D522" s="1"/>
    </row>
    <row r="523" spans="4:4" x14ac:dyDescent="0.35">
      <c r="D523" s="1"/>
    </row>
    <row r="524" spans="4:4" x14ac:dyDescent="0.35">
      <c r="D524" s="1"/>
    </row>
    <row r="525" spans="4:4" x14ac:dyDescent="0.35">
      <c r="D525" s="1"/>
    </row>
    <row r="526" spans="4:4" x14ac:dyDescent="0.35">
      <c r="D526" s="1"/>
    </row>
    <row r="527" spans="4:4" x14ac:dyDescent="0.35">
      <c r="D527" s="1"/>
    </row>
    <row r="528" spans="4:4" x14ac:dyDescent="0.35">
      <c r="D528" s="1"/>
    </row>
    <row r="529" spans="4:4" x14ac:dyDescent="0.35">
      <c r="D529" s="1"/>
    </row>
    <row r="530" spans="4:4" x14ac:dyDescent="0.35">
      <c r="D530" s="1"/>
    </row>
    <row r="531" spans="4:4" x14ac:dyDescent="0.35">
      <c r="D531" s="1"/>
    </row>
    <row r="532" spans="4:4" x14ac:dyDescent="0.35">
      <c r="D532" s="1"/>
    </row>
    <row r="533" spans="4:4" x14ac:dyDescent="0.35">
      <c r="D533" s="1"/>
    </row>
    <row r="534" spans="4:4" x14ac:dyDescent="0.35">
      <c r="D534" s="1"/>
    </row>
    <row r="535" spans="4:4" x14ac:dyDescent="0.35">
      <c r="D535" s="1"/>
    </row>
    <row r="536" spans="4:4" x14ac:dyDescent="0.35">
      <c r="D536" s="1"/>
    </row>
    <row r="537" spans="4:4" x14ac:dyDescent="0.35">
      <c r="D537" s="1"/>
    </row>
    <row r="538" spans="4:4" x14ac:dyDescent="0.35">
      <c r="D538" s="1"/>
    </row>
    <row r="539" spans="4:4" x14ac:dyDescent="0.35">
      <c r="D539" s="1"/>
    </row>
    <row r="540" spans="4:4" x14ac:dyDescent="0.35">
      <c r="D540" s="1"/>
    </row>
    <row r="541" spans="4:4" x14ac:dyDescent="0.35">
      <c r="D541" s="1"/>
    </row>
    <row r="542" spans="4:4" x14ac:dyDescent="0.35">
      <c r="D542" s="1"/>
    </row>
    <row r="543" spans="4:4" x14ac:dyDescent="0.35">
      <c r="D543" s="1"/>
    </row>
    <row r="544" spans="4:4" x14ac:dyDescent="0.35">
      <c r="D544" s="1"/>
    </row>
    <row r="545" spans="4:4" x14ac:dyDescent="0.35">
      <c r="D545" s="1"/>
    </row>
    <row r="546" spans="4:4" x14ac:dyDescent="0.35">
      <c r="D546" s="1"/>
    </row>
    <row r="547" spans="4:4" x14ac:dyDescent="0.35">
      <c r="D547" s="1"/>
    </row>
    <row r="548" spans="4:4" x14ac:dyDescent="0.35">
      <c r="D548" s="1"/>
    </row>
    <row r="549" spans="4:4" x14ac:dyDescent="0.35">
      <c r="D549" s="1"/>
    </row>
    <row r="550" spans="4:4" x14ac:dyDescent="0.35">
      <c r="D550" s="1"/>
    </row>
    <row r="551" spans="4:4" x14ac:dyDescent="0.35">
      <c r="D551" s="1"/>
    </row>
    <row r="552" spans="4:4" x14ac:dyDescent="0.35">
      <c r="D552" s="1"/>
    </row>
    <row r="553" spans="4:4" x14ac:dyDescent="0.35">
      <c r="D553" s="1"/>
    </row>
    <row r="554" spans="4:4" x14ac:dyDescent="0.35">
      <c r="D554" s="1"/>
    </row>
    <row r="555" spans="4:4" x14ac:dyDescent="0.35">
      <c r="D555" s="1"/>
    </row>
    <row r="556" spans="4:4" x14ac:dyDescent="0.35">
      <c r="D556" s="1"/>
    </row>
    <row r="557" spans="4:4" x14ac:dyDescent="0.35">
      <c r="D557" s="1"/>
    </row>
    <row r="558" spans="4:4" x14ac:dyDescent="0.35">
      <c r="D558" s="1"/>
    </row>
    <row r="559" spans="4:4" x14ac:dyDescent="0.35">
      <c r="D559" s="1"/>
    </row>
    <row r="560" spans="4:4" x14ac:dyDescent="0.35">
      <c r="D560" s="1"/>
    </row>
    <row r="561" spans="4:4" x14ac:dyDescent="0.35">
      <c r="D561" s="1"/>
    </row>
    <row r="562" spans="4:4" x14ac:dyDescent="0.35">
      <c r="D562" s="1"/>
    </row>
    <row r="563" spans="4:4" x14ac:dyDescent="0.35">
      <c r="D563" s="1"/>
    </row>
    <row r="564" spans="4:4" x14ac:dyDescent="0.35">
      <c r="D564" s="1"/>
    </row>
    <row r="565" spans="4:4" x14ac:dyDescent="0.35">
      <c r="D565" s="1"/>
    </row>
    <row r="566" spans="4:4" x14ac:dyDescent="0.35">
      <c r="D566" s="1"/>
    </row>
    <row r="567" spans="4:4" x14ac:dyDescent="0.35">
      <c r="D567" s="1"/>
    </row>
    <row r="568" spans="4:4" x14ac:dyDescent="0.35">
      <c r="D568" s="1"/>
    </row>
    <row r="569" spans="4:4" x14ac:dyDescent="0.35">
      <c r="D569" s="1"/>
    </row>
    <row r="570" spans="4:4" x14ac:dyDescent="0.35">
      <c r="D570" s="1"/>
    </row>
    <row r="571" spans="4:4" x14ac:dyDescent="0.35">
      <c r="D571" s="1"/>
    </row>
    <row r="572" spans="4:4" x14ac:dyDescent="0.35">
      <c r="D572" s="1"/>
    </row>
    <row r="573" spans="4:4" x14ac:dyDescent="0.35">
      <c r="D573" s="1"/>
    </row>
    <row r="574" spans="4:4" x14ac:dyDescent="0.35">
      <c r="D574" s="1"/>
    </row>
    <row r="575" spans="4:4" x14ac:dyDescent="0.35">
      <c r="D575" s="1"/>
    </row>
    <row r="576" spans="4:4" x14ac:dyDescent="0.35">
      <c r="D576" s="1"/>
    </row>
    <row r="577" spans="4:4" x14ac:dyDescent="0.35">
      <c r="D577" s="1"/>
    </row>
    <row r="578" spans="4:4" x14ac:dyDescent="0.35">
      <c r="D578" s="1"/>
    </row>
    <row r="579" spans="4:4" x14ac:dyDescent="0.35">
      <c r="D579" s="1"/>
    </row>
    <row r="580" spans="4:4" x14ac:dyDescent="0.35">
      <c r="D580" s="1"/>
    </row>
    <row r="581" spans="4:4" x14ac:dyDescent="0.35">
      <c r="D581" s="1"/>
    </row>
    <row r="582" spans="4:4" x14ac:dyDescent="0.35">
      <c r="D582" s="1"/>
    </row>
    <row r="583" spans="4:4" x14ac:dyDescent="0.35">
      <c r="D583" s="1"/>
    </row>
    <row r="584" spans="4:4" x14ac:dyDescent="0.35">
      <c r="D584" s="1"/>
    </row>
    <row r="585" spans="4:4" x14ac:dyDescent="0.35">
      <c r="D585" s="1"/>
    </row>
    <row r="586" spans="4:4" x14ac:dyDescent="0.35">
      <c r="D586" s="1"/>
    </row>
    <row r="587" spans="4:4" x14ac:dyDescent="0.35">
      <c r="D587" s="1"/>
    </row>
    <row r="588" spans="4:4" x14ac:dyDescent="0.35">
      <c r="D588" s="1"/>
    </row>
    <row r="589" spans="4:4" x14ac:dyDescent="0.35">
      <c r="D589" s="1"/>
    </row>
    <row r="590" spans="4:4" x14ac:dyDescent="0.35">
      <c r="D590" s="1"/>
    </row>
    <row r="591" spans="4:4" x14ac:dyDescent="0.35">
      <c r="D591" s="1"/>
    </row>
    <row r="592" spans="4:4" x14ac:dyDescent="0.35">
      <c r="D592" s="1"/>
    </row>
    <row r="593" spans="4:4" x14ac:dyDescent="0.35">
      <c r="D593" s="1"/>
    </row>
    <row r="594" spans="4:4" x14ac:dyDescent="0.35">
      <c r="D594" s="1"/>
    </row>
    <row r="595" spans="4:4" x14ac:dyDescent="0.35">
      <c r="D595" s="1"/>
    </row>
    <row r="596" spans="4:4" x14ac:dyDescent="0.35">
      <c r="D596" s="1"/>
    </row>
    <row r="597" spans="4:4" x14ac:dyDescent="0.35">
      <c r="D597" s="1"/>
    </row>
    <row r="598" spans="4:4" x14ac:dyDescent="0.35">
      <c r="D598" s="1"/>
    </row>
    <row r="599" spans="4:4" x14ac:dyDescent="0.35">
      <c r="D599" s="1"/>
    </row>
    <row r="600" spans="4:4" x14ac:dyDescent="0.35">
      <c r="D600" s="1"/>
    </row>
    <row r="601" spans="4:4" x14ac:dyDescent="0.35">
      <c r="D601" s="1"/>
    </row>
    <row r="602" spans="4:4" x14ac:dyDescent="0.35">
      <c r="D602" s="1"/>
    </row>
    <row r="603" spans="4:4" x14ac:dyDescent="0.35">
      <c r="D603" s="1"/>
    </row>
    <row r="604" spans="4:4" x14ac:dyDescent="0.35">
      <c r="D604" s="1"/>
    </row>
    <row r="605" spans="4:4" x14ac:dyDescent="0.35">
      <c r="D605" s="1"/>
    </row>
    <row r="606" spans="4:4" x14ac:dyDescent="0.35">
      <c r="D606" s="1"/>
    </row>
    <row r="607" spans="4:4" x14ac:dyDescent="0.35">
      <c r="D607" s="1"/>
    </row>
    <row r="608" spans="4:4" x14ac:dyDescent="0.35">
      <c r="D608" s="1"/>
    </row>
    <row r="609" spans="4:4" x14ac:dyDescent="0.35">
      <c r="D609" s="1"/>
    </row>
    <row r="610" spans="4:4" x14ac:dyDescent="0.35">
      <c r="D610" s="1"/>
    </row>
    <row r="611" spans="4:4" x14ac:dyDescent="0.35">
      <c r="D611" s="1"/>
    </row>
    <row r="612" spans="4:4" x14ac:dyDescent="0.35">
      <c r="D612" s="1"/>
    </row>
    <row r="613" spans="4:4" x14ac:dyDescent="0.35">
      <c r="D613" s="1"/>
    </row>
    <row r="614" spans="4:4" x14ac:dyDescent="0.35">
      <c r="D614" s="1"/>
    </row>
    <row r="615" spans="4:4" x14ac:dyDescent="0.35">
      <c r="D615" s="1"/>
    </row>
    <row r="616" spans="4:4" x14ac:dyDescent="0.35">
      <c r="D616" s="1"/>
    </row>
    <row r="617" spans="4:4" x14ac:dyDescent="0.35">
      <c r="D617" s="1"/>
    </row>
    <row r="618" spans="4:4" x14ac:dyDescent="0.35">
      <c r="D618" s="1"/>
    </row>
    <row r="619" spans="4:4" x14ac:dyDescent="0.35">
      <c r="D619" s="1"/>
    </row>
    <row r="620" spans="4:4" x14ac:dyDescent="0.35">
      <c r="D620" s="1"/>
    </row>
    <row r="621" spans="4:4" x14ac:dyDescent="0.35">
      <c r="D621" s="1"/>
    </row>
    <row r="622" spans="4:4" x14ac:dyDescent="0.35">
      <c r="D622" s="1"/>
    </row>
    <row r="623" spans="4:4" x14ac:dyDescent="0.35">
      <c r="D623" s="1"/>
    </row>
    <row r="624" spans="4:4" x14ac:dyDescent="0.35">
      <c r="D624" s="1"/>
    </row>
    <row r="625" spans="4:4" x14ac:dyDescent="0.35">
      <c r="D625" s="1"/>
    </row>
    <row r="626" spans="4:4" x14ac:dyDescent="0.35">
      <c r="D626" s="1"/>
    </row>
    <row r="627" spans="4:4" x14ac:dyDescent="0.35">
      <c r="D627" s="1"/>
    </row>
    <row r="628" spans="4:4" x14ac:dyDescent="0.35">
      <c r="D628" s="1"/>
    </row>
    <row r="629" spans="4:4" x14ac:dyDescent="0.35">
      <c r="D629" s="1"/>
    </row>
    <row r="630" spans="4:4" x14ac:dyDescent="0.35">
      <c r="D630" s="1"/>
    </row>
    <row r="631" spans="4:4" x14ac:dyDescent="0.35">
      <c r="D631" s="1"/>
    </row>
    <row r="632" spans="4:4" x14ac:dyDescent="0.35">
      <c r="D632" s="1"/>
    </row>
    <row r="633" spans="4:4" x14ac:dyDescent="0.35">
      <c r="D633" s="1"/>
    </row>
    <row r="634" spans="4:4" x14ac:dyDescent="0.35">
      <c r="D634" s="1"/>
    </row>
    <row r="635" spans="4:4" x14ac:dyDescent="0.35">
      <c r="D635" s="1"/>
    </row>
    <row r="636" spans="4:4" x14ac:dyDescent="0.35">
      <c r="D636" s="1"/>
    </row>
    <row r="637" spans="4:4" x14ac:dyDescent="0.35">
      <c r="D637" s="1"/>
    </row>
    <row r="638" spans="4:4" x14ac:dyDescent="0.35">
      <c r="D638" s="1"/>
    </row>
    <row r="639" spans="4:4" x14ac:dyDescent="0.35">
      <c r="D639" s="1"/>
    </row>
    <row r="640" spans="4:4" x14ac:dyDescent="0.35">
      <c r="D640" s="1"/>
    </row>
    <row r="641" spans="4:4" x14ac:dyDescent="0.35">
      <c r="D641" s="1"/>
    </row>
    <row r="642" spans="4:4" x14ac:dyDescent="0.35">
      <c r="D642" s="1"/>
    </row>
    <row r="643" spans="4:4" x14ac:dyDescent="0.35">
      <c r="D643" s="1"/>
    </row>
    <row r="644" spans="4:4" x14ac:dyDescent="0.35">
      <c r="D644" s="1"/>
    </row>
    <row r="645" spans="4:4" x14ac:dyDescent="0.35">
      <c r="D645" s="1"/>
    </row>
    <row r="646" spans="4:4" x14ac:dyDescent="0.35">
      <c r="D646" s="1"/>
    </row>
    <row r="647" spans="4:4" x14ac:dyDescent="0.35">
      <c r="D647" s="1"/>
    </row>
    <row r="648" spans="4:4" x14ac:dyDescent="0.35">
      <c r="D648" s="1"/>
    </row>
    <row r="649" spans="4:4" x14ac:dyDescent="0.35">
      <c r="D649" s="1"/>
    </row>
    <row r="650" spans="4:4" x14ac:dyDescent="0.35">
      <c r="D650" s="1"/>
    </row>
    <row r="651" spans="4:4" x14ac:dyDescent="0.35">
      <c r="D651" s="1"/>
    </row>
    <row r="652" spans="4:4" x14ac:dyDescent="0.35">
      <c r="D652" s="1"/>
    </row>
    <row r="653" spans="4:4" x14ac:dyDescent="0.35">
      <c r="D653" s="1"/>
    </row>
    <row r="654" spans="4:4" x14ac:dyDescent="0.35">
      <c r="D654" s="1"/>
    </row>
    <row r="655" spans="4:4" x14ac:dyDescent="0.35">
      <c r="D655" s="1"/>
    </row>
    <row r="656" spans="4:4" x14ac:dyDescent="0.35">
      <c r="D656" s="1"/>
    </row>
    <row r="657" spans="4:4" x14ac:dyDescent="0.35">
      <c r="D657" s="1"/>
    </row>
    <row r="658" spans="4:4" x14ac:dyDescent="0.35">
      <c r="D658" s="1"/>
    </row>
    <row r="659" spans="4:4" x14ac:dyDescent="0.35">
      <c r="D659" s="1"/>
    </row>
    <row r="660" spans="4:4" x14ac:dyDescent="0.35">
      <c r="D660" s="1"/>
    </row>
    <row r="661" spans="4:4" x14ac:dyDescent="0.35">
      <c r="D661" s="1"/>
    </row>
    <row r="662" spans="4:4" x14ac:dyDescent="0.35">
      <c r="D662" s="1"/>
    </row>
    <row r="663" spans="4:4" x14ac:dyDescent="0.35">
      <c r="D663" s="1"/>
    </row>
    <row r="664" spans="4:4" x14ac:dyDescent="0.35">
      <c r="D664" s="1"/>
    </row>
    <row r="665" spans="4:4" x14ac:dyDescent="0.35">
      <c r="D665" s="1"/>
    </row>
    <row r="666" spans="4:4" x14ac:dyDescent="0.35">
      <c r="D666" s="1"/>
    </row>
    <row r="667" spans="4:4" x14ac:dyDescent="0.35">
      <c r="D667" s="1"/>
    </row>
    <row r="668" spans="4:4" x14ac:dyDescent="0.35">
      <c r="D668" s="1"/>
    </row>
    <row r="669" spans="4:4" x14ac:dyDescent="0.35">
      <c r="D669" s="1"/>
    </row>
    <row r="670" spans="4:4" x14ac:dyDescent="0.35">
      <c r="D670" s="1"/>
    </row>
    <row r="671" spans="4:4" x14ac:dyDescent="0.35">
      <c r="D671" s="1"/>
    </row>
    <row r="672" spans="4:4" x14ac:dyDescent="0.35">
      <c r="D672" s="1"/>
    </row>
    <row r="673" spans="4:4" x14ac:dyDescent="0.35">
      <c r="D673" s="1"/>
    </row>
    <row r="674" spans="4:4" x14ac:dyDescent="0.35">
      <c r="D674" s="1"/>
    </row>
    <row r="675" spans="4:4" x14ac:dyDescent="0.35">
      <c r="D675" s="1"/>
    </row>
    <row r="676" spans="4:4" x14ac:dyDescent="0.35">
      <c r="D676" s="1"/>
    </row>
    <row r="677" spans="4:4" x14ac:dyDescent="0.35">
      <c r="D677" s="1"/>
    </row>
    <row r="678" spans="4:4" x14ac:dyDescent="0.35">
      <c r="D678" s="1"/>
    </row>
    <row r="679" spans="4:4" x14ac:dyDescent="0.35">
      <c r="D679" s="1"/>
    </row>
    <row r="680" spans="4:4" x14ac:dyDescent="0.35">
      <c r="D680" s="1"/>
    </row>
    <row r="681" spans="4:4" x14ac:dyDescent="0.35">
      <c r="D681" s="1"/>
    </row>
    <row r="682" spans="4:4" x14ac:dyDescent="0.35">
      <c r="D682" s="1"/>
    </row>
    <row r="683" spans="4:4" x14ac:dyDescent="0.35">
      <c r="D683" s="1"/>
    </row>
    <row r="684" spans="4:4" x14ac:dyDescent="0.35">
      <c r="D684" s="1"/>
    </row>
    <row r="685" spans="4:4" x14ac:dyDescent="0.35">
      <c r="D685" s="1"/>
    </row>
    <row r="686" spans="4:4" x14ac:dyDescent="0.35">
      <c r="D686" s="1"/>
    </row>
    <row r="687" spans="4:4" x14ac:dyDescent="0.35">
      <c r="D687" s="1"/>
    </row>
    <row r="688" spans="4:4" x14ac:dyDescent="0.35">
      <c r="D688" s="1"/>
    </row>
    <row r="689" spans="4:4" x14ac:dyDescent="0.35">
      <c r="D689" s="1"/>
    </row>
    <row r="690" spans="4:4" x14ac:dyDescent="0.35">
      <c r="D690" s="1"/>
    </row>
    <row r="691" spans="4:4" x14ac:dyDescent="0.35">
      <c r="D691" s="1"/>
    </row>
    <row r="692" spans="4:4" x14ac:dyDescent="0.35">
      <c r="D692" s="1"/>
    </row>
    <row r="693" spans="4:4" x14ac:dyDescent="0.35">
      <c r="D693" s="1"/>
    </row>
    <row r="694" spans="4:4" x14ac:dyDescent="0.35">
      <c r="D694" s="1"/>
    </row>
    <row r="695" spans="4:4" x14ac:dyDescent="0.35">
      <c r="D695" s="1"/>
    </row>
    <row r="696" spans="4:4" x14ac:dyDescent="0.35">
      <c r="D696" s="1"/>
    </row>
    <row r="697" spans="4:4" x14ac:dyDescent="0.35">
      <c r="D697" s="1"/>
    </row>
    <row r="698" spans="4:4" x14ac:dyDescent="0.35">
      <c r="D698" s="1"/>
    </row>
    <row r="699" spans="4:4" x14ac:dyDescent="0.35">
      <c r="D699" s="1"/>
    </row>
    <row r="700" spans="4:4" x14ac:dyDescent="0.35">
      <c r="D700" s="1"/>
    </row>
    <row r="701" spans="4:4" x14ac:dyDescent="0.35">
      <c r="D701" s="1"/>
    </row>
    <row r="702" spans="4:4" x14ac:dyDescent="0.35">
      <c r="D702" s="1"/>
    </row>
    <row r="703" spans="4:4" x14ac:dyDescent="0.35">
      <c r="D703" s="1"/>
    </row>
    <row r="704" spans="4:4" x14ac:dyDescent="0.35">
      <c r="D704" s="1"/>
    </row>
    <row r="705" spans="4:4" x14ac:dyDescent="0.35">
      <c r="D705" s="1"/>
    </row>
    <row r="706" spans="4:4" x14ac:dyDescent="0.35">
      <c r="D706" s="1"/>
    </row>
    <row r="707" spans="4:4" x14ac:dyDescent="0.35">
      <c r="D707" s="1"/>
    </row>
    <row r="708" spans="4:4" x14ac:dyDescent="0.35">
      <c r="D708" s="1"/>
    </row>
    <row r="709" spans="4:4" x14ac:dyDescent="0.35">
      <c r="D709" s="1"/>
    </row>
    <row r="710" spans="4:4" x14ac:dyDescent="0.35">
      <c r="D710" s="1"/>
    </row>
    <row r="711" spans="4:4" x14ac:dyDescent="0.35">
      <c r="D711" s="1"/>
    </row>
    <row r="712" spans="4:4" x14ac:dyDescent="0.35">
      <c r="D712" s="1"/>
    </row>
    <row r="713" spans="4:4" x14ac:dyDescent="0.35">
      <c r="D713" s="1"/>
    </row>
    <row r="714" spans="4:4" x14ac:dyDescent="0.35">
      <c r="D714" s="1"/>
    </row>
    <row r="715" spans="4:4" x14ac:dyDescent="0.35">
      <c r="D715" s="1"/>
    </row>
    <row r="716" spans="4:4" x14ac:dyDescent="0.35">
      <c r="D716" s="1"/>
    </row>
    <row r="717" spans="4:4" x14ac:dyDescent="0.35">
      <c r="D717" s="1"/>
    </row>
    <row r="718" spans="4:4" x14ac:dyDescent="0.35">
      <c r="D718" s="1"/>
    </row>
    <row r="719" spans="4:4" x14ac:dyDescent="0.35">
      <c r="D719" s="1"/>
    </row>
    <row r="720" spans="4:4" x14ac:dyDescent="0.35">
      <c r="D720" s="1"/>
    </row>
    <row r="721" spans="4:4" x14ac:dyDescent="0.35">
      <c r="D721" s="1"/>
    </row>
    <row r="722" spans="4:4" x14ac:dyDescent="0.35">
      <c r="D722" s="1"/>
    </row>
    <row r="723" spans="4:4" x14ac:dyDescent="0.35">
      <c r="D723" s="1"/>
    </row>
    <row r="724" spans="4:4" x14ac:dyDescent="0.35">
      <c r="D724" s="1"/>
    </row>
    <row r="725" spans="4:4" x14ac:dyDescent="0.35">
      <c r="D725" s="1"/>
    </row>
    <row r="726" spans="4:4" x14ac:dyDescent="0.35">
      <c r="D726" s="1"/>
    </row>
    <row r="727" spans="4:4" x14ac:dyDescent="0.35">
      <c r="D727" s="1"/>
    </row>
    <row r="728" spans="4:4" x14ac:dyDescent="0.35">
      <c r="D728" s="1"/>
    </row>
    <row r="729" spans="4:4" x14ac:dyDescent="0.35">
      <c r="D729" s="1"/>
    </row>
    <row r="730" spans="4:4" x14ac:dyDescent="0.35">
      <c r="D730" s="1"/>
    </row>
    <row r="731" spans="4:4" x14ac:dyDescent="0.35">
      <c r="D731" s="1"/>
    </row>
    <row r="732" spans="4:4" x14ac:dyDescent="0.35">
      <c r="D732" s="1"/>
    </row>
    <row r="733" spans="4:4" x14ac:dyDescent="0.35">
      <c r="D733" s="1"/>
    </row>
    <row r="734" spans="4:4" x14ac:dyDescent="0.35">
      <c r="D734" s="1"/>
    </row>
    <row r="735" spans="4:4" x14ac:dyDescent="0.35">
      <c r="D735" s="1"/>
    </row>
    <row r="736" spans="4:4" x14ac:dyDescent="0.35">
      <c r="D736" s="1"/>
    </row>
    <row r="737" spans="4:4" x14ac:dyDescent="0.35">
      <c r="D737" s="1"/>
    </row>
    <row r="738" spans="4:4" x14ac:dyDescent="0.35">
      <c r="D738" s="1"/>
    </row>
    <row r="739" spans="4:4" x14ac:dyDescent="0.35">
      <c r="D739" s="1"/>
    </row>
    <row r="740" spans="4:4" x14ac:dyDescent="0.35">
      <c r="D740" s="1"/>
    </row>
    <row r="741" spans="4:4" x14ac:dyDescent="0.35">
      <c r="D741" s="1"/>
    </row>
    <row r="742" spans="4:4" x14ac:dyDescent="0.35">
      <c r="D742" s="1"/>
    </row>
    <row r="743" spans="4:4" x14ac:dyDescent="0.35">
      <c r="D743" s="1"/>
    </row>
    <row r="744" spans="4:4" x14ac:dyDescent="0.35">
      <c r="D744" s="1"/>
    </row>
    <row r="745" spans="4:4" x14ac:dyDescent="0.35">
      <c r="D745" s="1"/>
    </row>
    <row r="746" spans="4:4" x14ac:dyDescent="0.35">
      <c r="D746" s="1"/>
    </row>
    <row r="747" spans="4:4" x14ac:dyDescent="0.35">
      <c r="D747" s="1"/>
    </row>
    <row r="748" spans="4:4" x14ac:dyDescent="0.35">
      <c r="D748" s="1"/>
    </row>
    <row r="749" spans="4:4" x14ac:dyDescent="0.35">
      <c r="D749" s="1"/>
    </row>
    <row r="750" spans="4:4" x14ac:dyDescent="0.35">
      <c r="D750" s="1"/>
    </row>
    <row r="751" spans="4:4" x14ac:dyDescent="0.35">
      <c r="D751" s="1"/>
    </row>
    <row r="752" spans="4:4" x14ac:dyDescent="0.35">
      <c r="D752" s="1"/>
    </row>
    <row r="753" spans="4:4" x14ac:dyDescent="0.35">
      <c r="D753" s="1"/>
    </row>
    <row r="754" spans="4:4" x14ac:dyDescent="0.35">
      <c r="D754" s="1"/>
    </row>
    <row r="755" spans="4:4" x14ac:dyDescent="0.35">
      <c r="D755" s="1"/>
    </row>
    <row r="756" spans="4:4" x14ac:dyDescent="0.35">
      <c r="D756" s="1"/>
    </row>
    <row r="757" spans="4:4" x14ac:dyDescent="0.35">
      <c r="D757" s="1"/>
    </row>
    <row r="758" spans="4:4" x14ac:dyDescent="0.35">
      <c r="D758" s="1"/>
    </row>
    <row r="759" spans="4:4" x14ac:dyDescent="0.35">
      <c r="D759" s="1"/>
    </row>
    <row r="760" spans="4:4" x14ac:dyDescent="0.35">
      <c r="D760" s="1"/>
    </row>
    <row r="761" spans="4:4" x14ac:dyDescent="0.35">
      <c r="D761" s="1"/>
    </row>
    <row r="762" spans="4:4" x14ac:dyDescent="0.35">
      <c r="D762" s="1"/>
    </row>
    <row r="763" spans="4:4" x14ac:dyDescent="0.35">
      <c r="D763" s="1"/>
    </row>
    <row r="764" spans="4:4" x14ac:dyDescent="0.35">
      <c r="D764" s="1"/>
    </row>
    <row r="765" spans="4:4" x14ac:dyDescent="0.35">
      <c r="D765" s="1"/>
    </row>
    <row r="766" spans="4:4" x14ac:dyDescent="0.35">
      <c r="D766" s="1"/>
    </row>
    <row r="767" spans="4:4" x14ac:dyDescent="0.35">
      <c r="D767" s="1"/>
    </row>
    <row r="768" spans="4:4" x14ac:dyDescent="0.35">
      <c r="D768" s="1"/>
    </row>
    <row r="769" spans="4:4" x14ac:dyDescent="0.35">
      <c r="D769" s="1"/>
    </row>
    <row r="770" spans="4:4" x14ac:dyDescent="0.35">
      <c r="D770" s="1"/>
    </row>
    <row r="771" spans="4:4" x14ac:dyDescent="0.35">
      <c r="D771" s="1"/>
    </row>
    <row r="772" spans="4:4" x14ac:dyDescent="0.35">
      <c r="D772" s="1"/>
    </row>
    <row r="773" spans="4:4" x14ac:dyDescent="0.35">
      <c r="D773" s="1"/>
    </row>
    <row r="774" spans="4:4" x14ac:dyDescent="0.35">
      <c r="D774" s="1"/>
    </row>
    <row r="775" spans="4:4" x14ac:dyDescent="0.35">
      <c r="D775" s="1"/>
    </row>
    <row r="776" spans="4:4" x14ac:dyDescent="0.35">
      <c r="D776" s="1"/>
    </row>
    <row r="777" spans="4:4" x14ac:dyDescent="0.35">
      <c r="D777" s="1"/>
    </row>
    <row r="778" spans="4:4" x14ac:dyDescent="0.35">
      <c r="D778" s="1"/>
    </row>
    <row r="779" spans="4:4" x14ac:dyDescent="0.35">
      <c r="D779" s="1"/>
    </row>
    <row r="780" spans="4:4" x14ac:dyDescent="0.35">
      <c r="D780" s="1"/>
    </row>
    <row r="781" spans="4:4" x14ac:dyDescent="0.35">
      <c r="D781" s="1"/>
    </row>
    <row r="782" spans="4:4" x14ac:dyDescent="0.35">
      <c r="D782" s="1"/>
    </row>
    <row r="783" spans="4:4" x14ac:dyDescent="0.35">
      <c r="D783" s="1"/>
    </row>
    <row r="784" spans="4:4" x14ac:dyDescent="0.35">
      <c r="D784" s="1"/>
    </row>
    <row r="785" spans="4:4" x14ac:dyDescent="0.35">
      <c r="D785" s="1"/>
    </row>
    <row r="786" spans="4:4" x14ac:dyDescent="0.35">
      <c r="D786" s="1"/>
    </row>
    <row r="787" spans="4:4" x14ac:dyDescent="0.35">
      <c r="D787" s="1"/>
    </row>
    <row r="788" spans="4:4" x14ac:dyDescent="0.35">
      <c r="D788" s="1"/>
    </row>
    <row r="789" spans="4:4" x14ac:dyDescent="0.35">
      <c r="D789" s="1"/>
    </row>
    <row r="790" spans="4:4" x14ac:dyDescent="0.35">
      <c r="D790" s="1"/>
    </row>
    <row r="791" spans="4:4" x14ac:dyDescent="0.35">
      <c r="D791" s="1"/>
    </row>
    <row r="792" spans="4:4" x14ac:dyDescent="0.35">
      <c r="D792" s="1"/>
    </row>
    <row r="793" spans="4:4" x14ac:dyDescent="0.35">
      <c r="D793" s="1"/>
    </row>
    <row r="794" spans="4:4" x14ac:dyDescent="0.35">
      <c r="D794" s="1"/>
    </row>
    <row r="795" spans="4:4" x14ac:dyDescent="0.35">
      <c r="D795" s="1"/>
    </row>
    <row r="796" spans="4:4" x14ac:dyDescent="0.35">
      <c r="D796" s="1"/>
    </row>
    <row r="797" spans="4:4" x14ac:dyDescent="0.35">
      <c r="D797" s="1"/>
    </row>
    <row r="798" spans="4:4" x14ac:dyDescent="0.35">
      <c r="D798" s="1"/>
    </row>
    <row r="799" spans="4:4" x14ac:dyDescent="0.35">
      <c r="D799" s="1"/>
    </row>
    <row r="800" spans="4:4" x14ac:dyDescent="0.35">
      <c r="D800" s="1"/>
    </row>
    <row r="801" spans="4:4" x14ac:dyDescent="0.35">
      <c r="D801" s="1"/>
    </row>
    <row r="802" spans="4:4" x14ac:dyDescent="0.35">
      <c r="D802" s="1"/>
    </row>
    <row r="803" spans="4:4" x14ac:dyDescent="0.35">
      <c r="D803" s="1"/>
    </row>
    <row r="804" spans="4:4" x14ac:dyDescent="0.35">
      <c r="D804" s="1"/>
    </row>
    <row r="805" spans="4:4" x14ac:dyDescent="0.35">
      <c r="D805" s="1"/>
    </row>
    <row r="806" spans="4:4" x14ac:dyDescent="0.35">
      <c r="D806" s="1"/>
    </row>
    <row r="807" spans="4:4" x14ac:dyDescent="0.35">
      <c r="D807" s="1"/>
    </row>
    <row r="808" spans="4:4" x14ac:dyDescent="0.35">
      <c r="D808" s="1"/>
    </row>
    <row r="809" spans="4:4" x14ac:dyDescent="0.35">
      <c r="D809" s="1"/>
    </row>
    <row r="810" spans="4:4" x14ac:dyDescent="0.35">
      <c r="D810" s="1"/>
    </row>
    <row r="811" spans="4:4" x14ac:dyDescent="0.35">
      <c r="D811" s="1"/>
    </row>
    <row r="812" spans="4:4" x14ac:dyDescent="0.35">
      <c r="D812" s="1"/>
    </row>
    <row r="813" spans="4:4" x14ac:dyDescent="0.35">
      <c r="D813" s="1"/>
    </row>
    <row r="814" spans="4:4" x14ac:dyDescent="0.35">
      <c r="D814" s="1"/>
    </row>
    <row r="815" spans="4:4" x14ac:dyDescent="0.35">
      <c r="D815" s="1"/>
    </row>
    <row r="816" spans="4:4" x14ac:dyDescent="0.35">
      <c r="D816" s="1"/>
    </row>
    <row r="817" spans="4:4" x14ac:dyDescent="0.35">
      <c r="D817" s="1"/>
    </row>
    <row r="818" spans="4:4" x14ac:dyDescent="0.35">
      <c r="D818" s="1"/>
    </row>
    <row r="819" spans="4:4" x14ac:dyDescent="0.35">
      <c r="D819" s="1"/>
    </row>
    <row r="820" spans="4:4" x14ac:dyDescent="0.35">
      <c r="D820" s="1"/>
    </row>
    <row r="821" spans="4:4" x14ac:dyDescent="0.35">
      <c r="D821" s="1"/>
    </row>
    <row r="822" spans="4:4" x14ac:dyDescent="0.35">
      <c r="D822" s="1"/>
    </row>
    <row r="823" spans="4:4" x14ac:dyDescent="0.35">
      <c r="D823" s="1"/>
    </row>
    <row r="824" spans="4:4" x14ac:dyDescent="0.35">
      <c r="D824" s="1"/>
    </row>
    <row r="825" spans="4:4" x14ac:dyDescent="0.35">
      <c r="D825" s="1"/>
    </row>
    <row r="826" spans="4:4" x14ac:dyDescent="0.35">
      <c r="D826" s="1"/>
    </row>
    <row r="827" spans="4:4" x14ac:dyDescent="0.35">
      <c r="D827" s="1"/>
    </row>
    <row r="828" spans="4:4" x14ac:dyDescent="0.35">
      <c r="D828" s="1"/>
    </row>
    <row r="829" spans="4:4" x14ac:dyDescent="0.35">
      <c r="D829" s="1"/>
    </row>
    <row r="830" spans="4:4" x14ac:dyDescent="0.35">
      <c r="D830" s="1"/>
    </row>
    <row r="831" spans="4:4" x14ac:dyDescent="0.35">
      <c r="D831" s="1"/>
    </row>
    <row r="832" spans="4:4" x14ac:dyDescent="0.35">
      <c r="D832" s="1"/>
    </row>
    <row r="833" spans="4:4" x14ac:dyDescent="0.35">
      <c r="D833" s="1"/>
    </row>
    <row r="834" spans="4:4" x14ac:dyDescent="0.35">
      <c r="D834" s="1"/>
    </row>
    <row r="835" spans="4:4" x14ac:dyDescent="0.35">
      <c r="D835" s="1"/>
    </row>
    <row r="836" spans="4:4" x14ac:dyDescent="0.35">
      <c r="D836" s="1"/>
    </row>
    <row r="837" spans="4:4" x14ac:dyDescent="0.35">
      <c r="D837" s="1"/>
    </row>
    <row r="838" spans="4:4" x14ac:dyDescent="0.35">
      <c r="D838" s="1"/>
    </row>
    <row r="839" spans="4:4" x14ac:dyDescent="0.35">
      <c r="D839" s="1"/>
    </row>
    <row r="840" spans="4:4" x14ac:dyDescent="0.35">
      <c r="D840" s="1"/>
    </row>
    <row r="841" spans="4:4" x14ac:dyDescent="0.35">
      <c r="D841" s="1"/>
    </row>
    <row r="842" spans="4:4" x14ac:dyDescent="0.35">
      <c r="D842" s="1"/>
    </row>
    <row r="843" spans="4:4" x14ac:dyDescent="0.35">
      <c r="D843" s="1"/>
    </row>
    <row r="844" spans="4:4" x14ac:dyDescent="0.35">
      <c r="D844" s="1"/>
    </row>
    <row r="845" spans="4:4" x14ac:dyDescent="0.35">
      <c r="D845" s="1"/>
    </row>
    <row r="846" spans="4:4" x14ac:dyDescent="0.35">
      <c r="D846" s="1"/>
    </row>
    <row r="847" spans="4:4" x14ac:dyDescent="0.35">
      <c r="D847" s="1"/>
    </row>
    <row r="848" spans="4:4" x14ac:dyDescent="0.35">
      <c r="D848" s="1"/>
    </row>
    <row r="849" spans="4:4" x14ac:dyDescent="0.35">
      <c r="D849" s="1"/>
    </row>
    <row r="850" spans="4:4" x14ac:dyDescent="0.35">
      <c r="D850" s="1"/>
    </row>
    <row r="851" spans="4:4" x14ac:dyDescent="0.35">
      <c r="D851" s="1"/>
    </row>
    <row r="852" spans="4:4" x14ac:dyDescent="0.35">
      <c r="D852" s="1"/>
    </row>
    <row r="853" spans="4:4" x14ac:dyDescent="0.35">
      <c r="D853" s="1"/>
    </row>
    <row r="854" spans="4:4" x14ac:dyDescent="0.35">
      <c r="D854" s="1"/>
    </row>
    <row r="855" spans="4:4" x14ac:dyDescent="0.35">
      <c r="D855" s="1"/>
    </row>
    <row r="856" spans="4:4" x14ac:dyDescent="0.35">
      <c r="D856" s="1"/>
    </row>
    <row r="857" spans="4:4" x14ac:dyDescent="0.35">
      <c r="D857" s="1"/>
    </row>
    <row r="858" spans="4:4" x14ac:dyDescent="0.35">
      <c r="D858" s="1"/>
    </row>
    <row r="859" spans="4:4" x14ac:dyDescent="0.35">
      <c r="D859" s="1"/>
    </row>
    <row r="860" spans="4:4" x14ac:dyDescent="0.35">
      <c r="D860" s="1"/>
    </row>
    <row r="861" spans="4:4" x14ac:dyDescent="0.35">
      <c r="D861" s="1"/>
    </row>
    <row r="862" spans="4:4" x14ac:dyDescent="0.35">
      <c r="D862" s="1"/>
    </row>
    <row r="863" spans="4:4" x14ac:dyDescent="0.35">
      <c r="D863" s="1"/>
    </row>
    <row r="864" spans="4:4" x14ac:dyDescent="0.35">
      <c r="D864" s="1"/>
    </row>
    <row r="865" spans="4:4" x14ac:dyDescent="0.35">
      <c r="D865" s="1"/>
    </row>
    <row r="866" spans="4:4" x14ac:dyDescent="0.35">
      <c r="D866" s="1"/>
    </row>
    <row r="867" spans="4:4" x14ac:dyDescent="0.35">
      <c r="D867" s="1"/>
    </row>
    <row r="868" spans="4:4" x14ac:dyDescent="0.35">
      <c r="D868" s="1"/>
    </row>
    <row r="869" spans="4:4" x14ac:dyDescent="0.35">
      <c r="D869" s="1"/>
    </row>
    <row r="870" spans="4:4" x14ac:dyDescent="0.35">
      <c r="D870" s="1"/>
    </row>
    <row r="871" spans="4:4" x14ac:dyDescent="0.35">
      <c r="D871" s="1"/>
    </row>
    <row r="872" spans="4:4" x14ac:dyDescent="0.35">
      <c r="D872" s="1"/>
    </row>
    <row r="873" spans="4:4" x14ac:dyDescent="0.35">
      <c r="D873" s="1"/>
    </row>
    <row r="874" spans="4:4" x14ac:dyDescent="0.35">
      <c r="D874" s="1"/>
    </row>
    <row r="875" spans="4:4" x14ac:dyDescent="0.35">
      <c r="D875" s="1"/>
    </row>
    <row r="876" spans="4:4" x14ac:dyDescent="0.35">
      <c r="D876" s="1"/>
    </row>
    <row r="877" spans="4:4" x14ac:dyDescent="0.35">
      <c r="D877" s="1"/>
    </row>
    <row r="878" spans="4:4" x14ac:dyDescent="0.35">
      <c r="D878" s="1"/>
    </row>
    <row r="879" spans="4:4" x14ac:dyDescent="0.35">
      <c r="D879" s="1"/>
    </row>
    <row r="880" spans="4:4" x14ac:dyDescent="0.35">
      <c r="D880" s="1"/>
    </row>
    <row r="881" spans="4:4" x14ac:dyDescent="0.35">
      <c r="D881" s="1"/>
    </row>
    <row r="882" spans="4:4" x14ac:dyDescent="0.35">
      <c r="D882" s="1"/>
    </row>
    <row r="883" spans="4:4" x14ac:dyDescent="0.35">
      <c r="D883" s="1"/>
    </row>
    <row r="884" spans="4:4" x14ac:dyDescent="0.35">
      <c r="D884" s="1"/>
    </row>
    <row r="885" spans="4:4" x14ac:dyDescent="0.35">
      <c r="D885" s="1"/>
    </row>
    <row r="886" spans="4:4" x14ac:dyDescent="0.35">
      <c r="D886" s="1"/>
    </row>
    <row r="887" spans="4:4" x14ac:dyDescent="0.35">
      <c r="D887" s="1"/>
    </row>
    <row r="888" spans="4:4" x14ac:dyDescent="0.35">
      <c r="D888" s="1"/>
    </row>
    <row r="889" spans="4:4" x14ac:dyDescent="0.35">
      <c r="D889" s="1"/>
    </row>
    <row r="890" spans="4:4" x14ac:dyDescent="0.35">
      <c r="D890" s="1"/>
    </row>
    <row r="891" spans="4:4" x14ac:dyDescent="0.35">
      <c r="D891" s="1"/>
    </row>
    <row r="892" spans="4:4" x14ac:dyDescent="0.35">
      <c r="D892" s="1"/>
    </row>
    <row r="893" spans="4:4" x14ac:dyDescent="0.35">
      <c r="D893" s="1"/>
    </row>
    <row r="894" spans="4:4" x14ac:dyDescent="0.35">
      <c r="D894" s="1"/>
    </row>
    <row r="895" spans="4:4" x14ac:dyDescent="0.35">
      <c r="D895" s="1"/>
    </row>
    <row r="896" spans="4:4" x14ac:dyDescent="0.35">
      <c r="D896" s="1"/>
    </row>
    <row r="897" spans="4:4" x14ac:dyDescent="0.35">
      <c r="D897" s="1"/>
    </row>
    <row r="898" spans="4:4" x14ac:dyDescent="0.35">
      <c r="D898" s="1"/>
    </row>
    <row r="899" spans="4:4" x14ac:dyDescent="0.35">
      <c r="D899" s="1"/>
    </row>
    <row r="900" spans="4:4" x14ac:dyDescent="0.35">
      <c r="D900" s="1"/>
    </row>
    <row r="901" spans="4:4" x14ac:dyDescent="0.35">
      <c r="D901" s="1"/>
    </row>
    <row r="902" spans="4:4" x14ac:dyDescent="0.35">
      <c r="D902" s="1"/>
    </row>
    <row r="903" spans="4:4" x14ac:dyDescent="0.35">
      <c r="D903" s="1"/>
    </row>
    <row r="904" spans="4:4" x14ac:dyDescent="0.35">
      <c r="D904" s="1"/>
    </row>
    <row r="905" spans="4:4" x14ac:dyDescent="0.35">
      <c r="D905" s="1"/>
    </row>
    <row r="906" spans="4:4" x14ac:dyDescent="0.35">
      <c r="D906" s="1"/>
    </row>
    <row r="907" spans="4:4" x14ac:dyDescent="0.35">
      <c r="D907" s="1"/>
    </row>
    <row r="908" spans="4:4" x14ac:dyDescent="0.35">
      <c r="D908" s="1"/>
    </row>
    <row r="909" spans="4:4" x14ac:dyDescent="0.35">
      <c r="D909" s="1"/>
    </row>
    <row r="910" spans="4:4" x14ac:dyDescent="0.35">
      <c r="D910" s="1"/>
    </row>
    <row r="911" spans="4:4" x14ac:dyDescent="0.35">
      <c r="D911" s="1"/>
    </row>
    <row r="912" spans="4:4" x14ac:dyDescent="0.35">
      <c r="D912" s="1"/>
    </row>
    <row r="913" spans="4:4" x14ac:dyDescent="0.35">
      <c r="D913" s="1"/>
    </row>
    <row r="914" spans="4:4" x14ac:dyDescent="0.35">
      <c r="D914" s="1"/>
    </row>
    <row r="915" spans="4:4" x14ac:dyDescent="0.35">
      <c r="D915" s="1"/>
    </row>
    <row r="916" spans="4:4" x14ac:dyDescent="0.35">
      <c r="D916" s="1"/>
    </row>
    <row r="917" spans="4:4" x14ac:dyDescent="0.35">
      <c r="D917" s="1"/>
    </row>
    <row r="918" spans="4:4" x14ac:dyDescent="0.35">
      <c r="D918" s="1"/>
    </row>
    <row r="919" spans="4:4" x14ac:dyDescent="0.35">
      <c r="D919" s="1"/>
    </row>
    <row r="920" spans="4:4" x14ac:dyDescent="0.35">
      <c r="D920" s="1"/>
    </row>
    <row r="921" spans="4:4" x14ac:dyDescent="0.35">
      <c r="D921" s="1"/>
    </row>
    <row r="922" spans="4:4" x14ac:dyDescent="0.35">
      <c r="D922" s="1"/>
    </row>
    <row r="923" spans="4:4" x14ac:dyDescent="0.35">
      <c r="D923" s="1"/>
    </row>
    <row r="924" spans="4:4" x14ac:dyDescent="0.35">
      <c r="D924" s="1"/>
    </row>
    <row r="925" spans="4:4" x14ac:dyDescent="0.35">
      <c r="D925" s="1"/>
    </row>
    <row r="926" spans="4:4" x14ac:dyDescent="0.35">
      <c r="D926" s="1"/>
    </row>
    <row r="927" spans="4:4" x14ac:dyDescent="0.35">
      <c r="D927" s="1"/>
    </row>
    <row r="928" spans="4:4" x14ac:dyDescent="0.35">
      <c r="D928" s="1"/>
    </row>
    <row r="929" spans="4:4" x14ac:dyDescent="0.35">
      <c r="D929" s="1"/>
    </row>
    <row r="930" spans="4:4" x14ac:dyDescent="0.35">
      <c r="D930" s="1"/>
    </row>
    <row r="931" spans="4:4" x14ac:dyDescent="0.35">
      <c r="D931" s="1"/>
    </row>
    <row r="932" spans="4:4" x14ac:dyDescent="0.35">
      <c r="D932" s="1"/>
    </row>
    <row r="933" spans="4:4" x14ac:dyDescent="0.35">
      <c r="D933" s="1"/>
    </row>
    <row r="934" spans="4:4" x14ac:dyDescent="0.35">
      <c r="D934" s="1"/>
    </row>
    <row r="935" spans="4:4" x14ac:dyDescent="0.35">
      <c r="D935" s="1"/>
    </row>
    <row r="936" spans="4:4" x14ac:dyDescent="0.35">
      <c r="D936" s="1"/>
    </row>
    <row r="937" spans="4:4" x14ac:dyDescent="0.35">
      <c r="D937" s="1"/>
    </row>
    <row r="938" spans="4:4" x14ac:dyDescent="0.35">
      <c r="D938" s="1"/>
    </row>
    <row r="939" spans="4:4" x14ac:dyDescent="0.35">
      <c r="D939" s="1"/>
    </row>
    <row r="940" spans="4:4" x14ac:dyDescent="0.35">
      <c r="D940" s="1"/>
    </row>
    <row r="941" spans="4:4" x14ac:dyDescent="0.35">
      <c r="D941" s="1"/>
    </row>
    <row r="942" spans="4:4" x14ac:dyDescent="0.35">
      <c r="D942" s="1"/>
    </row>
    <row r="943" spans="4:4" x14ac:dyDescent="0.35">
      <c r="D943" s="1"/>
    </row>
    <row r="944" spans="4:4" x14ac:dyDescent="0.35">
      <c r="D944" s="1"/>
    </row>
    <row r="945" spans="4:4" x14ac:dyDescent="0.35">
      <c r="D945" s="1"/>
    </row>
    <row r="946" spans="4:4" x14ac:dyDescent="0.35">
      <c r="D946" s="1"/>
    </row>
    <row r="947" spans="4:4" x14ac:dyDescent="0.35">
      <c r="D947" s="1"/>
    </row>
    <row r="948" spans="4:4" x14ac:dyDescent="0.35">
      <c r="D948" s="1"/>
    </row>
    <row r="949" spans="4:4" x14ac:dyDescent="0.35">
      <c r="D949" s="1"/>
    </row>
    <row r="950" spans="4:4" x14ac:dyDescent="0.35">
      <c r="D950" s="1"/>
    </row>
    <row r="951" spans="4:4" x14ac:dyDescent="0.35">
      <c r="D951" s="1"/>
    </row>
    <row r="952" spans="4:4" x14ac:dyDescent="0.35">
      <c r="D952" s="1"/>
    </row>
    <row r="953" spans="4:4" x14ac:dyDescent="0.35">
      <c r="D953" s="1"/>
    </row>
    <row r="954" spans="4:4" x14ac:dyDescent="0.35">
      <c r="D954" s="1"/>
    </row>
    <row r="955" spans="4:4" x14ac:dyDescent="0.35">
      <c r="D955" s="1"/>
    </row>
    <row r="956" spans="4:4" x14ac:dyDescent="0.35">
      <c r="D956" s="1"/>
    </row>
    <row r="957" spans="4:4" x14ac:dyDescent="0.35">
      <c r="D957" s="1"/>
    </row>
    <row r="958" spans="4:4" x14ac:dyDescent="0.35">
      <c r="D958" s="1"/>
    </row>
    <row r="959" spans="4:4" x14ac:dyDescent="0.35">
      <c r="D959" s="1"/>
    </row>
    <row r="960" spans="4:4" x14ac:dyDescent="0.35">
      <c r="D960" s="1"/>
    </row>
    <row r="961" spans="4:4" x14ac:dyDescent="0.35">
      <c r="D961" s="1"/>
    </row>
    <row r="962" spans="4:4" x14ac:dyDescent="0.35">
      <c r="D962" s="1"/>
    </row>
    <row r="963" spans="4:4" x14ac:dyDescent="0.35">
      <c r="D963" s="1"/>
    </row>
    <row r="964" spans="4:4" x14ac:dyDescent="0.35">
      <c r="D964" s="1"/>
    </row>
    <row r="965" spans="4:4" x14ac:dyDescent="0.35">
      <c r="D965" s="1"/>
    </row>
    <row r="966" spans="4:4" x14ac:dyDescent="0.35">
      <c r="D966" s="1"/>
    </row>
    <row r="967" spans="4:4" x14ac:dyDescent="0.35">
      <c r="D967" s="1"/>
    </row>
    <row r="968" spans="4:4" x14ac:dyDescent="0.35">
      <c r="D968" s="1"/>
    </row>
  </sheetData>
  <autoFilter ref="A1:CL134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13e83b-330f-43e9-8a32-659de2db0e37" xsi:nil="true"/>
    <lcf76f155ced4ddcb4097134ff3c332f xmlns="26ed0658-0289-4c17-a65e-1511a42df96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5093D3EFB6B3489EE1E049962EC73A" ma:contentTypeVersion="10" ma:contentTypeDescription="Creare un nuovo documento." ma:contentTypeScope="" ma:versionID="fc3d09e6117068449fa7200e70a6cc65">
  <xsd:schema xmlns:xsd="http://www.w3.org/2001/XMLSchema" xmlns:xs="http://www.w3.org/2001/XMLSchema" xmlns:p="http://schemas.microsoft.com/office/2006/metadata/properties" xmlns:ns2="26ed0658-0289-4c17-a65e-1511a42df96c" xmlns:ns3="4113e83b-330f-43e9-8a32-659de2db0e37" targetNamespace="http://schemas.microsoft.com/office/2006/metadata/properties" ma:root="true" ma:fieldsID="a5f33ce90e6a338a48b2cb0fea7a304f" ns2:_="" ns3:_="">
    <xsd:import namespace="26ed0658-0289-4c17-a65e-1511a42df96c"/>
    <xsd:import namespace="4113e83b-330f-43e9-8a32-659de2db0e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d0658-0289-4c17-a65e-1511a42df9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3e83b-330f-43e9-8a32-659de2db0e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2a37b6-2a8b-44e9-98be-ac89573471aa}" ma:internalName="TaxCatchAll" ma:showField="CatchAllData" ma:web="4113e83b-330f-43e9-8a32-659de2db0e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AF323C-A7F4-4F7D-92FD-424A4BF87BC0}">
  <ds:schemaRefs>
    <ds:schemaRef ds:uri="http://schemas.microsoft.com/office/2006/metadata/properties"/>
    <ds:schemaRef ds:uri="http://schemas.microsoft.com/office/infopath/2007/PartnerControls"/>
    <ds:schemaRef ds:uri="4113e83b-330f-43e9-8a32-659de2db0e37"/>
    <ds:schemaRef ds:uri="26ed0658-0289-4c17-a65e-1511a42df96c"/>
  </ds:schemaRefs>
</ds:datastoreItem>
</file>

<file path=customXml/itemProps2.xml><?xml version="1.0" encoding="utf-8"?>
<ds:datastoreItem xmlns:ds="http://schemas.openxmlformats.org/officeDocument/2006/customXml" ds:itemID="{C0E7CC4B-608F-412C-A0B4-15BA58E9D072}"/>
</file>

<file path=customXml/itemProps3.xml><?xml version="1.0" encoding="utf-8"?>
<ds:datastoreItem xmlns:ds="http://schemas.openxmlformats.org/officeDocument/2006/customXml" ds:itemID="{FEF87086-DF43-4061-860D-1E083421630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Simulazione</vt:lpstr>
      <vt:lpstr>Analisi del rischio Paese</vt:lpstr>
      <vt:lpstr>Media</vt:lpstr>
      <vt:lpstr>Alta</vt:lpstr>
      <vt:lpstr>48 &amp; 7</vt:lpstr>
      <vt:lpstr>26 &amp; 7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Jafari, Sepehr</cp:lastModifiedBy>
  <dcterms:created xsi:type="dcterms:W3CDTF">2025-10-01T13:20:04Z</dcterms:created>
  <dcterms:modified xsi:type="dcterms:W3CDTF">2025-11-04T15:38:25Z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0x010100715093D3EFB6B3489EE1E049962EC73A</vt:lpwstr>
  </property>
  <property fmtid="{D5CDD505-2E9C-101B-9397-08002B2CF9AE}" pid="3" name="MediaServiceImageTags">
    <vt:lpwstr/>
  </property>
</Properties>
</file>