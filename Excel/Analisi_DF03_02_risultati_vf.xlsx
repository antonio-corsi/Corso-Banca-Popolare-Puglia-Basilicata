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ts.accenture.com/sites/BPPB-Progetti/Shared Documents/BPPB - AML - TxM/AML - TxM Calibrazione/06 Deliverable Doc/Excel Simulator/"/>
    </mc:Choice>
  </mc:AlternateContent>
  <xr:revisionPtr revIDLastSave="426" documentId="14_{4730949D-C6A4-47CF-AFA7-6376DD12B181}" xr6:coauthVersionLast="47" xr6:coauthVersionMax="47" xr10:uidLastSave="{B96BFC9D-0691-414E-808E-76DB463F8522}"/>
  <bookViews>
    <workbookView xWindow="-110" yWindow="-110" windowWidth="19420" windowHeight="11500" xr2:uid="{00000000-000D-0000-FFFF-FFFF00000000}"/>
  </bookViews>
  <sheets>
    <sheet name="Simulazione" sheetId="21" r:id="rId1"/>
    <sheet name="Analisi" sheetId="42" r:id="rId2"/>
    <sheet name="DF03-02" sheetId="31" r:id="rId3"/>
    <sheet name="Data" sheetId="1" r:id="rId4"/>
  </sheets>
  <definedNames>
    <definedName name="_xlnm._FilterDatabase" localSheetId="3" hidden="1">Data!$A$1:$CK$325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" i="31" l="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R21" i="31"/>
  <c r="Q21" i="31"/>
  <c r="P21" i="31"/>
  <c r="O21" i="31"/>
  <c r="N21" i="31"/>
  <c r="M21" i="31"/>
  <c r="F21" i="31"/>
  <c r="E21" i="31"/>
  <c r="D21" i="31"/>
  <c r="C21" i="31"/>
  <c r="W20" i="31"/>
  <c r="V20" i="31"/>
  <c r="O20" i="31"/>
  <c r="N20" i="31"/>
  <c r="M20" i="31"/>
  <c r="L20" i="31"/>
  <c r="K20" i="31"/>
  <c r="J20" i="31"/>
  <c r="C20" i="31"/>
  <c r="W19" i="31"/>
  <c r="W21" i="31" s="1"/>
  <c r="V19" i="31"/>
  <c r="V21" i="31" s="1"/>
  <c r="U19" i="31"/>
  <c r="U21" i="31" s="1"/>
  <c r="T19" i="31"/>
  <c r="T21" i="31" s="1"/>
  <c r="S19" i="31"/>
  <c r="S21" i="31" s="1"/>
  <c r="R19" i="31"/>
  <c r="Q19" i="31"/>
  <c r="P19" i="31"/>
  <c r="O19" i="31"/>
  <c r="N19" i="31"/>
  <c r="M19" i="31"/>
  <c r="L19" i="31"/>
  <c r="L21" i="31" s="1"/>
  <c r="K19" i="31"/>
  <c r="K21" i="31" s="1"/>
  <c r="J19" i="31"/>
  <c r="J21" i="31" s="1"/>
  <c r="I19" i="31"/>
  <c r="I21" i="31" s="1"/>
  <c r="H19" i="31"/>
  <c r="H21" i="31" s="1"/>
  <c r="G19" i="31"/>
  <c r="G21" i="31" s="1"/>
  <c r="F19" i="31"/>
  <c r="E19" i="31"/>
  <c r="D19" i="31"/>
  <c r="C19" i="31"/>
  <c r="W18" i="31"/>
  <c r="W22" i="31" s="1"/>
  <c r="V18" i="31"/>
  <c r="V22" i="31" s="1"/>
  <c r="U18" i="31"/>
  <c r="U20" i="31" s="1"/>
  <c r="T18" i="31"/>
  <c r="S18" i="31"/>
  <c r="S20" i="31" s="1"/>
  <c r="R18" i="31"/>
  <c r="R20" i="31" s="1"/>
  <c r="Q18" i="31"/>
  <c r="Q20" i="31" s="1"/>
  <c r="P18" i="31"/>
  <c r="P20" i="31" s="1"/>
  <c r="O18" i="31"/>
  <c r="O22" i="31" s="1"/>
  <c r="N18" i="31"/>
  <c r="N22" i="31" s="1"/>
  <c r="M18" i="31"/>
  <c r="M22" i="31" s="1"/>
  <c r="L18" i="31"/>
  <c r="L22" i="31" s="1"/>
  <c r="K18" i="31"/>
  <c r="K22" i="31" s="1"/>
  <c r="J18" i="31"/>
  <c r="J22" i="31" s="1"/>
  <c r="I18" i="31"/>
  <c r="I20" i="31" s="1"/>
  <c r="H18" i="31"/>
  <c r="H20" i="31" s="1"/>
  <c r="G18" i="31"/>
  <c r="G20" i="31" s="1"/>
  <c r="F18" i="31"/>
  <c r="F20" i="31" s="1"/>
  <c r="E18" i="31"/>
  <c r="E20" i="31" s="1"/>
  <c r="D18" i="31"/>
  <c r="D20" i="31" s="1"/>
  <c r="C18" i="31"/>
  <c r="C22" i="31" s="1"/>
  <c r="K15" i="21"/>
  <c r="I12" i="21"/>
  <c r="K12" i="21"/>
  <c r="G12" i="21"/>
  <c r="T22" i="31" l="1"/>
  <c r="P22" i="31"/>
  <c r="E22" i="31"/>
  <c r="R22" i="31"/>
  <c r="G22" i="31"/>
  <c r="H22" i="31"/>
  <c r="I22" i="31"/>
  <c r="T20" i="31"/>
  <c r="D22" i="31"/>
  <c r="Q22" i="31"/>
  <c r="F22" i="31"/>
  <c r="S22" i="31"/>
  <c r="U22" i="31"/>
  <c r="P24" i="31"/>
  <c r="W25" i="31"/>
  <c r="V25" i="31"/>
  <c r="U25" i="31"/>
  <c r="T25" i="31"/>
  <c r="P25" i="31"/>
  <c r="O25" i="31"/>
  <c r="N25" i="31"/>
  <c r="M25" i="31"/>
  <c r="K25" i="31"/>
  <c r="J25" i="31"/>
  <c r="I25" i="31"/>
  <c r="H25" i="31"/>
  <c r="D25" i="31"/>
  <c r="S24" i="31"/>
  <c r="R24" i="31"/>
  <c r="Q24" i="31"/>
  <c r="L24" i="31"/>
  <c r="G24" i="31"/>
  <c r="F24" i="31"/>
  <c r="E24" i="31"/>
  <c r="D24" i="31"/>
  <c r="C25" i="31"/>
  <c r="C24" i="31"/>
  <c r="H24" i="31" l="1"/>
  <c r="J24" i="31"/>
  <c r="V24" i="31"/>
  <c r="E25" i="31"/>
  <c r="O24" i="31"/>
  <c r="T24" i="31"/>
  <c r="U24" i="31"/>
  <c r="K24" i="31"/>
  <c r="W24" i="31"/>
  <c r="G25" i="31"/>
  <c r="L25" i="31"/>
  <c r="I24" i="31"/>
  <c r="Q25" i="31"/>
  <c r="N24" i="31"/>
  <c r="F25" i="31"/>
  <c r="R25" i="31"/>
  <c r="M24" i="31"/>
  <c r="S25" i="31"/>
  <c r="H12" i="21" l="1"/>
  <c r="H19" i="21" s="1"/>
  <c r="F12" i="21"/>
  <c r="F19" i="21" s="1"/>
  <c r="J19" i="21" l="1"/>
  <c r="F25" i="21"/>
  <c r="G25" i="21"/>
  <c r="C23" i="31"/>
  <c r="B19" i="31"/>
  <c r="B18" i="31"/>
  <c r="B24" i="31" l="1"/>
  <c r="B25" i="31"/>
  <c r="G19" i="21"/>
  <c r="B20" i="31"/>
  <c r="B22" i="31" s="1"/>
  <c r="B21" i="31"/>
  <c r="F20" i="21" l="1"/>
  <c r="I19" i="21"/>
  <c r="H13" i="21"/>
  <c r="H20" i="21" l="1"/>
  <c r="K19" i="21"/>
  <c r="F13" i="21"/>
  <c r="J20" i="21" l="1"/>
</calcChain>
</file>

<file path=xl/sharedStrings.xml><?xml version="1.0" encoding="utf-8"?>
<sst xmlns="http://schemas.openxmlformats.org/spreadsheetml/2006/main" count="4523" uniqueCount="383">
  <si>
    <t>POSIZIONE</t>
  </si>
  <si>
    <t>CODICE</t>
  </si>
  <si>
    <t>DESCRIZIONE</t>
  </si>
  <si>
    <t>RILEVATA</t>
  </si>
  <si>
    <t>INTERMEDIARIO</t>
  </si>
  <si>
    <t>DIPENDENZA</t>
  </si>
  <si>
    <t>IN CARICO A</t>
  </si>
  <si>
    <t>SISTEMA AR</t>
  </si>
  <si>
    <t>STATO</t>
  </si>
  <si>
    <t>INDICE PREDITTIVO</t>
  </si>
  <si>
    <t>REGISTRAZIONE</t>
  </si>
  <si>
    <t>NUMERO RAPPORTO</t>
  </si>
  <si>
    <t>DATA OPERAZIONE</t>
  </si>
  <si>
    <t>CAUSALE ANALITICA</t>
  </si>
  <si>
    <t>CAUSALE SINTETICA</t>
  </si>
  <si>
    <t>PAESE INTERMED. CONTROP.</t>
  </si>
  <si>
    <t>SEGNO</t>
  </si>
  <si>
    <t>IMPORTO</t>
  </si>
  <si>
    <t>DI CUI CONTANTE</t>
  </si>
  <si>
    <t>TITOLARE NDG</t>
  </si>
  <si>
    <t>CODICE FISCALE</t>
  </si>
  <si>
    <t>COGNOME E NOME / RAGIONE SOCIALE</t>
  </si>
  <si>
    <t>D21 SAE</t>
  </si>
  <si>
    <t>D22 ATECO</t>
  </si>
  <si>
    <t>PAESE RESIDENZA</t>
  </si>
  <si>
    <t>GESTORE</t>
  </si>
  <si>
    <t>STATO VALUTAZIONE</t>
  </si>
  <si>
    <t>ID ECCEZIONE</t>
  </si>
  <si>
    <t>DATA ULT. VALUTAZIONE</t>
  </si>
  <si>
    <t>UFFICIO</t>
  </si>
  <si>
    <t>AUTORE</t>
  </si>
  <si>
    <t>ULTIMA VALUTAZIONE</t>
  </si>
  <si>
    <t>PRESENZA ALLEGATI</t>
  </si>
  <si>
    <t>ALTRE VALUTAZIONI</t>
  </si>
  <si>
    <t>ANNOMESE</t>
  </si>
  <si>
    <t>Stato</t>
  </si>
  <si>
    <t>flag_stato</t>
  </si>
  <si>
    <t>flg_SCEN_IN_USO</t>
  </si>
  <si>
    <t>CDG</t>
  </si>
  <si>
    <t>flag_OggValut</t>
  </si>
  <si>
    <t>flag_anom_causale</t>
  </si>
  <si>
    <t>ATECO_CODE</t>
  </si>
  <si>
    <t>SAE_CODE</t>
  </si>
  <si>
    <t>SAE_ATECO_CODE</t>
  </si>
  <si>
    <t>Classe_old</t>
  </si>
  <si>
    <t>RES_ATECO</t>
  </si>
  <si>
    <t>Classe</t>
  </si>
  <si>
    <t>053850_105</t>
  </si>
  <si>
    <t>Mai valutato</t>
  </si>
  <si>
    <t>086 - ITALIA</t>
  </si>
  <si>
    <t>053850_104</t>
  </si>
  <si>
    <t>ARCHIVIATA DA RPR</t>
  </si>
  <si>
    <t>053850_273</t>
  </si>
  <si>
    <t>430 - Imprese produttive</t>
  </si>
  <si>
    <t>Classe di rischio 1</t>
  </si>
  <si>
    <t>A     - Avere</t>
  </si>
  <si>
    <t>053850_103</t>
  </si>
  <si>
    <t>620 - PRODUZIONE DI SOFTWARE, CONSULENZA INFORMATICA E ATTIVITÀ CONNESSE</t>
  </si>
  <si>
    <t>Classe di rischio 3</t>
  </si>
  <si>
    <t>Classe di rischio 0</t>
  </si>
  <si>
    <t>412 - COSTRUZIONE DI EDIFICI RESIDENZIALI E NON RESIDENZIALI</t>
  </si>
  <si>
    <t>ARCHIVIATA</t>
  </si>
  <si>
    <t>Classe di rischio 2</t>
  </si>
  <si>
    <t>053850_175</t>
  </si>
  <si>
    <t>615 - Altre famiglie produttrici</t>
  </si>
  <si>
    <t>053850_109</t>
  </si>
  <si>
    <t>053850_187</t>
  </si>
  <si>
    <t>053850_145</t>
  </si>
  <si>
    <t>053850_136</t>
  </si>
  <si>
    <t>IPEM INDUSTRIA PETROLI MERIDIONALE S.P.A.</t>
  </si>
  <si>
    <t>192 - FABBRICAZIONE DI PRODOTTI DERIVANTI DALLA RAFFINAZIONE DEL PETROLIO</t>
  </si>
  <si>
    <t>053850_137</t>
  </si>
  <si>
    <t>053850_171</t>
  </si>
  <si>
    <t>053850_121</t>
  </si>
  <si>
    <t>463 - COMMERCIO ALL'INGROSSO DI PRODOTTI ALIMENTARI, BEVANDE E PRODOTTI DEL TABACCO</t>
  </si>
  <si>
    <t>053850_192</t>
  </si>
  <si>
    <t>053850_141</t>
  </si>
  <si>
    <t>642 - ATTIVITÀ DELLE SOCIETÀ DI PARTECIPAZIONE (HOLDING)</t>
  </si>
  <si>
    <t>053850_261</t>
  </si>
  <si>
    <t>477 - COMMERCIO AL DETTAGLIO DI ALTRI PRODOTTI IN ESERCIZI SPECIALIZZATI</t>
  </si>
  <si>
    <t>053850_170</t>
  </si>
  <si>
    <t>053850_153</t>
  </si>
  <si>
    <t>053850_149</t>
  </si>
  <si>
    <t>462 - COMMERCIO ALL'INGROSSO DI MATERIE PRIME AGRICOLE E DI ANIMALI VIVI</t>
  </si>
  <si>
    <t>053850_147</t>
  </si>
  <si>
    <t>469 - COMMERCIO ALL'INGROSSO NON SPECIALIZZATO</t>
  </si>
  <si>
    <t>141 - CONFEZIONE DI ARTICOLI DI ABBIGLIAMENTO (ESCLUSO ABBIGLIAMENTO IN PELLICCIA)</t>
  </si>
  <si>
    <t>053850_174</t>
  </si>
  <si>
    <t>053850_108</t>
  </si>
  <si>
    <t>466 - COMMERCIO ALL'INGROSSO DI ALTRI MACCHINARI, ATTREZZATURE E FORNITURE</t>
  </si>
  <si>
    <t>053850_148</t>
  </si>
  <si>
    <t>053850_128</t>
  </si>
  <si>
    <t>053850_118</t>
  </si>
  <si>
    <t>433 - COMPLETAMENTO E FINITURA DI EDIFICI</t>
  </si>
  <si>
    <t>691 - ATTIVITÀ DEGLI STUDI LEGALI</t>
  </si>
  <si>
    <t>Grand Total</t>
  </si>
  <si>
    <t>P00</t>
  </si>
  <si>
    <t>P05</t>
  </si>
  <si>
    <t>P10</t>
  </si>
  <si>
    <t>P15</t>
  </si>
  <si>
    <t>P20</t>
  </si>
  <si>
    <t>P25</t>
  </si>
  <si>
    <t>P30</t>
  </si>
  <si>
    <t>P35</t>
  </si>
  <si>
    <t>P40</t>
  </si>
  <si>
    <t>P45</t>
  </si>
  <si>
    <t>P50</t>
  </si>
  <si>
    <t>P55</t>
  </si>
  <si>
    <t>P60</t>
  </si>
  <si>
    <t>P65</t>
  </si>
  <si>
    <t>P70</t>
  </si>
  <si>
    <t>P75</t>
  </si>
  <si>
    <t>P80</t>
  </si>
  <si>
    <t>P85</t>
  </si>
  <si>
    <t>P90</t>
  </si>
  <si>
    <t>P95</t>
  </si>
  <si>
    <t>P100</t>
  </si>
  <si>
    <t>Percentile</t>
  </si>
  <si>
    <t>Percentile_00</t>
  </si>
  <si>
    <t>Percentile_05</t>
  </si>
  <si>
    <t>Percentile_10</t>
  </si>
  <si>
    <t>Percentile_15</t>
  </si>
  <si>
    <t>Percentile_20</t>
  </si>
  <si>
    <t>Percentile_25</t>
  </si>
  <si>
    <t>Percentile_30</t>
  </si>
  <si>
    <t>Percentile_35</t>
  </si>
  <si>
    <t>Percentile_40</t>
  </si>
  <si>
    <t>Percentile_45</t>
  </si>
  <si>
    <t>Percentile_50</t>
  </si>
  <si>
    <t>Percentile_55</t>
  </si>
  <si>
    <t>Percentile_60</t>
  </si>
  <si>
    <t>Percentile_65</t>
  </si>
  <si>
    <t>Percentile_70</t>
  </si>
  <si>
    <t>Percentile_75</t>
  </si>
  <si>
    <t>Percentile_80</t>
  </si>
  <si>
    <t>Percentile_85</t>
  </si>
  <si>
    <t>Percentile_90</t>
  </si>
  <si>
    <t>Percentile_95</t>
  </si>
  <si>
    <t>Percentile_100</t>
  </si>
  <si>
    <t>flag_Percentile_00</t>
  </si>
  <si>
    <t>flag_Percentile_05</t>
  </si>
  <si>
    <t>flag_Percentile_10</t>
  </si>
  <si>
    <t>flag_Percentile_15</t>
  </si>
  <si>
    <t>flag_Percentile_20</t>
  </si>
  <si>
    <t>flag_Percentile_25</t>
  </si>
  <si>
    <t>flag_Percentile_30</t>
  </si>
  <si>
    <t>flag_Percentile_35</t>
  </si>
  <si>
    <t>flag_Percentile_40</t>
  </si>
  <si>
    <t>flag_Percentile_45</t>
  </si>
  <si>
    <t>flag_Percentile_50</t>
  </si>
  <si>
    <t>flag_Percentile_55</t>
  </si>
  <si>
    <t>flag_Percentile_60</t>
  </si>
  <si>
    <t>flag_Percentile_65</t>
  </si>
  <si>
    <t>flag_Percentile_70</t>
  </si>
  <si>
    <t>flag_Percentile_75</t>
  </si>
  <si>
    <t>flag_Percentile_80</t>
  </si>
  <si>
    <t>flag_Percentile_85</t>
  </si>
  <si>
    <t>flag_Percentile_90</t>
  </si>
  <si>
    <t>flag_Percentile_95</t>
  </si>
  <si>
    <t>flag_Percentile_100</t>
  </si>
  <si>
    <t>IN VALUTAZIONE RPR</t>
  </si>
  <si>
    <t>053850_132</t>
  </si>
  <si>
    <t>IN CARICO AL GESTORE</t>
  </si>
  <si>
    <t>053850_267</t>
  </si>
  <si>
    <t>053850_226</t>
  </si>
  <si>
    <t>053850_116</t>
  </si>
  <si>
    <t>053850_169</t>
  </si>
  <si>
    <t>IN CARICO AL RESPONSABILE</t>
  </si>
  <si>
    <t>053850_268</t>
  </si>
  <si>
    <t>INTERTONNO SRL</t>
  </si>
  <si>
    <t>102 - LAVORAZIONE E CONSERVAZIONE DI PESCE, CROSTACEI E MOLLUSCHI</t>
  </si>
  <si>
    <t>FORMAT DISTRIBUZIONE SOCIETA' A RESPONSABILI</t>
  </si>
  <si>
    <t>053850_189</t>
  </si>
  <si>
    <t>053850_191</t>
  </si>
  <si>
    <t>310 - FABBRICAZIONE DI MOBILI</t>
  </si>
  <si>
    <t>MEGAHOLDING S.R.L.</t>
  </si>
  <si>
    <t>290 - Società di partecipazione (holding) di gruppi finanziari e non finanziari</t>
  </si>
  <si>
    <t>451 - COMMERCIO DI AUTOVEICOLI</t>
  </si>
  <si>
    <t>Min of Percentile_00</t>
  </si>
  <si>
    <t>Min of Percentile_05</t>
  </si>
  <si>
    <t>Min of Percentile_10</t>
  </si>
  <si>
    <t>Min of Percentile_15</t>
  </si>
  <si>
    <t>Min of Percentile_20</t>
  </si>
  <si>
    <t>Min of Percentile_25</t>
  </si>
  <si>
    <t>Min of Percentile_30</t>
  </si>
  <si>
    <t>Min of Percentile_35</t>
  </si>
  <si>
    <t>Min of Percentile_40</t>
  </si>
  <si>
    <t>Min of Percentile_45</t>
  </si>
  <si>
    <t>Min of Percentile_50</t>
  </si>
  <si>
    <t>Min of Percentile_55</t>
  </si>
  <si>
    <t>Min of Percentile_60</t>
  </si>
  <si>
    <t>Min of Percentile_65</t>
  </si>
  <si>
    <t>Min of Percentile_70</t>
  </si>
  <si>
    <t>Min of Percentile_75</t>
  </si>
  <si>
    <t>Min of Percentile_80</t>
  </si>
  <si>
    <t>Min of Percentile_85</t>
  </si>
  <si>
    <t>Min of Percentile_90</t>
  </si>
  <si>
    <t>Min of Percentile_95</t>
  </si>
  <si>
    <t>Min of Percentile_100</t>
  </si>
  <si>
    <t>Sum of flag_Percentile_05</t>
  </si>
  <si>
    <t>Sum of flag_Percentile_00</t>
  </si>
  <si>
    <t>Sum of flag_Percentile_10</t>
  </si>
  <si>
    <t>Sum of flag_Percentile_15</t>
  </si>
  <si>
    <t>Sum of flag_Percentile_20</t>
  </si>
  <si>
    <t>Sum of flag_Percentile_25</t>
  </si>
  <si>
    <t>Sum of flag_Percentile_30</t>
  </si>
  <si>
    <t>Sum of flag_Percentile_35</t>
  </si>
  <si>
    <t>Sum of flag_Percentile_40</t>
  </si>
  <si>
    <t>Sum of flag_Percentile_45</t>
  </si>
  <si>
    <t>Sum of flag_Percentile_50</t>
  </si>
  <si>
    <t>Sum of flag_Percentile_55</t>
  </si>
  <si>
    <t>Sum of flag_Percentile_60</t>
  </si>
  <si>
    <t>Sum of flag_Percentile_65</t>
  </si>
  <si>
    <t>Sum of flag_Percentile_70</t>
  </si>
  <si>
    <t>Sum of flag_Percentile_75</t>
  </si>
  <si>
    <t>Sum of flag_Percentile_80</t>
  </si>
  <si>
    <t>Sum of flag_Percentile_85</t>
  </si>
  <si>
    <t>Sum of flag_Percentile_90</t>
  </si>
  <si>
    <t>Sum of flag_Percentile_95</t>
  </si>
  <si>
    <t>Sum of flag_Percentile_100</t>
  </si>
  <si>
    <t>Open</t>
  </si>
  <si>
    <t>*</t>
  </si>
  <si>
    <t>As-Is</t>
  </si>
  <si>
    <t>Soglia As-Is</t>
  </si>
  <si>
    <t>Index</t>
  </si>
  <si>
    <t>Delta</t>
  </si>
  <si>
    <t>Delta Open Alert</t>
  </si>
  <si>
    <t>Count of flag_stato</t>
  </si>
  <si>
    <t>T0</t>
  </si>
  <si>
    <t>014 - ALLEVAMENTO DI ANIMALI</t>
  </si>
  <si>
    <t>GLOBAL TRADING S.R.L.S.</t>
  </si>
  <si>
    <t>467 - COMMERCIO ALL'INGROSSO SPECIALIZZATO DI ALTRI PRODOTTI</t>
  </si>
  <si>
    <t>104 - PRODUZIONE DI OLI E GRASSI VEGETALI E ANIMALI</t>
  </si>
  <si>
    <t>332 - INSTALLAZIONE DI MACCHINE ED APPARECCHIATURE INDUSTRIALI</t>
  </si>
  <si>
    <t>139 - ALTRE INDUSTRIE TESSILI</t>
  </si>
  <si>
    <t>053850_154</t>
  </si>
  <si>
    <t>661 - ATTIVITÀ AUSILIARIE DEI SERVIZI FINANZIARI (ESCLUSE LE ASSICURAZIONI E I FONDI PENSIONE)</t>
  </si>
  <si>
    <t>103 - LAVORAZIONE E CONSERVAZIONE DI FRUTTA E ORTAGGI</t>
  </si>
  <si>
    <t>I DUE MARI - SOCIETA' COOPERATIVA</t>
  </si>
  <si>
    <t>032 - ACQUACOLTURA</t>
  </si>
  <si>
    <t>FREZZA LEGNAMI S.P.A.</t>
  </si>
  <si>
    <t>LINEA PELLE S.R.L.</t>
  </si>
  <si>
    <t>CO.BE.CA. S.R.L.</t>
  </si>
  <si>
    <t>Calibrata</t>
  </si>
  <si>
    <t>Soglia Calibrata</t>
  </si>
  <si>
    <t>ZENTRUM BARI S.R.L.</t>
  </si>
  <si>
    <t>110 - INDUSTRIA DELLE BEVANDE</t>
  </si>
  <si>
    <t>OVERLAND TARTUFI SRL</t>
  </si>
  <si>
    <t>053850_120</t>
  </si>
  <si>
    <t>OSPEDALE GENERALE REGIONALE - MIULLI -</t>
  </si>
  <si>
    <t>500 - Istituzioni ed enti ecclesiastici e religiosi</t>
  </si>
  <si>
    <t>861 - SERVIZI OSPEDALIERI</t>
  </si>
  <si>
    <t>Approcio Prudenziale</t>
  </si>
  <si>
    <t>Approcio Medio</t>
  </si>
  <si>
    <t>Approcio Aggressivo</t>
  </si>
  <si>
    <t>Open Alert Eliminato</t>
  </si>
  <si>
    <t>Open Alert</t>
  </si>
  <si>
    <t>% Delta Soglie</t>
  </si>
  <si>
    <r>
      <t xml:space="preserve">La seguente tabella costituisce uno strumento di supporto all’analisi, volto a simulare l’impatto delle soglie calibrate sulla riduzione del numero complessivo di alert e dei falsi positivi generati dallo scenario </t>
    </r>
    <r>
      <rPr>
        <b/>
        <sz val="11"/>
        <color theme="1"/>
        <rFont val="Calibri"/>
        <family val="2"/>
        <scheme val="minor"/>
      </rPr>
      <t>DF03-02 - Clienti che registrano elevata movimentazione in ingresso con bonifici e assegni e successiva movimentazione verso l'estero</t>
    </r>
  </si>
  <si>
    <t>DF03-02</t>
  </si>
  <si>
    <t>Clienti che registrano elevata movimentazione in ingresso con bonifici e assegni e successiva movimentazione verso l'estero</t>
  </si>
  <si>
    <t>053850_122</t>
  </si>
  <si>
    <t>Discovery Frodi</t>
  </si>
  <si>
    <t>48 - Bonifico in arrivo</t>
  </si>
  <si>
    <t>EXPRIVIA S.P.A.</t>
  </si>
  <si>
    <t>SQUISITEZZE SRL</t>
  </si>
  <si>
    <t>472 - COMMERCIO AL DETTAGLIO DI PRODOTTI ALIMENTARI, BEVANDE E TABACCO IN ESERCIZI SPECIALIZZATI</t>
  </si>
  <si>
    <t>FRATELLI D'ADDATO S.R.L.</t>
  </si>
  <si>
    <t>CAPURSO AZIENDA CASEARIA S.R.L.</t>
  </si>
  <si>
    <t>105 - INDUSTRIA LATTIERO-CASEARIA</t>
  </si>
  <si>
    <t>COMBES S.R.L.</t>
  </si>
  <si>
    <t>VLNFNC74H03H096P</t>
  </si>
  <si>
    <t>VALENTE FRANCESCO</t>
  </si>
  <si>
    <t>053850_264</t>
  </si>
  <si>
    <t>VLLNNL74S19A801N</t>
  </si>
  <si>
    <t>AVALLONE ANTONIO ALFREDO</t>
  </si>
  <si>
    <t>711 - ATTIVITÀ DEGLI STUDI DI ARCHITETTURA, INGEGNERIA ED ALTRI STUDI TECNICI</t>
  </si>
  <si>
    <t>053850_125</t>
  </si>
  <si>
    <t>GIAGUARO - S.P.A.</t>
  </si>
  <si>
    <t>G1 - Versamento assegni tratti su altro intermediario</t>
  </si>
  <si>
    <t>ITALSUD CARBURANTI SRL</t>
  </si>
  <si>
    <t>SABOLIO SRL</t>
  </si>
  <si>
    <t>PVM SRL</t>
  </si>
  <si>
    <t>522 - ATTIVITÀ DI SUPPORTO AI TRASPORTI</t>
  </si>
  <si>
    <t>DESMA SOCIETA' A RESPONSABILITA' LIMITATA SEMPLIFICATA</t>
  </si>
  <si>
    <t>SPECIALMANGIMI GALTIERI S.P.A</t>
  </si>
  <si>
    <t>109 - PRODUZIONE DI PRODOTTI PER L'ALIMENTAZIONE DEGLI ANIMALI</t>
  </si>
  <si>
    <t>G2 - Versamento assegni tratti sullo stesso intermediario</t>
  </si>
  <si>
    <t>CENTRO AUTOVEICOLI S.R.L.</t>
  </si>
  <si>
    <t>DE.RA.DO. SRL</t>
  </si>
  <si>
    <t>031 - PESCA</t>
  </si>
  <si>
    <t>OLEARIA CHIERA S.R.L.</t>
  </si>
  <si>
    <t>E F ALLEVA S.R.L.</t>
  </si>
  <si>
    <t>UNIONE SPORTIVA LECCE S.P.A.</t>
  </si>
  <si>
    <t>931 - ATTIVITÀ SPORTIVE</t>
  </si>
  <si>
    <t>MARTINCART SRL</t>
  </si>
  <si>
    <t>464 - COMMERCIO ALL'INGROSSO DI BENI DI CONSUMO FINALE</t>
  </si>
  <si>
    <t>Classe di rischio 4</t>
  </si>
  <si>
    <t>053850_161</t>
  </si>
  <si>
    <t>ZOOTECNICA S.R.L. - SOCIETA' AGRICOLA</t>
  </si>
  <si>
    <t>PUNTO DISTRIBUZIONE SRL</t>
  </si>
  <si>
    <t>AP MONTAGGI S.R.L.</t>
  </si>
  <si>
    <t>FUSILLO SEBASTIANO S.R.L.</t>
  </si>
  <si>
    <t>TURBO SERVICE S.R.L.</t>
  </si>
  <si>
    <t>NUGNES 1920 S.R.L.</t>
  </si>
  <si>
    <t>ANEZ SOCIETA' A RESPONSABILITA' LIMITATASEMPLIFICATA</t>
  </si>
  <si>
    <t>ILA SRLS</t>
  </si>
  <si>
    <t>162 - FABBRICAZIONE DI PRODOTTI IN LEGNO, SUGHERO, PAGLIA E MATERIALI DA INTRECCIO</t>
  </si>
  <si>
    <t>DIEMME COSTRUZIONI S.R.L.</t>
  </si>
  <si>
    <t>SPAZIO RELAX S.P.A.</t>
  </si>
  <si>
    <t>INTIMO ARTU' S.R.L.</t>
  </si>
  <si>
    <t>053850_165</t>
  </si>
  <si>
    <t>ORTOCOM PRENCIPE S.R.L.</t>
  </si>
  <si>
    <t>MEDICAL SOLUTIONS &amp; CONSULTING S.R.L.</t>
  </si>
  <si>
    <t>COMALSUR S.R.L.</t>
  </si>
  <si>
    <t>TECNOPACK S.R.L.</t>
  </si>
  <si>
    <t>AZIENDA AGRICOLA LA CORTE - SOCIETA' AGRICOL</t>
  </si>
  <si>
    <t>491 - Quasi societa' non finanziarie altre - Unita' o societa' con piu' di 5 e meno di 20 addetti</t>
  </si>
  <si>
    <t>COMUNE DI TARANTO</t>
  </si>
  <si>
    <t>173 - Amministrazioni comunali e unioni di comuni</t>
  </si>
  <si>
    <t>PRESTITOSI' AUTOMOTIVE S.R.L.</t>
  </si>
  <si>
    <t>284 - Altri ausiliari finanziari</t>
  </si>
  <si>
    <t>CURCIO SERVICE SRL</t>
  </si>
  <si>
    <t>4 M.M. S.R.L.</t>
  </si>
  <si>
    <t>LINKS - MANAGEMENT AND TECHNOLOGY - S.P.A. I</t>
  </si>
  <si>
    <t>PUBBLIVITA SRL</t>
  </si>
  <si>
    <t>731 - PUBBLICITÀ</t>
  </si>
  <si>
    <t>053850_99</t>
  </si>
  <si>
    <t>BANCA POPOLARE DI PUGLIA E BASILICATA SOCIETA' COOPERATIVA PER AZIONI</t>
  </si>
  <si>
    <t>245 - Sistema bancario</t>
  </si>
  <si>
    <t>641 - INTERMEDIAZIONE MONETARIA</t>
  </si>
  <si>
    <t>SANNIOLAT S.R.L.</t>
  </si>
  <si>
    <t>EMMEFFEDI CAR S.R.L.</t>
  </si>
  <si>
    <t>282 - FABBRICAZIONE DI ALTRE MACCHINE DI IMPIEGO GENERALE</t>
  </si>
  <si>
    <t>DOMINI S.R.L.</t>
  </si>
  <si>
    <t>WORK START SOCIETA' COOPERATIVA A R.L.</t>
  </si>
  <si>
    <t>053850_117</t>
  </si>
  <si>
    <t>DRANNL95E23G786D</t>
  </si>
  <si>
    <t>D'AURIA ANTONELLO</t>
  </si>
  <si>
    <t>012 - COLTIVAZIONE DI COLTURE PERMANENTI</t>
  </si>
  <si>
    <t>LA SCUDERIA S.R.L.S.</t>
  </si>
  <si>
    <t>SCRLRD79C23G786A</t>
  </si>
  <si>
    <t>SCARNATO LEONARDO</t>
  </si>
  <si>
    <t>NEVER STOP SRL</t>
  </si>
  <si>
    <t>461 - INTERMEDIARI DEL COMMERCIO</t>
  </si>
  <si>
    <t>053850_287</t>
  </si>
  <si>
    <t>GEL.DI. S.P.A.</t>
  </si>
  <si>
    <t>TRIBUNALE DI NOLA</t>
  </si>
  <si>
    <t>102 - Amministrazione Statale e Organi Costituzionali</t>
  </si>
  <si>
    <t>FABRIELLA GROUP S.R.L.</t>
  </si>
  <si>
    <t>CALCESTRUZZI IRPINI SPA</t>
  </si>
  <si>
    <t>236 - FABBRICAZIONE DI PRODOTTI IN CALCESTRUZZO, CEMENTO E GESSO</t>
  </si>
  <si>
    <t>EBANISTERIA CAPUTO SOCIETA' A RESPONSABILITA</t>
  </si>
  <si>
    <t>MV EXTRUSION S.P.A.</t>
  </si>
  <si>
    <t>LACE ITALIA SOCIETA' A RESPONSABILITA' LIMITATA</t>
  </si>
  <si>
    <t>GENKO S.R.L.</t>
  </si>
  <si>
    <t>AGRIDE' S.R.L.</t>
  </si>
  <si>
    <t>MICHELE COLUCCI S.R.L.</t>
  </si>
  <si>
    <t>ANDROMEDA SRL</t>
  </si>
  <si>
    <t>ASCO S.R.L.</t>
  </si>
  <si>
    <t>PRODUZIONE RELAX SPA</t>
  </si>
  <si>
    <t>CHRRRT60L27F839U</t>
  </si>
  <si>
    <t>CHIARI ROBERTO</t>
  </si>
  <si>
    <t>TERRA VIVA - SOCIETA' COOPERATIVA AGRICOLA</t>
  </si>
  <si>
    <t>016 - ATTIVITÀ DI SUPPORTO ALL'AGRICOLTURA E ATTIVITÀ SUCCESSIVE ALLA RACCOLTA</t>
  </si>
  <si>
    <t>053850_182</t>
  </si>
  <si>
    <t>COMES S.P.A.</t>
  </si>
  <si>
    <t>DF03-02 - Clienti che registrano elevata movimentazione in ingresso con bonifici e assegni e successiva movimentazione verso l'estero</t>
  </si>
  <si>
    <t>Row Labels</t>
  </si>
  <si>
    <t># POSIZIONE</t>
  </si>
  <si>
    <t>% POSIZIONE</t>
  </si>
  <si>
    <t>Falso Positivo</t>
  </si>
  <si>
    <t>Totale</t>
  </si>
  <si>
    <t>Tasso Falso Positivo</t>
  </si>
  <si>
    <t>Soglia</t>
  </si>
  <si>
    <t>Falso Positivo Eliminato</t>
  </si>
  <si>
    <t>IMPORTO Min</t>
  </si>
  <si>
    <t>IMPORTO Medio</t>
  </si>
  <si>
    <t>Alert Falso Positivo</t>
  </si>
  <si>
    <t>L’analisi evidenzia l’importo a livello di classe di rischio.
Falso Positivo =&gt; Flag Stato = 0
Open Alert =&gt; Flag Stato = 1</t>
  </si>
  <si>
    <t>Delta Soglie</t>
  </si>
  <si>
    <t>Numero alert scen DF03-02</t>
  </si>
  <si>
    <t>Totale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</si>
</sst>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yyyy\-mm\-dd\ hh:mm:ss"/>
    <numFmt numFmtId="165" formatCode="_-* #,##0\ &quot;€&quot;_-;\-* #,##0\ &quot;€&quot;_-;_-* &quot;-&quot;??\ &quot;€&quot;_-;_-@_-"/>
    <numFmt numFmtId="166" formatCode="0.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7EB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7">
    <xf numFmtId="0" fontId="0" fillId="0" borderId="0" xfId="0"/>
    <xf numFmtId="164" fontId="0" fillId="0" borderId="0" xfId="0" applyNumberFormat="1"/>
    <xf numFmtId="9" fontId="0" fillId="0" borderId="0" xfId="1" applyFont="1"/>
    <xf numFmtId="0" fontId="0" fillId="0" borderId="1" xfId="0" applyBorder="1"/>
    <xf numFmtId="9" fontId="0" fillId="0" borderId="1" xfId="1" applyFont="1" applyFill="1" applyBorder="1"/>
    <xf numFmtId="0" fontId="0" fillId="0" borderId="0" xfId="0" applyAlignment="1">
      <alignment horizontal="center" vertical="center"/>
    </xf>
    <xf numFmtId="44" fontId="0" fillId="0" borderId="1" xfId="0" applyNumberFormat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0" borderId="2" xfId="0" quotePrefix="1" applyBorder="1"/>
    <xf numFmtId="0" fontId="3" fillId="2" borderId="0" xfId="0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166" fontId="0" fillId="0" borderId="0" xfId="0" applyNumberFormat="1"/>
    <xf numFmtId="0" fontId="0" fillId="0" borderId="1" xfId="0" applyBorder="1" applyAlignment="1">
      <alignment horizontal="center"/>
    </xf>
    <xf numFmtId="165" fontId="0" fillId="0" borderId="1" xfId="2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0" fillId="0" borderId="1" xfId="1" applyNumberFormat="1" applyFont="1" applyBorder="1"/>
    <xf numFmtId="0" fontId="3" fillId="2" borderId="2" xfId="0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4" fontId="0" fillId="0" borderId="0" xfId="0" applyNumberFormat="1"/>
    <xf numFmtId="0" fontId="0" fillId="0" borderId="1" xfId="0" pivotButton="1" applyBorder="1"/>
    <xf numFmtId="0" fontId="0" fillId="0" borderId="1" xfId="0" applyBorder="1" applyAlignment="1">
      <alignment horizontal="left"/>
    </xf>
    <xf numFmtId="10" fontId="0" fillId="0" borderId="1" xfId="0" applyNumberFormat="1" applyBorder="1"/>
    <xf numFmtId="165" fontId="0" fillId="0" borderId="0" xfId="2" applyNumberFormat="1" applyFont="1"/>
    <xf numFmtId="0" fontId="0" fillId="0" borderId="0" xfId="0" applyAlignment="1">
      <alignment horizontal="center" vertical="center" wrapText="1"/>
    </xf>
    <xf numFmtId="0" fontId="3" fillId="2" borderId="1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9" fontId="3" fillId="2" borderId="2" xfId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0" fillId="0" borderId="1" xfId="0" applyNumberFormat="1" applyBorder="1"/>
  </cellXfs>
  <cellStyles count="3">
    <cellStyle name="Currency" xfId="2" builtinId="4"/>
    <cellStyle name="Normal" xfId="0" builtinId="0"/>
    <cellStyle name="Percent" xfId="1" builtinId="5"/>
  </cellStyles>
  <dxfs count="28"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</dxfs>
  <tableStyles count="0" defaultTableStyle="TableStyleMedium9" defaultPivotStyle="PivotStyleLight16"/>
  <colors>
    <mruColors>
      <color rgb="FF4A7EBB"/>
      <color rgb="FFEBF1DE"/>
      <color rgb="FF3292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'DF03-02'!$A$18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'DF03-02'!$B$17:$W$17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'DF03-02'!$B$18:$W$18</c:f>
              <c:numCache>
                <c:formatCode>General</c:formatCode>
                <c:ptCount val="22"/>
                <c:pt idx="0">
                  <c:v>184</c:v>
                </c:pt>
                <c:pt idx="1">
                  <c:v>184</c:v>
                </c:pt>
                <c:pt idx="2">
                  <c:v>174</c:v>
                </c:pt>
                <c:pt idx="3">
                  <c:v>165</c:v>
                </c:pt>
                <c:pt idx="4">
                  <c:v>156</c:v>
                </c:pt>
                <c:pt idx="5">
                  <c:v>147</c:v>
                </c:pt>
                <c:pt idx="6">
                  <c:v>138</c:v>
                </c:pt>
                <c:pt idx="7">
                  <c:v>129</c:v>
                </c:pt>
                <c:pt idx="8">
                  <c:v>119</c:v>
                </c:pt>
                <c:pt idx="9">
                  <c:v>110</c:v>
                </c:pt>
                <c:pt idx="10">
                  <c:v>109</c:v>
                </c:pt>
                <c:pt idx="11">
                  <c:v>92</c:v>
                </c:pt>
                <c:pt idx="12">
                  <c:v>83</c:v>
                </c:pt>
                <c:pt idx="13">
                  <c:v>74</c:v>
                </c:pt>
                <c:pt idx="14">
                  <c:v>65</c:v>
                </c:pt>
                <c:pt idx="15">
                  <c:v>55</c:v>
                </c:pt>
                <c:pt idx="16">
                  <c:v>46</c:v>
                </c:pt>
                <c:pt idx="17">
                  <c:v>37</c:v>
                </c:pt>
                <c:pt idx="18">
                  <c:v>28</c:v>
                </c:pt>
                <c:pt idx="19">
                  <c:v>19</c:v>
                </c:pt>
                <c:pt idx="20">
                  <c:v>10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3-41D0-9A50-A5708B8DF760}"/>
            </c:ext>
          </c:extLst>
        </c:ser>
        <c:ser>
          <c:idx val="1"/>
          <c:order val="1"/>
          <c:tx>
            <c:strRef>
              <c:f>'DF03-02'!$A$19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'DF03-02'!$B$17:$W$17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'DF03-02'!$B$19:$W$19</c:f>
              <c:numCache>
                <c:formatCode>General</c:formatCode>
                <c:ptCount val="22"/>
                <c:pt idx="0">
                  <c:v>140</c:v>
                </c:pt>
                <c:pt idx="1">
                  <c:v>140</c:v>
                </c:pt>
                <c:pt idx="2">
                  <c:v>135</c:v>
                </c:pt>
                <c:pt idx="3">
                  <c:v>132</c:v>
                </c:pt>
                <c:pt idx="4">
                  <c:v>131</c:v>
                </c:pt>
                <c:pt idx="5">
                  <c:v>126</c:v>
                </c:pt>
                <c:pt idx="6">
                  <c:v>123</c:v>
                </c:pt>
                <c:pt idx="7">
                  <c:v>118</c:v>
                </c:pt>
                <c:pt idx="8">
                  <c:v>112</c:v>
                </c:pt>
                <c:pt idx="9">
                  <c:v>103</c:v>
                </c:pt>
                <c:pt idx="10">
                  <c:v>102</c:v>
                </c:pt>
                <c:pt idx="11">
                  <c:v>97</c:v>
                </c:pt>
                <c:pt idx="12">
                  <c:v>93</c:v>
                </c:pt>
                <c:pt idx="13">
                  <c:v>88</c:v>
                </c:pt>
                <c:pt idx="14">
                  <c:v>71</c:v>
                </c:pt>
                <c:pt idx="15">
                  <c:v>64</c:v>
                </c:pt>
                <c:pt idx="16">
                  <c:v>59</c:v>
                </c:pt>
                <c:pt idx="17">
                  <c:v>47</c:v>
                </c:pt>
                <c:pt idx="18">
                  <c:v>36</c:v>
                </c:pt>
                <c:pt idx="19">
                  <c:v>27</c:v>
                </c:pt>
                <c:pt idx="20">
                  <c:v>17</c:v>
                </c:pt>
                <c:pt idx="2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43-41D0-9A50-A5708B8DF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'DF03-02'!$A$22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'DF03-02'!$C$17:$W$17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'DF03-02'!$B$22:$W$22</c:f>
              <c:numCache>
                <c:formatCode>0%</c:formatCode>
                <c:ptCount val="22"/>
                <c:pt idx="0">
                  <c:v>0.5679012345679012</c:v>
                </c:pt>
                <c:pt idx="1">
                  <c:v>0.5679012345679012</c:v>
                </c:pt>
                <c:pt idx="2">
                  <c:v>0.56310679611650483</c:v>
                </c:pt>
                <c:pt idx="3">
                  <c:v>0.55555555555555558</c:v>
                </c:pt>
                <c:pt idx="4">
                  <c:v>0.54355400696864109</c:v>
                </c:pt>
                <c:pt idx="5">
                  <c:v>0.53846153846153844</c:v>
                </c:pt>
                <c:pt idx="6">
                  <c:v>0.52873563218390807</c:v>
                </c:pt>
                <c:pt idx="7">
                  <c:v>0.52226720647773284</c:v>
                </c:pt>
                <c:pt idx="8">
                  <c:v>0.51515151515151514</c:v>
                </c:pt>
                <c:pt idx="9">
                  <c:v>0.51643192488262912</c:v>
                </c:pt>
                <c:pt idx="10">
                  <c:v>0.51658767772511849</c:v>
                </c:pt>
                <c:pt idx="11">
                  <c:v>0.48677248677248675</c:v>
                </c:pt>
                <c:pt idx="12">
                  <c:v>0.47159090909090912</c:v>
                </c:pt>
                <c:pt idx="13">
                  <c:v>0.4567901234567901</c:v>
                </c:pt>
                <c:pt idx="14">
                  <c:v>0.47794117647058826</c:v>
                </c:pt>
                <c:pt idx="15">
                  <c:v>0.46218487394957986</c:v>
                </c:pt>
                <c:pt idx="16">
                  <c:v>0.43809523809523809</c:v>
                </c:pt>
                <c:pt idx="17">
                  <c:v>0.44047619047619047</c:v>
                </c:pt>
                <c:pt idx="18">
                  <c:v>0.4375</c:v>
                </c:pt>
                <c:pt idx="19">
                  <c:v>0.41304347826086957</c:v>
                </c:pt>
                <c:pt idx="20">
                  <c:v>0.37037037037037035</c:v>
                </c:pt>
                <c:pt idx="21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43-41D0-9A50-A5708B8DF760}"/>
            </c:ext>
          </c:extLst>
        </c:ser>
        <c:ser>
          <c:idx val="3"/>
          <c:order val="3"/>
          <c:tx>
            <c:strRef>
              <c:f>'DF03-02'!$A$21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'DF03-02'!$C$17:$W$17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'DF03-02'!$B$21:$W$21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0.9642857142857143</c:v>
                </c:pt>
                <c:pt idx="3">
                  <c:v>0.94285714285714284</c:v>
                </c:pt>
                <c:pt idx="4">
                  <c:v>0.93571428571428572</c:v>
                </c:pt>
                <c:pt idx="5">
                  <c:v>0.9</c:v>
                </c:pt>
                <c:pt idx="6">
                  <c:v>0.87857142857142856</c:v>
                </c:pt>
                <c:pt idx="7">
                  <c:v>0.84285714285714286</c:v>
                </c:pt>
                <c:pt idx="8">
                  <c:v>0.8</c:v>
                </c:pt>
                <c:pt idx="9">
                  <c:v>0.73571428571428577</c:v>
                </c:pt>
                <c:pt idx="10">
                  <c:v>0.72857142857142854</c:v>
                </c:pt>
                <c:pt idx="11">
                  <c:v>0.69285714285714284</c:v>
                </c:pt>
                <c:pt idx="12">
                  <c:v>0.66428571428571426</c:v>
                </c:pt>
                <c:pt idx="13">
                  <c:v>0.62857142857142856</c:v>
                </c:pt>
                <c:pt idx="14">
                  <c:v>0.50714285714285712</c:v>
                </c:pt>
                <c:pt idx="15">
                  <c:v>0.45714285714285713</c:v>
                </c:pt>
                <c:pt idx="16">
                  <c:v>0.42142857142857143</c:v>
                </c:pt>
                <c:pt idx="17">
                  <c:v>0.33571428571428569</c:v>
                </c:pt>
                <c:pt idx="18">
                  <c:v>0.25714285714285712</c:v>
                </c:pt>
                <c:pt idx="19">
                  <c:v>0.19285714285714287</c:v>
                </c:pt>
                <c:pt idx="20">
                  <c:v>0.12142857142857143</c:v>
                </c:pt>
                <c:pt idx="21">
                  <c:v>3.5714285714285712E-2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E38-4981-9B10-913EABBB2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'DF03-02'!$A$24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'DF03-02'!$B$17:$W$17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'DF03-02'!$B$24:$W$24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19</c:v>
                </c:pt>
                <c:pt idx="4">
                  <c:v>28</c:v>
                </c:pt>
                <c:pt idx="5">
                  <c:v>37</c:v>
                </c:pt>
                <c:pt idx="6">
                  <c:v>46</c:v>
                </c:pt>
                <c:pt idx="7">
                  <c:v>55</c:v>
                </c:pt>
                <c:pt idx="8">
                  <c:v>65</c:v>
                </c:pt>
                <c:pt idx="9">
                  <c:v>74</c:v>
                </c:pt>
                <c:pt idx="10">
                  <c:v>75</c:v>
                </c:pt>
                <c:pt idx="11">
                  <c:v>92</c:v>
                </c:pt>
                <c:pt idx="12">
                  <c:v>101</c:v>
                </c:pt>
                <c:pt idx="13">
                  <c:v>110</c:v>
                </c:pt>
                <c:pt idx="14">
                  <c:v>119</c:v>
                </c:pt>
                <c:pt idx="15">
                  <c:v>129</c:v>
                </c:pt>
                <c:pt idx="16">
                  <c:v>138</c:v>
                </c:pt>
                <c:pt idx="17">
                  <c:v>147</c:v>
                </c:pt>
                <c:pt idx="18">
                  <c:v>156</c:v>
                </c:pt>
                <c:pt idx="19">
                  <c:v>165</c:v>
                </c:pt>
                <c:pt idx="20">
                  <c:v>174</c:v>
                </c:pt>
                <c:pt idx="21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0-469A-854B-55F7FFC17C7B}"/>
            </c:ext>
          </c:extLst>
        </c:ser>
        <c:ser>
          <c:idx val="1"/>
          <c:order val="1"/>
          <c:tx>
            <c:strRef>
              <c:f>'DF03-02'!$A$25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'DF03-02'!$B$17:$W$17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'DF03-02'!$B$25:$W$25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  <c:pt idx="5">
                  <c:v>14</c:v>
                </c:pt>
                <c:pt idx="6">
                  <c:v>17</c:v>
                </c:pt>
                <c:pt idx="7">
                  <c:v>22</c:v>
                </c:pt>
                <c:pt idx="8">
                  <c:v>28</c:v>
                </c:pt>
                <c:pt idx="9">
                  <c:v>37</c:v>
                </c:pt>
                <c:pt idx="10">
                  <c:v>38</c:v>
                </c:pt>
                <c:pt idx="11">
                  <c:v>43</c:v>
                </c:pt>
                <c:pt idx="12">
                  <c:v>47</c:v>
                </c:pt>
                <c:pt idx="13">
                  <c:v>52</c:v>
                </c:pt>
                <c:pt idx="14">
                  <c:v>69</c:v>
                </c:pt>
                <c:pt idx="15">
                  <c:v>76</c:v>
                </c:pt>
                <c:pt idx="16">
                  <c:v>81</c:v>
                </c:pt>
                <c:pt idx="17">
                  <c:v>93</c:v>
                </c:pt>
                <c:pt idx="18">
                  <c:v>104</c:v>
                </c:pt>
                <c:pt idx="19">
                  <c:v>113</c:v>
                </c:pt>
                <c:pt idx="20">
                  <c:v>123</c:v>
                </c:pt>
                <c:pt idx="21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90-469A-854B-55F7FFC17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'DF03-02'!$A$22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'DF03-02'!$C$17:$W$17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'DF03-02'!$B$22:$W$22</c:f>
              <c:numCache>
                <c:formatCode>0%</c:formatCode>
                <c:ptCount val="22"/>
                <c:pt idx="0">
                  <c:v>0.5679012345679012</c:v>
                </c:pt>
                <c:pt idx="1">
                  <c:v>0.5679012345679012</c:v>
                </c:pt>
                <c:pt idx="2">
                  <c:v>0.56310679611650483</c:v>
                </c:pt>
                <c:pt idx="3">
                  <c:v>0.55555555555555558</c:v>
                </c:pt>
                <c:pt idx="4">
                  <c:v>0.54355400696864109</c:v>
                </c:pt>
                <c:pt idx="5">
                  <c:v>0.53846153846153844</c:v>
                </c:pt>
                <c:pt idx="6">
                  <c:v>0.52873563218390807</c:v>
                </c:pt>
                <c:pt idx="7">
                  <c:v>0.52226720647773284</c:v>
                </c:pt>
                <c:pt idx="8">
                  <c:v>0.51515151515151514</c:v>
                </c:pt>
                <c:pt idx="9">
                  <c:v>0.51643192488262912</c:v>
                </c:pt>
                <c:pt idx="10">
                  <c:v>0.51658767772511849</c:v>
                </c:pt>
                <c:pt idx="11">
                  <c:v>0.48677248677248675</c:v>
                </c:pt>
                <c:pt idx="12">
                  <c:v>0.47159090909090912</c:v>
                </c:pt>
                <c:pt idx="13">
                  <c:v>0.4567901234567901</c:v>
                </c:pt>
                <c:pt idx="14">
                  <c:v>0.47794117647058826</c:v>
                </c:pt>
                <c:pt idx="15">
                  <c:v>0.46218487394957986</c:v>
                </c:pt>
                <c:pt idx="16">
                  <c:v>0.43809523809523809</c:v>
                </c:pt>
                <c:pt idx="17">
                  <c:v>0.44047619047619047</c:v>
                </c:pt>
                <c:pt idx="18">
                  <c:v>0.4375</c:v>
                </c:pt>
                <c:pt idx="19">
                  <c:v>0.41304347826086957</c:v>
                </c:pt>
                <c:pt idx="20">
                  <c:v>0.37037037037037035</c:v>
                </c:pt>
                <c:pt idx="21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90-469A-854B-55F7FFC17C7B}"/>
            </c:ext>
          </c:extLst>
        </c:ser>
        <c:ser>
          <c:idx val="3"/>
          <c:order val="3"/>
          <c:tx>
            <c:strRef>
              <c:f>'DF03-02'!$A$21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'DF03-02'!$C$17:$W$17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'DF03-02'!$B$21:$W$21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0.9642857142857143</c:v>
                </c:pt>
                <c:pt idx="3">
                  <c:v>0.94285714285714284</c:v>
                </c:pt>
                <c:pt idx="4">
                  <c:v>0.93571428571428572</c:v>
                </c:pt>
                <c:pt idx="5">
                  <c:v>0.9</c:v>
                </c:pt>
                <c:pt idx="6">
                  <c:v>0.87857142857142856</c:v>
                </c:pt>
                <c:pt idx="7">
                  <c:v>0.84285714285714286</c:v>
                </c:pt>
                <c:pt idx="8">
                  <c:v>0.8</c:v>
                </c:pt>
                <c:pt idx="9">
                  <c:v>0.73571428571428577</c:v>
                </c:pt>
                <c:pt idx="10">
                  <c:v>0.72857142857142854</c:v>
                </c:pt>
                <c:pt idx="11">
                  <c:v>0.69285714285714284</c:v>
                </c:pt>
                <c:pt idx="12">
                  <c:v>0.66428571428571426</c:v>
                </c:pt>
                <c:pt idx="13">
                  <c:v>0.62857142857142856</c:v>
                </c:pt>
                <c:pt idx="14">
                  <c:v>0.50714285714285712</c:v>
                </c:pt>
                <c:pt idx="15">
                  <c:v>0.45714285714285713</c:v>
                </c:pt>
                <c:pt idx="16">
                  <c:v>0.42142857142857143</c:v>
                </c:pt>
                <c:pt idx="17">
                  <c:v>0.33571428571428569</c:v>
                </c:pt>
                <c:pt idx="18">
                  <c:v>0.25714285714285712</c:v>
                </c:pt>
                <c:pt idx="19">
                  <c:v>0.19285714285714287</c:v>
                </c:pt>
                <c:pt idx="20">
                  <c:v>0.12142857142857143</c:v>
                </c:pt>
                <c:pt idx="21">
                  <c:v>3.5714285714285712E-2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90-469A-854B-55F7FFC17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9388</xdr:rowOff>
    </xdr:from>
    <xdr:to>
      <xdr:col>8</xdr:col>
      <xdr:colOff>854492</xdr:colOff>
      <xdr:row>66</xdr:row>
      <xdr:rowOff>107567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BDA734-E011-486F-A3D4-5A5D93826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27</xdr:row>
      <xdr:rowOff>0</xdr:rowOff>
    </xdr:from>
    <xdr:to>
      <xdr:col>16</xdr:col>
      <xdr:colOff>1655144</xdr:colOff>
      <xdr:row>66</xdr:row>
      <xdr:rowOff>98179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07270A-6BB8-4262-BBC6-DA6AC919B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fari, Sepehr" refreshedDate="45950.59642465278" createdVersion="8" refreshedVersion="8" minRefreshableVersion="3" recordCount="324" xr:uid="{ABAD7BAF-40DB-4577-9462-D51AD8D7ED2E}">
  <cacheSource type="worksheet">
    <worksheetSource ref="A1:CK325" sheet="Data"/>
  </cacheSource>
  <cacheFields count="89">
    <cacheField name="POSIZIONE" numFmtId="0">
      <sharedItems containsSemiMixedTypes="0" containsString="0" containsNumber="1" containsInteger="1" minValue="339458" maxValue="364838"/>
    </cacheField>
    <cacheField name="CODICE" numFmtId="0">
      <sharedItems/>
    </cacheField>
    <cacheField name="DESCRIZIONE" numFmtId="0">
      <sharedItems count="1">
        <s v="Clienti che registrano elevata movimentazione in ingresso con bonifici e assegni e successiva movimentazione verso l'estero"/>
      </sharedItems>
    </cacheField>
    <cacheField name="RILEVATA" numFmtId="164">
      <sharedItems containsSemiMixedTypes="0" containsNonDate="0" containsDate="1" containsString="0" minDate="2025-05-10T00:00:00" maxDate="2025-07-13T00:00:00"/>
    </cacheField>
    <cacheField name="INTERMEDIARIO" numFmtId="0">
      <sharedItems containsSemiMixedTypes="0" containsString="0" containsNumber="1" containsInteger="1" minValue="53850" maxValue="53850"/>
    </cacheField>
    <cacheField name="DIPENDENZA" numFmtId="0">
      <sharedItems containsSemiMixedTypes="0" containsString="0" containsNumber="1" containsInteger="1" minValue="99" maxValue="287"/>
    </cacheField>
    <cacheField name="IN CARICO A" numFmtId="0">
      <sharedItems/>
    </cacheField>
    <cacheField name="SISTEMA AR" numFmtId="0">
      <sharedItems/>
    </cacheField>
    <cacheField name="STATO" numFmtId="0">
      <sharedItems/>
    </cacheField>
    <cacheField name="INDICE PREDITTIVO" numFmtId="0">
      <sharedItems containsNonDate="0" containsString="0" containsBlank="1"/>
    </cacheField>
    <cacheField name="REGISTRAZIONE" numFmtId="0">
      <sharedItems containsNonDate="0" containsString="0" containsBlank="1"/>
    </cacheField>
    <cacheField name="NUMERO RAPPORTO" numFmtId="0">
      <sharedItems containsString="0" containsBlank="1" containsNumber="1" containsInteger="1" minValue="999361870311" maxValue="2873300001853"/>
    </cacheField>
    <cacheField name="DATA OPERAZIONE" numFmtId="0">
      <sharedItems containsSemiMixedTypes="0" containsString="0" containsNumber="1" containsInteger="1" minValue="20250401" maxValue="20250630"/>
    </cacheField>
    <cacheField name="CAUSALE ANALITICA" numFmtId="0">
      <sharedItems count="3">
        <s v="48 - Bonifico in arrivo"/>
        <s v="G1 - Versamento assegni tratti su altro intermediario"/>
        <s v="G2 - Versamento assegni tratti sullo stesso intermediario"/>
      </sharedItems>
    </cacheField>
    <cacheField name="CAUSALE SINTETICA" numFmtId="0">
      <sharedItems containsNonDate="0" containsString="0" containsBlank="1"/>
    </cacheField>
    <cacheField name="PAESE INTERMED. CONTROP." numFmtId="0">
      <sharedItems containsNonDate="0" containsString="0" containsBlank="1"/>
    </cacheField>
    <cacheField name="SEGNO" numFmtId="0">
      <sharedItems/>
    </cacheField>
    <cacheField name="IMPORTO" numFmtId="0">
      <sharedItems containsSemiMixedTypes="0" containsString="0" containsNumber="1" minValue="25045.55" maxValue="14500000"/>
    </cacheField>
    <cacheField name="DI CUI CONTANTE" numFmtId="0">
      <sharedItems containsNonDate="0" containsString="0" containsBlank="1"/>
    </cacheField>
    <cacheField name="TITOLARE NDG" numFmtId="0">
      <sharedItems containsSemiMixedTypes="0" containsString="0" containsNumber="1" containsInteger="1" minValue="1118" maxValue="4996689"/>
    </cacheField>
    <cacheField name="CODICE FISCALE" numFmtId="0">
      <sharedItems containsMixedTypes="1" containsNumber="1" containsInteger="1" minValue="296820723" maxValue="92008910637"/>
    </cacheField>
    <cacheField name="COGNOME E NOME / RAGIONE SOCIALE" numFmtId="0">
      <sharedItems/>
    </cacheField>
    <cacheField name="D21 SAE" numFmtId="0">
      <sharedItems/>
    </cacheField>
    <cacheField name="D22 ATECO" numFmtId="0">
      <sharedItems containsBlank="1"/>
    </cacheField>
    <cacheField name="PAESE RESIDENZA" numFmtId="0">
      <sharedItems/>
    </cacheField>
    <cacheField name="GESTORE" numFmtId="0">
      <sharedItems containsString="0" containsBlank="1" containsNumber="1" containsInteger="1" minValue="462" maxValue="1940"/>
    </cacheField>
    <cacheField name="STATO VALUTAZIONE" numFmtId="0">
      <sharedItems containsNonDate="0" containsString="0" containsBlank="1"/>
    </cacheField>
    <cacheField name="ID ECCEZIONE" numFmtId="0">
      <sharedItems containsNonDate="0" containsString="0" containsBlank="1"/>
    </cacheField>
    <cacheField name="DATA ULT. VALUTAZIONE" numFmtId="0">
      <sharedItems containsNonDate="0" containsString="0" containsBlank="1"/>
    </cacheField>
    <cacheField name="UFFICIO" numFmtId="0">
      <sharedItems containsNonDate="0" containsString="0" containsBlank="1"/>
    </cacheField>
    <cacheField name="AUTORE" numFmtId="0">
      <sharedItems containsNonDate="0" containsString="0" containsBlank="1"/>
    </cacheField>
    <cacheField name="ULTIMA VALUTAZIONE" numFmtId="0">
      <sharedItems containsNonDate="0" containsString="0" containsBlank="1"/>
    </cacheField>
    <cacheField name="PRESENZA ALLEGATI" numFmtId="0">
      <sharedItems containsNonDate="0" containsString="0" containsBlank="1"/>
    </cacheField>
    <cacheField name="ALTRE VALUTAZIONI" numFmtId="0">
      <sharedItems containsSemiMixedTypes="0" containsString="0" containsNumber="1" containsInteger="1" minValue="0" maxValue="0"/>
    </cacheField>
    <cacheField name="ANNOMESE" numFmtId="0">
      <sharedItems containsSemiMixedTypes="0" containsString="0" containsNumber="1" containsInteger="1" minValue="202504" maxValue="202506"/>
    </cacheField>
    <cacheField name="Stato2" numFmtId="0">
      <sharedItems containsBlank="1"/>
    </cacheField>
    <cacheField name="flag_stato" numFmtId="0">
      <sharedItems containsSemiMixedTypes="0" containsString="0" containsNumber="1" containsInteger="1" minValue="0" maxValue="1" count="2">
        <n v="0"/>
        <n v="1"/>
      </sharedItems>
    </cacheField>
    <cacheField name="flg_SCEN_IN_USO" numFmtId="0">
      <sharedItems containsSemiMixedTypes="0" containsString="0" containsNumber="1" containsInteger="1" minValue="1" maxValue="1"/>
    </cacheField>
    <cacheField name="CDG" numFmtId="0">
      <sharedItems containsString="0" containsBlank="1" containsNumber="1" containsInteger="1" minValue="155052" maxValue="4991786"/>
    </cacheField>
    <cacheField name="flag_OggValut" numFmtId="0">
      <sharedItems containsString="0" containsBlank="1" containsNumber="1" containsInteger="1" minValue="1" maxValue="1"/>
    </cacheField>
    <cacheField name="flag_anom_causale" numFmtId="0">
      <sharedItems containsSemiMixedTypes="0" containsString="0" containsNumber="1" containsInteger="1" minValue="0" maxValue="0"/>
    </cacheField>
    <cacheField name="ATECO_CODE" numFmtId="0">
      <sharedItems containsSemiMixedTypes="0" containsString="0" containsNumber="1" containsInteger="1" minValue="236" maxValue="999"/>
    </cacheField>
    <cacheField name="SAE_CODE" numFmtId="0">
      <sharedItems containsSemiMixedTypes="0" containsString="0" containsNumber="1" containsInteger="1" minValue="102" maxValue="615"/>
    </cacheField>
    <cacheField name="SAE_ATECO_CODE" numFmtId="0">
      <sharedItems containsSemiMixedTypes="0" containsString="0" containsNumber="1" containsInteger="1" minValue="102999" maxValue="615999"/>
    </cacheField>
    <cacheField name="Classe_old" numFmtId="0">
      <sharedItems containsBlank="1"/>
    </cacheField>
    <cacheField name="RES_ATECO" numFmtId="0">
      <sharedItems containsString="0" containsBlank="1" containsNumber="1" containsInteger="1" minValue="1" maxValue="1"/>
    </cacheField>
    <cacheField name="Classe" numFmtId="0">
      <sharedItems count="5">
        <s v="Classe di rischio 3"/>
        <s v="Classe di rischio 1"/>
        <s v="Classe di rischio 4"/>
        <s v="Classe di rischio 2"/>
        <s v="Classe di rischio 0"/>
      </sharedItems>
    </cacheField>
    <cacheField name="Percentile_00" numFmtId="0">
      <sharedItems containsSemiMixedTypes="0" containsString="0" containsNumber="1" minValue="25045.55" maxValue="25045.55"/>
    </cacheField>
    <cacheField name="Percentile_05" numFmtId="0">
      <sharedItems containsSemiMixedTypes="0" containsString="0" containsNumber="1" minValue="26010.331999999999" maxValue="26010.331999999999"/>
    </cacheField>
    <cacheField name="Percentile_10" numFmtId="0">
      <sharedItems containsSemiMixedTypes="0" containsString="0" containsNumber="1" minValue="27041.058000000001" maxValue="27041.058000000001"/>
    </cacheField>
    <cacheField name="Percentile_15" numFmtId="0">
      <sharedItems containsSemiMixedTypes="0" containsString="0" containsNumber="1" minValue="28420.708999999999" maxValue="28420.708999999999"/>
    </cacheField>
    <cacheField name="Percentile_20" numFmtId="0">
      <sharedItems containsSemiMixedTypes="0" containsString="0" containsNumber="1" minValue="29962.351999999999" maxValue="29962.351999999999"/>
    </cacheField>
    <cacheField name="Percentile_25" numFmtId="0">
      <sharedItems containsSemiMixedTypes="0" containsString="0" containsNumber="1" minValue="31788.16" maxValue="31788.16"/>
    </cacheField>
    <cacheField name="Percentile_30" numFmtId="0">
      <sharedItems containsSemiMixedTypes="0" containsString="0" containsNumber="1" minValue="34027.07" maxValue="34027.07"/>
    </cacheField>
    <cacheField name="Percentile_35" numFmtId="0">
      <sharedItems containsSemiMixedTypes="0" containsString="0" containsNumber="1" minValue="36641.5795" maxValue="36641.5795"/>
    </cacheField>
    <cacheField name="Percentile_40" numFmtId="0">
      <sharedItems containsSemiMixedTypes="0" containsString="0" containsNumber="1" minValue="39840.642" maxValue="39840.642"/>
    </cacheField>
    <cacheField name="Percentile_45" numFmtId="0">
      <sharedItems containsSemiMixedTypes="0" containsString="0" containsNumber="1" containsInteger="1" minValue="40000" maxValue="40000"/>
    </cacheField>
    <cacheField name="Percentile_50" numFmtId="0">
      <sharedItems containsSemiMixedTypes="0" containsString="0" containsNumber="1" minValue="41343.269999999997" maxValue="41343.269999999997"/>
    </cacheField>
    <cacheField name="Percentile_55" numFmtId="0">
      <sharedItems containsSemiMixedTypes="0" containsString="0" containsNumber="1" minValue="44702.324999999997" maxValue="44702.324999999997"/>
    </cacheField>
    <cacheField name="Percentile_60" numFmtId="0">
      <sharedItems containsSemiMixedTypes="0" containsString="0" containsNumber="1" minValue="49392.076000000001" maxValue="49392.076000000001"/>
    </cacheField>
    <cacheField name="Percentile_65" numFmtId="0">
      <sharedItems containsSemiMixedTypes="0" containsString="0" containsNumber="1" minValue="58375.907500000008" maxValue="58375.907500000008"/>
    </cacheField>
    <cacheField name="Percentile_70" numFmtId="0">
      <sharedItems containsSemiMixedTypes="0" containsString="0" containsNumber="1" minValue="70239.999999999985" maxValue="70239.999999999985"/>
    </cacheField>
    <cacheField name="Percentile_75" numFmtId="0">
      <sharedItems containsSemiMixedTypes="0" containsString="0" containsNumber="1" minValue="81597.5" maxValue="81597.5"/>
    </cacheField>
    <cacheField name="Percentile_80" numFmtId="0">
      <sharedItems containsSemiMixedTypes="0" containsString="0" containsNumber="1" minValue="118941.322" maxValue="118941.322"/>
    </cacheField>
    <cacheField name="Percentile_85" numFmtId="0">
      <sharedItems containsSemiMixedTypes="0" containsString="0" containsNumber="1" minValue="163981.24299999949" maxValue="163981.24299999949"/>
    </cacheField>
    <cacheField name="Percentile_90" numFmtId="0">
      <sharedItems containsSemiMixedTypes="0" containsString="0" containsNumber="1" minValue="270486.4050000002" maxValue="270486.4050000002"/>
    </cacheField>
    <cacheField name="Percentile_95" numFmtId="0">
      <sharedItems containsSemiMixedTypes="0" containsString="0" containsNumber="1" minValue="446888.37399999989" maxValue="446888.37399999989"/>
    </cacheField>
    <cacheField name="Percentile_100" numFmtId="0">
      <sharedItems containsSemiMixedTypes="0" containsString="0" containsNumber="1" minValue="2814221.66" maxValue="2814221.66"/>
    </cacheField>
    <cacheField name="flag_Percentile_00" numFmtId="0">
      <sharedItems containsSemiMixedTypes="0" containsString="0" containsNumber="1" containsInteger="1" minValue="1" maxValue="1"/>
    </cacheField>
    <cacheField name="flag_Percentile_05" numFmtId="0">
      <sharedItems containsSemiMixedTypes="0" containsString="0" containsNumber="1" containsInteger="1" minValue="0" maxValue="1"/>
    </cacheField>
    <cacheField name="flag_Percentile_10" numFmtId="0">
      <sharedItems containsSemiMixedTypes="0" containsString="0" containsNumber="1" containsInteger="1" minValue="0" maxValue="1"/>
    </cacheField>
    <cacheField name="flag_Percentile_15" numFmtId="0">
      <sharedItems containsSemiMixedTypes="0" containsString="0" containsNumber="1" containsInteger="1" minValue="0" maxValue="1"/>
    </cacheField>
    <cacheField name="flag_Percentile_20" numFmtId="0">
      <sharedItems containsSemiMixedTypes="0" containsString="0" containsNumber="1" containsInteger="1" minValue="0" maxValue="1"/>
    </cacheField>
    <cacheField name="flag_Percentile_25" numFmtId="0">
      <sharedItems containsSemiMixedTypes="0" containsString="0" containsNumber="1" containsInteger="1" minValue="0" maxValue="1"/>
    </cacheField>
    <cacheField name="flag_Percentile_30" numFmtId="0">
      <sharedItems containsSemiMixedTypes="0" containsString="0" containsNumber="1" containsInteger="1" minValue="0" maxValue="1"/>
    </cacheField>
    <cacheField name="flag_Percentile_35" numFmtId="0">
      <sharedItems containsSemiMixedTypes="0" containsString="0" containsNumber="1" containsInteger="1" minValue="0" maxValue="1"/>
    </cacheField>
    <cacheField name="flag_Percentile_40" numFmtId="0">
      <sharedItems containsSemiMixedTypes="0" containsString="0" containsNumber="1" containsInteger="1" minValue="0" maxValue="1"/>
    </cacheField>
    <cacheField name="flag_Percentile_45" numFmtId="0">
      <sharedItems containsSemiMixedTypes="0" containsString="0" containsNumber="1" containsInteger="1" minValue="0" maxValue="1"/>
    </cacheField>
    <cacheField name="flag_Percentile_50" numFmtId="0">
      <sharedItems containsSemiMixedTypes="0" containsString="0" containsNumber="1" containsInteger="1" minValue="0" maxValue="1"/>
    </cacheField>
    <cacheField name="flag_Percentile_55" numFmtId="0">
      <sharedItems containsSemiMixedTypes="0" containsString="0" containsNumber="1" containsInteger="1" minValue="0" maxValue="1"/>
    </cacheField>
    <cacheField name="flag_Percentile_60" numFmtId="0">
      <sharedItems containsSemiMixedTypes="0" containsString="0" containsNumber="1" containsInteger="1" minValue="0" maxValue="1"/>
    </cacheField>
    <cacheField name="flag_Percentile_65" numFmtId="0">
      <sharedItems containsSemiMixedTypes="0" containsString="0" containsNumber="1" containsInteger="1" minValue="0" maxValue="1"/>
    </cacheField>
    <cacheField name="flag_Percentile_70" numFmtId="0">
      <sharedItems containsSemiMixedTypes="0" containsString="0" containsNumber="1" containsInteger="1" minValue="0" maxValue="1"/>
    </cacheField>
    <cacheField name="flag_Percentile_75" numFmtId="0">
      <sharedItems containsSemiMixedTypes="0" containsString="0" containsNumber="1" containsInteger="1" minValue="0" maxValue="1"/>
    </cacheField>
    <cacheField name="flag_Percentile_80" numFmtId="0">
      <sharedItems containsSemiMixedTypes="0" containsString="0" containsNumber="1" containsInteger="1" minValue="0" maxValue="1"/>
    </cacheField>
    <cacheField name="flag_Percentile_85" numFmtId="0">
      <sharedItems containsSemiMixedTypes="0" containsString="0" containsNumber="1" containsInteger="1" minValue="0" maxValue="1"/>
    </cacheField>
    <cacheField name="flag_Percentile_90" numFmtId="0">
      <sharedItems containsSemiMixedTypes="0" containsString="0" containsNumber="1" containsInteger="1" minValue="0" maxValue="1"/>
    </cacheField>
    <cacheField name="flag_Percentile_95" numFmtId="0">
      <sharedItems containsSemiMixedTypes="0" containsString="0" containsNumber="1" containsInteger="1" minValue="0" maxValue="1"/>
    </cacheField>
    <cacheField name="flag_Percentile_100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4">
  <r>
    <n v="341994"/>
    <s v="DF03-02"/>
    <x v="0"/>
    <d v="2025-05-10T00:00:00"/>
    <n v="53850"/>
    <n v="122"/>
    <s v="053850_122"/>
    <s v="Discovery Frodi"/>
    <s v="Mai valutato"/>
    <m/>
    <m/>
    <n v="1223300002128"/>
    <n v="20250409"/>
    <x v="0"/>
    <m/>
    <m/>
    <s v="A     - Avere"/>
    <n v="39500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1991"/>
    <s v="DF03-02"/>
    <x v="0"/>
    <d v="2025-05-10T00:00:00"/>
    <n v="53850"/>
    <n v="154"/>
    <s v="053850_154"/>
    <s v="Discovery Frodi"/>
    <s v="Mai valutato"/>
    <m/>
    <m/>
    <n v="1543300004860"/>
    <n v="20250408"/>
    <x v="0"/>
    <m/>
    <m/>
    <s v="A     - Avere"/>
    <n v="30000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s v="ARCHIVIATA"/>
    <x v="0"/>
    <n v="1"/>
    <n v="3715569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1990"/>
    <s v="DF03-02"/>
    <x v="0"/>
    <d v="2025-05-10T00:00:00"/>
    <n v="53850"/>
    <n v="154"/>
    <s v="053850_154"/>
    <s v="Discovery Frodi"/>
    <s v="Mai valutato"/>
    <m/>
    <m/>
    <n v="1543300004860"/>
    <n v="20250409"/>
    <x v="0"/>
    <m/>
    <m/>
    <s v="A     - Avere"/>
    <n v="33250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s v="ARCHIVIATA"/>
    <x v="0"/>
    <n v="1"/>
    <n v="3715569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1985"/>
    <s v="DF03-02"/>
    <x v="0"/>
    <d v="2025-05-10T00:00:00"/>
    <n v="53850"/>
    <n v="169"/>
    <s v="053850_169"/>
    <s v="Discovery Frodi"/>
    <s v="Mai valutato"/>
    <m/>
    <m/>
    <n v="1693302222377"/>
    <n v="20250402"/>
    <x v="0"/>
    <m/>
    <m/>
    <s v="A     - Avere"/>
    <n v="147538.19"/>
    <m/>
    <n v="4036414"/>
    <n v="296820723"/>
    <s v="FRATELLI D'ADDATO S.R.L."/>
    <s v="430 - Imprese produttive"/>
    <s v="467 - COMMERCIO ALL'INGROSSO SPECIALIZZATO DI ALTRI PRODOTTI"/>
    <s v="086 - ITALIA"/>
    <n v="1920"/>
    <m/>
    <m/>
    <m/>
    <m/>
    <m/>
    <m/>
    <m/>
    <n v="0"/>
    <n v="202504"/>
    <s v="ARCHIVIATA"/>
    <x v="0"/>
    <n v="1"/>
    <n v="4036414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1984"/>
    <s v="DF03-02"/>
    <x v="0"/>
    <d v="2025-05-10T00:00:00"/>
    <n v="53850"/>
    <n v="105"/>
    <s v="053850_105"/>
    <s v="Discovery Frodi"/>
    <s v="Mai valutato"/>
    <m/>
    <m/>
    <n v="1053306287103"/>
    <n v="20250423"/>
    <x v="0"/>
    <m/>
    <m/>
    <s v="A     - Avere"/>
    <n v="1572927.57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1982"/>
    <s v="DF03-02"/>
    <x v="0"/>
    <d v="2025-05-10T00:00:00"/>
    <n v="53850"/>
    <n v="153"/>
    <s v="053850_153"/>
    <s v="Discovery Frodi"/>
    <s v="Mai valutato"/>
    <m/>
    <m/>
    <n v="1533300663959"/>
    <n v="20250422"/>
    <x v="0"/>
    <m/>
    <m/>
    <s v="A     - Avere"/>
    <n v="26730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4"/>
    <s v="ARCHIVIATA"/>
    <x v="0"/>
    <n v="1"/>
    <m/>
    <m/>
    <n v="0"/>
    <n v="462"/>
    <n v="430"/>
    <n v="43046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1980"/>
    <s v="DF03-02"/>
    <x v="0"/>
    <d v="2025-05-10T00:00:00"/>
    <n v="53850"/>
    <n v="192"/>
    <s v="053850_192"/>
    <s v="Discovery Frodi"/>
    <s v="Mai valutato"/>
    <m/>
    <m/>
    <n v="1923300183163"/>
    <n v="20250422"/>
    <x v="0"/>
    <m/>
    <m/>
    <s v="A     - Avere"/>
    <n v="28000"/>
    <m/>
    <n v="4695944"/>
    <s v="VLNFNC74H03H096P"/>
    <s v="VALENTE FRANCESCO"/>
    <s v="615 - Altre famiglie produttrici"/>
    <s v="691 - ATTIVITÀ DEGLI STUDI LEGALI"/>
    <s v="086 - ITALIA"/>
    <n v="481"/>
    <m/>
    <m/>
    <m/>
    <m/>
    <m/>
    <m/>
    <m/>
    <n v="0"/>
    <n v="202504"/>
    <s v="ARCHIVIATA"/>
    <x v="0"/>
    <n v="1"/>
    <n v="4695944"/>
    <n v="1"/>
    <n v="0"/>
    <n v="999"/>
    <n v="615"/>
    <n v="615999"/>
    <m/>
    <n v="1"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1976"/>
    <s v="DF03-02"/>
    <x v="0"/>
    <d v="2025-05-10T00:00:00"/>
    <n v="53850"/>
    <n v="153"/>
    <s v="053850_153"/>
    <s v="Discovery Frodi"/>
    <s v="Mai valutato"/>
    <m/>
    <m/>
    <n v="1533300663959"/>
    <n v="20250414"/>
    <x v="0"/>
    <m/>
    <m/>
    <s v="A     - Avere"/>
    <n v="30891.3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4"/>
    <s v="ARCHIVIATA"/>
    <x v="0"/>
    <n v="1"/>
    <m/>
    <m/>
    <n v="0"/>
    <n v="462"/>
    <n v="430"/>
    <n v="43046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1974"/>
    <s v="DF03-02"/>
    <x v="0"/>
    <d v="2025-05-10T00:00:00"/>
    <n v="53850"/>
    <n v="264"/>
    <s v="053850_264"/>
    <s v="Discovery Frodi"/>
    <s v="Mai valutato"/>
    <m/>
    <m/>
    <n v="2643300001866"/>
    <n v="20250415"/>
    <x v="0"/>
    <m/>
    <m/>
    <s v="A     - Avere"/>
    <n v="100000"/>
    <m/>
    <n v="1700310"/>
    <s v="VLLNNL74S19A801N"/>
    <s v="AVALLONE ANTONIO ALFREDO"/>
    <s v="615 - Altre famiglie produttrici"/>
    <s v="711 - ATTIVITÀ DEGLI STUDI DI ARCHITETTURA, INGEGNERIA ED ALTRI STUDI TECNICI"/>
    <s v="086 - ITALIA"/>
    <n v="1851"/>
    <m/>
    <m/>
    <m/>
    <m/>
    <m/>
    <m/>
    <m/>
    <n v="0"/>
    <n v="202504"/>
    <s v="ARCHIVIATA"/>
    <x v="0"/>
    <n v="1"/>
    <m/>
    <m/>
    <n v="0"/>
    <n v="999"/>
    <n v="615"/>
    <n v="615999"/>
    <m/>
    <n v="1"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1971"/>
    <s v="DF03-02"/>
    <x v="0"/>
    <d v="2025-05-10T00:00:00"/>
    <n v="53850"/>
    <n v="125"/>
    <s v="053850_125"/>
    <s v="Discovery Frodi"/>
    <s v="Mai valutato"/>
    <m/>
    <m/>
    <n v="1253309512895"/>
    <n v="20250407"/>
    <x v="0"/>
    <m/>
    <m/>
    <s v="A     - Avere"/>
    <n v="55652.61"/>
    <m/>
    <n v="4795279"/>
    <n v="1020090658"/>
    <s v="GIAGUARO - S.P.A."/>
    <s v="430 - Imprese produttive"/>
    <s v="103 - LAVORAZIONE E CONSERVAZIONE DI FRUTTA E ORTAGGI"/>
    <s v="086 - ITALIA"/>
    <n v="982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1961"/>
    <s v="DF03-02"/>
    <x v="0"/>
    <d v="2025-05-10T00:00:00"/>
    <n v="53850"/>
    <n v="153"/>
    <s v="053850_153"/>
    <s v="Discovery Frodi"/>
    <s v="Mai valutato"/>
    <m/>
    <m/>
    <n v="1533300663959"/>
    <n v="20250422"/>
    <x v="0"/>
    <m/>
    <m/>
    <s v="A     - Avere"/>
    <n v="28600.02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4"/>
    <s v="ARCHIVIATA"/>
    <x v="0"/>
    <n v="1"/>
    <m/>
    <m/>
    <n v="0"/>
    <n v="462"/>
    <n v="430"/>
    <n v="43046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1957"/>
    <s v="DF03-02"/>
    <x v="0"/>
    <d v="2025-05-10T00:00:00"/>
    <n v="53850"/>
    <n v="154"/>
    <s v="053850_154"/>
    <s v="Discovery Frodi"/>
    <s v="Mai valutato"/>
    <m/>
    <m/>
    <n v="1543300004860"/>
    <n v="20250402"/>
    <x v="0"/>
    <m/>
    <m/>
    <s v="A     - Avere"/>
    <n v="55660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s v="ARCHIVIATA"/>
    <x v="0"/>
    <n v="1"/>
    <n v="3715569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1946"/>
    <s v="DF03-02"/>
    <x v="0"/>
    <d v="2025-05-10T00:00:00"/>
    <n v="53850"/>
    <n v="153"/>
    <s v="053850_153"/>
    <s v="Discovery Frodi"/>
    <s v="Mai valutato"/>
    <m/>
    <m/>
    <n v="1533300663959"/>
    <n v="20250414"/>
    <x v="0"/>
    <m/>
    <m/>
    <s v="A     - Avere"/>
    <n v="25045.55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4"/>
    <s v="ARCHIVIATA"/>
    <x v="0"/>
    <n v="1"/>
    <m/>
    <m/>
    <n v="0"/>
    <n v="462"/>
    <n v="430"/>
    <n v="43046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1945"/>
    <s v="DF03-02"/>
    <x v="0"/>
    <d v="2025-05-10T00:00:00"/>
    <n v="53850"/>
    <n v="148"/>
    <s v="053850_148"/>
    <s v="Discovery Frodi"/>
    <s v="Mai valutato"/>
    <m/>
    <m/>
    <n v="1483300004308"/>
    <n v="20250401"/>
    <x v="0"/>
    <m/>
    <m/>
    <s v="A     - Avere"/>
    <n v="41685"/>
    <m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1944"/>
    <s v="DF03-02"/>
    <x v="0"/>
    <d v="2025-05-10T00:00:00"/>
    <n v="53850"/>
    <n v="103"/>
    <s v="053850_103"/>
    <s v="Discovery Frodi"/>
    <s v="Mai valutato"/>
    <m/>
    <m/>
    <n v="1033306967935"/>
    <n v="20250403"/>
    <x v="1"/>
    <m/>
    <m/>
    <s v="A     - Avere"/>
    <n v="25126.83"/>
    <m/>
    <n v="155052"/>
    <n v="2563580725"/>
    <s v="ITALSUD CARBURANTI SRL"/>
    <s v="430 - Imprese produttive"/>
    <s v="467 - COMMERCIO ALL'INGROSSO SPECIALIZZATO DI ALTRI PRODOTTI"/>
    <s v="086 - ITALIA"/>
    <n v="1926"/>
    <m/>
    <m/>
    <m/>
    <m/>
    <m/>
    <m/>
    <m/>
    <n v="0"/>
    <n v="202504"/>
    <s v="ARCHIVIATA"/>
    <x v="0"/>
    <n v="1"/>
    <n v="155052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1941"/>
    <s v="DF03-02"/>
    <x v="0"/>
    <d v="2025-05-10T00:00:00"/>
    <n v="53850"/>
    <n v="125"/>
    <s v="053850_125"/>
    <s v="Discovery Frodi"/>
    <s v="Mai valutato"/>
    <m/>
    <m/>
    <n v="1253309512895"/>
    <n v="20250402"/>
    <x v="0"/>
    <m/>
    <m/>
    <s v="A     - Avere"/>
    <n v="178429.19"/>
    <m/>
    <n v="4795279"/>
    <n v="1020090658"/>
    <s v="GIAGUARO - S.P.A."/>
    <s v="430 - Imprese produttive"/>
    <s v="103 - LAVORAZIONE E CONSERVAZIONE DI FRUTTA E ORTAGGI"/>
    <s v="086 - ITALIA"/>
    <n v="982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1937"/>
    <s v="DF03-02"/>
    <x v="0"/>
    <d v="2025-05-10T00:00:00"/>
    <n v="53850"/>
    <n v="122"/>
    <s v="053850_122"/>
    <s v="Discovery Frodi"/>
    <s v="Mai valutato"/>
    <m/>
    <m/>
    <n v="1223300001682"/>
    <n v="20250429"/>
    <x v="0"/>
    <m/>
    <m/>
    <s v="A     - Avere"/>
    <n v="350419.46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1931"/>
    <s v="DF03-02"/>
    <x v="0"/>
    <d v="2025-05-10T00:00:00"/>
    <n v="53850"/>
    <n v="105"/>
    <s v="053850_105"/>
    <s v="Discovery Frodi"/>
    <s v="Mai valutato"/>
    <m/>
    <m/>
    <n v="1053306287103"/>
    <n v="20250424"/>
    <x v="0"/>
    <m/>
    <m/>
    <s v="A     - Avere"/>
    <n v="208134.89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1927"/>
    <s v="DF03-02"/>
    <x v="0"/>
    <d v="2025-05-10T00:00:00"/>
    <n v="53850"/>
    <n v="268"/>
    <s v="053850_268"/>
    <s v="Discovery Frodi"/>
    <s v="Mai valutato"/>
    <m/>
    <m/>
    <n v="2683300010038"/>
    <n v="20250402"/>
    <x v="0"/>
    <m/>
    <m/>
    <s v="A     - Avere"/>
    <n v="120007.67999999999"/>
    <m/>
    <n v="1604219"/>
    <n v="952850790"/>
    <s v="SABOLIO SRL"/>
    <s v="430 - Imprese produttive"/>
    <s v="104 - PRODUZIONE DI OLI E GRASSI VEGETALI E ANIMALI"/>
    <s v="086 - ITALIA"/>
    <n v="1627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1924"/>
    <s v="DF03-02"/>
    <x v="0"/>
    <d v="2025-05-10T00:00:00"/>
    <n v="53850"/>
    <n v="122"/>
    <s v="053850_122"/>
    <s v="Discovery Frodi"/>
    <s v="Mai valutato"/>
    <m/>
    <m/>
    <n v="1223300001682"/>
    <n v="20250429"/>
    <x v="0"/>
    <m/>
    <m/>
    <s v="A     - Avere"/>
    <n v="87840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1919"/>
    <s v="DF03-02"/>
    <x v="0"/>
    <d v="2025-05-10T00:00:00"/>
    <n v="53850"/>
    <n v="153"/>
    <s v="053850_153"/>
    <s v="Discovery Frodi"/>
    <s v="Mai valutato"/>
    <m/>
    <m/>
    <n v="1533300663959"/>
    <n v="20250428"/>
    <x v="0"/>
    <m/>
    <m/>
    <s v="A     - Avere"/>
    <n v="28809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4"/>
    <s v="ARCHIVIATA"/>
    <x v="0"/>
    <n v="1"/>
    <m/>
    <m/>
    <n v="0"/>
    <n v="462"/>
    <n v="430"/>
    <n v="43046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1912"/>
    <s v="DF03-02"/>
    <x v="0"/>
    <d v="2025-05-10T00:00:00"/>
    <n v="53850"/>
    <n v="122"/>
    <s v="053850_122"/>
    <s v="Discovery Frodi"/>
    <s v="Mai valutato"/>
    <m/>
    <m/>
    <n v="1223300001682"/>
    <n v="20250429"/>
    <x v="0"/>
    <m/>
    <m/>
    <s v="A     - Avere"/>
    <n v="99430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1910"/>
    <s v="DF03-02"/>
    <x v="0"/>
    <d v="2025-05-10T00:00:00"/>
    <n v="53850"/>
    <n v="148"/>
    <s v="053850_148"/>
    <s v="Discovery Frodi"/>
    <s v="Mai valutato"/>
    <m/>
    <m/>
    <n v="1483300006067"/>
    <n v="20250414"/>
    <x v="0"/>
    <m/>
    <m/>
    <s v="A     - Avere"/>
    <n v="40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1904"/>
    <s v="DF03-02"/>
    <x v="0"/>
    <d v="2025-05-10T00:00:00"/>
    <n v="53850"/>
    <n v="122"/>
    <s v="053850_122"/>
    <s v="Discovery Frodi"/>
    <s v="Mai valutato"/>
    <m/>
    <m/>
    <n v="1223300002128"/>
    <n v="20250409"/>
    <x v="0"/>
    <m/>
    <m/>
    <s v="A     - Avere"/>
    <n v="77996.14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1896"/>
    <s v="DF03-02"/>
    <x v="0"/>
    <d v="2025-05-10T00:00:00"/>
    <n v="53850"/>
    <n v="109"/>
    <s v="053850_109"/>
    <s v="Discovery Frodi"/>
    <s v="Mai valutato"/>
    <m/>
    <m/>
    <n v="1093306672844"/>
    <n v="20250416"/>
    <x v="0"/>
    <m/>
    <m/>
    <s v="A     - Avere"/>
    <n v="800000"/>
    <m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s v="ARCHIVIATA"/>
    <x v="0"/>
    <n v="1"/>
    <n v="440311"/>
    <n v="1"/>
    <n v="0"/>
    <n v="451"/>
    <n v="430"/>
    <n v="430451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1890"/>
    <s v="DF03-02"/>
    <x v="0"/>
    <d v="2025-05-10T00:00:00"/>
    <n v="53850"/>
    <n v="122"/>
    <s v="053850_122"/>
    <s v="Discovery Frodi"/>
    <s v="Mai valutato"/>
    <m/>
    <m/>
    <n v="1223300002128"/>
    <n v="20250428"/>
    <x v="0"/>
    <m/>
    <m/>
    <s v="A     - Avere"/>
    <n v="32860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1888"/>
    <s v="DF03-02"/>
    <x v="0"/>
    <d v="2025-05-10T00:00:00"/>
    <n v="53850"/>
    <n v="122"/>
    <s v="053850_122"/>
    <s v="Discovery Frodi"/>
    <s v="Mai valutato"/>
    <m/>
    <m/>
    <n v="1223300002128"/>
    <n v="20250409"/>
    <x v="0"/>
    <m/>
    <m/>
    <s v="A     - Avere"/>
    <n v="34002.769999999997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1886"/>
    <s v="DF03-02"/>
    <x v="0"/>
    <d v="2025-05-10T00:00:00"/>
    <n v="53850"/>
    <n v="132"/>
    <s v="053850_132"/>
    <s v="Discovery Frodi"/>
    <s v="Mai valutato"/>
    <m/>
    <m/>
    <n v="1323300003714"/>
    <n v="20250417"/>
    <x v="0"/>
    <m/>
    <m/>
    <s v="A     - Avere"/>
    <n v="32313.599999999999"/>
    <m/>
    <n v="3724103"/>
    <n v="2178850760"/>
    <s v="DESMA SOCIETA' A RESPONSABILITA' LIMITATA SEMPLIFICATA"/>
    <s v="430 - Imprese produttive"/>
    <s v="522 - ATTIVITÀ DI SUPPORTO AI TRASPORTI"/>
    <s v="086 - ITALIA"/>
    <n v="823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1866"/>
    <s v="DF03-02"/>
    <x v="0"/>
    <d v="2025-05-10T00:00:00"/>
    <n v="53850"/>
    <n v="128"/>
    <s v="053850_128"/>
    <s v="Discovery Frodi"/>
    <s v="Mai valutato"/>
    <m/>
    <m/>
    <n v="1283300001665"/>
    <n v="20250402"/>
    <x v="1"/>
    <m/>
    <m/>
    <s v="A     - Avere"/>
    <n v="53722.17"/>
    <m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1864"/>
    <s v="DF03-02"/>
    <x v="0"/>
    <d v="2025-05-10T00:00:00"/>
    <n v="53850"/>
    <n v="109"/>
    <s v="053850_109"/>
    <s v="Discovery Frodi"/>
    <s v="Mai valutato"/>
    <m/>
    <m/>
    <n v="1093306674353"/>
    <n v="20250404"/>
    <x v="2"/>
    <m/>
    <m/>
    <s v="A     - Avere"/>
    <n v="130000"/>
    <m/>
    <n v="4916449"/>
    <n v="8176830720"/>
    <s v="CENTRO AUTOVEICOLI S.R.L."/>
    <s v="430 - Imprese produttive"/>
    <s v="451 - COMMERCIO DI AUTOVEICOLI"/>
    <s v="086 - ITALIA"/>
    <n v="1903"/>
    <m/>
    <m/>
    <m/>
    <m/>
    <m/>
    <m/>
    <m/>
    <n v="0"/>
    <n v="202504"/>
    <s v="ARCHIVIATA"/>
    <x v="0"/>
    <n v="1"/>
    <m/>
    <m/>
    <n v="0"/>
    <n v="451"/>
    <n v="430"/>
    <n v="430451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1861"/>
    <s v="DF03-02"/>
    <x v="0"/>
    <d v="2025-05-10T00:00:00"/>
    <n v="53850"/>
    <n v="175"/>
    <s v="053850_175"/>
    <s v="Discovery Frodi"/>
    <s v="Mai valutato"/>
    <m/>
    <m/>
    <n v="1753302203127"/>
    <n v="20250407"/>
    <x v="1"/>
    <m/>
    <m/>
    <s v="A     - Avere"/>
    <n v="29089.99"/>
    <m/>
    <n v="4160138"/>
    <n v="484200779"/>
    <s v="DE.RA.DO. SRL"/>
    <s v="430 - Imprese produttive"/>
    <s v="031 - PESCA"/>
    <s v="086 - ITALIA"/>
    <n v="739"/>
    <m/>
    <m/>
    <m/>
    <m/>
    <m/>
    <m/>
    <m/>
    <n v="0"/>
    <n v="202504"/>
    <s v="IN VALUTAZIONE RPR"/>
    <x v="1"/>
    <n v="1"/>
    <n v="4160138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1857"/>
    <s v="DF03-02"/>
    <x v="0"/>
    <d v="2025-05-10T00:00:00"/>
    <n v="53850"/>
    <n v="122"/>
    <s v="053850_122"/>
    <s v="Discovery Frodi"/>
    <s v="Mai valutato"/>
    <m/>
    <m/>
    <n v="1223300002128"/>
    <n v="20250409"/>
    <x v="0"/>
    <m/>
    <m/>
    <s v="A     - Avere"/>
    <n v="32524.58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1856"/>
    <s v="DF03-02"/>
    <x v="0"/>
    <d v="2025-05-10T00:00:00"/>
    <n v="53850"/>
    <n v="122"/>
    <s v="053850_122"/>
    <s v="Discovery Frodi"/>
    <s v="Mai valutato"/>
    <m/>
    <m/>
    <n v="1223300002128"/>
    <n v="20250409"/>
    <x v="0"/>
    <m/>
    <m/>
    <s v="A     - Avere"/>
    <n v="125998.16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1851"/>
    <s v="DF03-02"/>
    <x v="0"/>
    <d v="2025-05-10T00:00:00"/>
    <n v="53850"/>
    <n v="191"/>
    <s v="053850_191"/>
    <s v="Discovery Frodi"/>
    <s v="Mai valutato"/>
    <m/>
    <m/>
    <n v="1913300068122"/>
    <n v="20250429"/>
    <x v="0"/>
    <m/>
    <m/>
    <s v="A     - Avere"/>
    <n v="30000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1846"/>
    <s v="DF03-02"/>
    <x v="0"/>
    <d v="2025-05-10T00:00:00"/>
    <n v="53850"/>
    <n v="122"/>
    <s v="053850_122"/>
    <s v="Discovery Frodi"/>
    <s v="Mai valutato"/>
    <m/>
    <m/>
    <n v="1223300001682"/>
    <n v="20250409"/>
    <x v="0"/>
    <m/>
    <m/>
    <s v="A     - Avere"/>
    <n v="119376.46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1837"/>
    <s v="DF03-02"/>
    <x v="0"/>
    <d v="2025-05-10T00:00:00"/>
    <n v="53850"/>
    <n v="132"/>
    <s v="053850_132"/>
    <s v="Discovery Frodi"/>
    <s v="Mai valutato"/>
    <m/>
    <m/>
    <n v="1323300003714"/>
    <n v="20250407"/>
    <x v="0"/>
    <m/>
    <m/>
    <s v="A     - Avere"/>
    <n v="28274"/>
    <m/>
    <n v="3724103"/>
    <n v="2178850760"/>
    <s v="DESMA SOCIETA' A RESPONSABILITA' LIMITATA SEMPLIFICATA"/>
    <s v="430 - Imprese produttive"/>
    <s v="522 - ATTIVITÀ DI SUPPORTO AI TRASPORTI"/>
    <s v="086 - ITALIA"/>
    <n v="823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1832"/>
    <s v="DF03-02"/>
    <x v="0"/>
    <d v="2025-05-10T00:00:00"/>
    <n v="53850"/>
    <n v="122"/>
    <s v="053850_122"/>
    <s v="Discovery Frodi"/>
    <s v="Mai valutato"/>
    <m/>
    <m/>
    <n v="1223300002128"/>
    <n v="20250410"/>
    <x v="0"/>
    <m/>
    <m/>
    <s v="A     - Avere"/>
    <n v="39297.589999999997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1819"/>
    <s v="DF03-02"/>
    <x v="0"/>
    <d v="2025-05-10T00:00:00"/>
    <n v="53850"/>
    <n v="153"/>
    <s v="053850_153"/>
    <s v="Discovery Frodi"/>
    <s v="Mai valutato"/>
    <m/>
    <m/>
    <n v="1533300663957"/>
    <n v="20250414"/>
    <x v="0"/>
    <m/>
    <m/>
    <s v="A     - Avere"/>
    <n v="48960.38"/>
    <m/>
    <n v="3720623"/>
    <n v="3067020648"/>
    <s v="E F ALLEVA S.R.L."/>
    <s v="430 - Imprese produttive"/>
    <s v="462 - COMMERCIO ALL'INGROSSO DI MATERIE PRIME AGRICOLE E DI ANIMALI VIVI"/>
    <s v="086 - ITALIA"/>
    <n v="1055"/>
    <m/>
    <m/>
    <m/>
    <m/>
    <m/>
    <m/>
    <m/>
    <n v="0"/>
    <n v="202504"/>
    <s v="ARCHIVIATA"/>
    <x v="0"/>
    <n v="1"/>
    <m/>
    <m/>
    <n v="0"/>
    <n v="462"/>
    <n v="430"/>
    <n v="43046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1814"/>
    <s v="DF03-02"/>
    <x v="0"/>
    <d v="2025-05-10T00:00:00"/>
    <n v="53850"/>
    <n v="122"/>
    <s v="053850_122"/>
    <s v="Discovery Frodi"/>
    <s v="Mai valutato"/>
    <m/>
    <m/>
    <n v="1223300001682"/>
    <n v="20250428"/>
    <x v="0"/>
    <m/>
    <m/>
    <s v="A     - Avere"/>
    <n v="83000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1808"/>
    <s v="DF03-02"/>
    <x v="0"/>
    <d v="2025-05-10T00:00:00"/>
    <n v="53850"/>
    <n v="122"/>
    <s v="053850_122"/>
    <s v="Discovery Frodi"/>
    <s v="Mai valutato"/>
    <m/>
    <m/>
    <n v="1223300001682"/>
    <n v="20250410"/>
    <x v="0"/>
    <m/>
    <m/>
    <s v="A     - Avere"/>
    <n v="35000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1805"/>
    <s v="DF03-02"/>
    <x v="0"/>
    <d v="2025-05-10T00:00:00"/>
    <n v="53850"/>
    <n v="153"/>
    <s v="053850_153"/>
    <s v="Discovery Frodi"/>
    <s v="Mai valutato"/>
    <m/>
    <m/>
    <n v="1533300663959"/>
    <n v="20250428"/>
    <x v="0"/>
    <m/>
    <m/>
    <s v="A     - Avere"/>
    <n v="45100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4"/>
    <s v="ARCHIVIATA"/>
    <x v="0"/>
    <n v="1"/>
    <m/>
    <m/>
    <n v="0"/>
    <n v="462"/>
    <n v="430"/>
    <n v="43046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1797"/>
    <s v="DF03-02"/>
    <x v="0"/>
    <d v="2025-05-10T00:00:00"/>
    <n v="53850"/>
    <n v="148"/>
    <s v="053850_148"/>
    <s v="Discovery Frodi"/>
    <s v="Mai valutato"/>
    <m/>
    <m/>
    <n v="1483300006067"/>
    <n v="20250414"/>
    <x v="0"/>
    <m/>
    <m/>
    <s v="A     - Avere"/>
    <n v="40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1793"/>
    <s v="DF03-02"/>
    <x v="0"/>
    <d v="2025-05-10T00:00:00"/>
    <n v="53850"/>
    <n v="141"/>
    <s v="053850_141"/>
    <s v="Discovery Frodi"/>
    <s v="Mai valutato"/>
    <m/>
    <m/>
    <n v="1413300003985"/>
    <n v="20250403"/>
    <x v="0"/>
    <m/>
    <m/>
    <s v="A     - Avere"/>
    <n v="343671.11"/>
    <m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4"/>
    <s v="ARCHIVIATA"/>
    <x v="0"/>
    <n v="1"/>
    <m/>
    <m/>
    <n v="0"/>
    <n v="931"/>
    <n v="430"/>
    <n v="430931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1792"/>
    <s v="DF03-02"/>
    <x v="0"/>
    <d v="2025-05-10T00:00:00"/>
    <n v="53850"/>
    <n v="104"/>
    <s v="053850_104"/>
    <s v="Discovery Frodi"/>
    <s v="Mai valutato"/>
    <m/>
    <m/>
    <n v="1043304173550"/>
    <n v="20250423"/>
    <x v="1"/>
    <m/>
    <m/>
    <s v="A     - Avere"/>
    <n v="26128.01"/>
    <m/>
    <n v="417355"/>
    <n v="374690725"/>
    <s v="MARTINCART SRL"/>
    <s v="430 - Imprese produttive"/>
    <s v="464 - COMMERCIO ALL'INGROSSO DI BENI DI CONSUMO FINALE"/>
    <s v="086 - ITALIA"/>
    <n v="1919"/>
    <m/>
    <m/>
    <m/>
    <m/>
    <m/>
    <m/>
    <m/>
    <n v="0"/>
    <n v="202504"/>
    <s v="ARCHIVIATA DA RPR"/>
    <x v="0"/>
    <n v="1"/>
    <n v="417355"/>
    <n v="1"/>
    <n v="0"/>
    <n v="464"/>
    <n v="430"/>
    <n v="430464"/>
    <s v="Classe di rischio 4"/>
    <m/>
    <x v="2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1790"/>
    <s v="DF03-02"/>
    <x v="0"/>
    <d v="2025-05-10T00:00:00"/>
    <n v="53850"/>
    <n v="148"/>
    <s v="053850_148"/>
    <s v="Discovery Frodi"/>
    <s v="Mai valutato"/>
    <m/>
    <m/>
    <n v="1483300004308"/>
    <n v="20250424"/>
    <x v="0"/>
    <m/>
    <m/>
    <s v="A     - Avere"/>
    <n v="40024.199999999997"/>
    <m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1789"/>
    <s v="DF03-02"/>
    <x v="0"/>
    <d v="2025-05-10T00:00:00"/>
    <n v="53850"/>
    <n v="105"/>
    <s v="053850_105"/>
    <s v="Discovery Frodi"/>
    <s v="Mai valutato"/>
    <m/>
    <m/>
    <n v="1053306287103"/>
    <n v="20250409"/>
    <x v="0"/>
    <m/>
    <m/>
    <s v="A     - Avere"/>
    <n v="44869.06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1779"/>
    <s v="DF03-02"/>
    <x v="0"/>
    <d v="2025-05-10T00:00:00"/>
    <n v="53850"/>
    <n v="122"/>
    <s v="053850_122"/>
    <s v="Discovery Frodi"/>
    <s v="Mai valutato"/>
    <m/>
    <m/>
    <n v="1223300002128"/>
    <n v="20250409"/>
    <x v="0"/>
    <m/>
    <m/>
    <s v="A     - Avere"/>
    <n v="45226.66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1778"/>
    <s v="DF03-02"/>
    <x v="0"/>
    <d v="2025-05-10T00:00:00"/>
    <n v="53850"/>
    <n v="122"/>
    <s v="053850_122"/>
    <s v="Discovery Frodi"/>
    <s v="Mai valutato"/>
    <m/>
    <m/>
    <n v="1223300001682"/>
    <n v="20250429"/>
    <x v="0"/>
    <m/>
    <m/>
    <s v="A     - Avere"/>
    <n v="596435.75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1777"/>
    <s v="DF03-02"/>
    <x v="0"/>
    <d v="2025-05-10T00:00:00"/>
    <n v="53850"/>
    <n v="161"/>
    <s v="053850_161"/>
    <s v="Discovery Frodi"/>
    <s v="Mai valutato"/>
    <m/>
    <m/>
    <n v="1613300032599"/>
    <n v="20250430"/>
    <x v="0"/>
    <m/>
    <m/>
    <s v="A     - Avere"/>
    <n v="75000"/>
    <m/>
    <n v="4845705"/>
    <n v="6832140724"/>
    <s v="ZOOTECNICA S.R.L. - SOCIETA' AGRICOLA"/>
    <s v="430 - Imprese produttive"/>
    <s v="014 - ALLEVAMENTO DI ANIMALI"/>
    <s v="086 - ITALIA"/>
    <n v="1903"/>
    <m/>
    <m/>
    <m/>
    <m/>
    <m/>
    <m/>
    <m/>
    <n v="0"/>
    <n v="202504"/>
    <s v="IN CARICO AL RESPONSABILE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1773"/>
    <s v="DF03-02"/>
    <x v="0"/>
    <d v="2025-05-10T00:00:00"/>
    <n v="53850"/>
    <n v="122"/>
    <s v="053850_122"/>
    <s v="Discovery Frodi"/>
    <s v="Mai valutato"/>
    <m/>
    <m/>
    <n v="1223300001682"/>
    <n v="20250428"/>
    <x v="0"/>
    <m/>
    <m/>
    <s v="A     - Avere"/>
    <n v="411478.8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1767"/>
    <s v="DF03-02"/>
    <x v="0"/>
    <d v="2025-05-10T00:00:00"/>
    <n v="53850"/>
    <n v="148"/>
    <s v="053850_148"/>
    <s v="Discovery Frodi"/>
    <s v="Mai valutato"/>
    <m/>
    <m/>
    <n v="1483300004308"/>
    <n v="20250401"/>
    <x v="0"/>
    <m/>
    <m/>
    <s v="A     - Avere"/>
    <n v="41000"/>
    <m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1762"/>
    <s v="DF03-02"/>
    <x v="0"/>
    <d v="2025-05-10T00:00:00"/>
    <n v="53850"/>
    <n v="148"/>
    <s v="053850_148"/>
    <s v="Discovery Frodi"/>
    <s v="Mai valutato"/>
    <m/>
    <m/>
    <n v="1483300004308"/>
    <n v="20250428"/>
    <x v="0"/>
    <m/>
    <m/>
    <s v="A     - Avere"/>
    <n v="29830"/>
    <m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1760"/>
    <s v="DF03-02"/>
    <x v="0"/>
    <d v="2025-05-10T00:00:00"/>
    <n v="53850"/>
    <n v="148"/>
    <s v="053850_148"/>
    <s v="Discovery Frodi"/>
    <s v="Mai valutato"/>
    <m/>
    <m/>
    <n v="1483300004308"/>
    <n v="20250414"/>
    <x v="0"/>
    <m/>
    <m/>
    <s v="A     - Avere"/>
    <n v="41996.84"/>
    <m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1748"/>
    <s v="DF03-02"/>
    <x v="0"/>
    <d v="2025-05-10T00:00:00"/>
    <n v="53850"/>
    <n v="103"/>
    <s v="053850_103"/>
    <s v="Discovery Frodi"/>
    <s v="Mai valutato"/>
    <m/>
    <m/>
    <n v="1033306967935"/>
    <n v="20250415"/>
    <x v="1"/>
    <m/>
    <m/>
    <s v="A     - Avere"/>
    <n v="58518.85"/>
    <m/>
    <n v="155052"/>
    <n v="2563580725"/>
    <s v="ITALSUD CARBURANTI SRL"/>
    <s v="430 - Imprese produttive"/>
    <s v="467 - COMMERCIO ALL'INGROSSO SPECIALIZZATO DI ALTRI PRODOTTI"/>
    <s v="086 - ITALIA"/>
    <n v="1926"/>
    <m/>
    <m/>
    <m/>
    <m/>
    <m/>
    <m/>
    <m/>
    <n v="0"/>
    <n v="202504"/>
    <s v="ARCHIVIATA"/>
    <x v="0"/>
    <n v="1"/>
    <n v="155052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1735"/>
    <s v="DF03-02"/>
    <x v="0"/>
    <d v="2025-05-10T00:00:00"/>
    <n v="53850"/>
    <n v="145"/>
    <s v="053850_145"/>
    <s v="Discovery Frodi"/>
    <s v="Mai valutato"/>
    <m/>
    <m/>
    <n v="1453300003997"/>
    <n v="20250402"/>
    <x v="0"/>
    <m/>
    <m/>
    <s v="A     - Avere"/>
    <n v="31678.84"/>
    <m/>
    <n v="3737833"/>
    <n v="10171711210"/>
    <s v="PUNTO DISTRIBUZIONE SRL"/>
    <s v="430 - Imprese produttive"/>
    <s v="463 - COMMERCIO ALL'INGROSSO DI PRODOTTI ALIMENTARI, BEVANDE E PRODOTTI DEL TABACCO"/>
    <s v="086 - ITALIA"/>
    <m/>
    <m/>
    <m/>
    <m/>
    <m/>
    <m/>
    <m/>
    <m/>
    <n v="0"/>
    <n v="202504"/>
    <s v="ARCHIVIATA"/>
    <x v="0"/>
    <n v="1"/>
    <m/>
    <m/>
    <n v="0"/>
    <n v="463"/>
    <n v="430"/>
    <n v="430463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1725"/>
    <s v="DF03-02"/>
    <x v="0"/>
    <d v="2025-05-10T00:00:00"/>
    <n v="53850"/>
    <n v="154"/>
    <s v="053850_154"/>
    <s v="Discovery Frodi"/>
    <s v="Mai valutato"/>
    <m/>
    <m/>
    <n v="1543300004860"/>
    <n v="20250414"/>
    <x v="0"/>
    <m/>
    <m/>
    <s v="A     - Avere"/>
    <n v="36019.83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s v="ARCHIVIATA"/>
    <x v="0"/>
    <n v="1"/>
    <n v="3715569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1716"/>
    <s v="DF03-02"/>
    <x v="0"/>
    <d v="2025-05-10T00:00:00"/>
    <n v="53850"/>
    <n v="132"/>
    <s v="053850_132"/>
    <s v="Discovery Frodi"/>
    <s v="Mai valutato"/>
    <m/>
    <m/>
    <n v="1323300003714"/>
    <n v="20250415"/>
    <x v="0"/>
    <m/>
    <m/>
    <s v="A     - Avere"/>
    <n v="26100"/>
    <m/>
    <n v="3724103"/>
    <n v="2178850760"/>
    <s v="DESMA SOCIETA' A RESPONSABILITA' LIMITATA SEMPLIFICATA"/>
    <s v="430 - Imprese produttive"/>
    <s v="522 - ATTIVITÀ DI SUPPORTO AI TRASPORTI"/>
    <s v="086 - ITALIA"/>
    <n v="823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1708"/>
    <s v="DF03-02"/>
    <x v="0"/>
    <d v="2025-05-10T00:00:00"/>
    <n v="53850"/>
    <n v="268"/>
    <s v="053850_268"/>
    <s v="Discovery Frodi"/>
    <s v="Mai valutato"/>
    <m/>
    <m/>
    <n v="2683300010038"/>
    <n v="20250403"/>
    <x v="0"/>
    <m/>
    <m/>
    <s v="A     - Avere"/>
    <n v="376696.32000000001"/>
    <m/>
    <n v="1604219"/>
    <n v="952850790"/>
    <s v="SABOLIO SRL"/>
    <s v="430 - Imprese produttive"/>
    <s v="104 - PRODUZIONE DI OLI E GRASSI VEGETALI E ANIMALI"/>
    <s v="086 - ITALIA"/>
    <n v="1627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1696"/>
    <s v="DF03-02"/>
    <x v="0"/>
    <d v="2025-05-10T00:00:00"/>
    <n v="53850"/>
    <n v="104"/>
    <s v="053850_104"/>
    <s v="Discovery Frodi"/>
    <s v="Mai valutato"/>
    <m/>
    <m/>
    <n v="1043309503913"/>
    <n v="20250417"/>
    <x v="0"/>
    <m/>
    <m/>
    <s v="A     - Avere"/>
    <n v="95257.19"/>
    <m/>
    <n v="424944"/>
    <n v="3454860721"/>
    <s v="CO.BE.CA. S.R.L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GESTORE"/>
    <x v="1"/>
    <n v="1"/>
    <m/>
    <m/>
    <n v="0"/>
    <n v="463"/>
    <n v="430"/>
    <n v="430463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1692"/>
    <s v="DF03-02"/>
    <x v="0"/>
    <d v="2025-05-10T00:00:00"/>
    <n v="53850"/>
    <n v="153"/>
    <s v="053850_153"/>
    <s v="Discovery Frodi"/>
    <s v="Mai valutato"/>
    <m/>
    <m/>
    <n v="1533300663959"/>
    <n v="20250407"/>
    <x v="0"/>
    <m/>
    <m/>
    <s v="A     - Avere"/>
    <n v="30000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4"/>
    <s v="ARCHIVIATA"/>
    <x v="0"/>
    <n v="1"/>
    <m/>
    <m/>
    <n v="0"/>
    <n v="462"/>
    <n v="430"/>
    <n v="43046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1682"/>
    <s v="DF03-02"/>
    <x v="0"/>
    <d v="2025-05-10T00:00:00"/>
    <n v="53850"/>
    <n v="154"/>
    <s v="053850_154"/>
    <s v="Discovery Frodi"/>
    <s v="Mai valutato"/>
    <m/>
    <m/>
    <n v="1543300004860"/>
    <n v="20250424"/>
    <x v="0"/>
    <m/>
    <m/>
    <s v="A     - Avere"/>
    <n v="39805.050000000003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s v="ARCHIVIATA"/>
    <x v="0"/>
    <n v="1"/>
    <n v="3715569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1676"/>
    <s v="DF03-02"/>
    <x v="0"/>
    <d v="2025-05-10T00:00:00"/>
    <n v="53850"/>
    <n v="153"/>
    <s v="053850_153"/>
    <s v="Discovery Frodi"/>
    <s v="Mai valutato"/>
    <m/>
    <m/>
    <n v="1533300663957"/>
    <n v="20250407"/>
    <x v="0"/>
    <m/>
    <m/>
    <s v="A     - Avere"/>
    <n v="49723.65"/>
    <m/>
    <n v="3720623"/>
    <n v="3067020648"/>
    <s v="E F ALLEVA S.R.L."/>
    <s v="430 - Imprese produttive"/>
    <s v="462 - COMMERCIO ALL'INGROSSO DI MATERIE PRIME AGRICOLE E DI ANIMALI VIVI"/>
    <s v="086 - ITALIA"/>
    <n v="1055"/>
    <m/>
    <m/>
    <m/>
    <m/>
    <m/>
    <m/>
    <m/>
    <n v="0"/>
    <n v="202504"/>
    <s v="ARCHIVIATA"/>
    <x v="0"/>
    <n v="1"/>
    <m/>
    <m/>
    <n v="0"/>
    <n v="462"/>
    <n v="430"/>
    <n v="43046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1674"/>
    <s v="DF03-02"/>
    <x v="0"/>
    <d v="2025-05-10T00:00:00"/>
    <n v="53850"/>
    <n v="122"/>
    <s v="053850_122"/>
    <s v="Discovery Frodi"/>
    <s v="Mai valutato"/>
    <m/>
    <m/>
    <n v="1223300002128"/>
    <n v="20250409"/>
    <x v="0"/>
    <m/>
    <m/>
    <s v="A     - Avere"/>
    <n v="27000.75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1657"/>
    <s v="DF03-02"/>
    <x v="0"/>
    <d v="2025-05-10T00:00:00"/>
    <n v="53850"/>
    <n v="109"/>
    <s v="053850_109"/>
    <s v="Discovery Frodi"/>
    <s v="Mai valutato"/>
    <m/>
    <m/>
    <n v="1093306674353"/>
    <n v="20250414"/>
    <x v="0"/>
    <m/>
    <m/>
    <s v="A     - Avere"/>
    <n v="305660.78000000003"/>
    <m/>
    <n v="4916449"/>
    <n v="8176830720"/>
    <s v="CENTRO AUTOVEICOLI S.R.L."/>
    <s v="430 - Imprese produttive"/>
    <s v="451 - COMMERCIO DI AUTOVEICOLI"/>
    <s v="086 - ITALIA"/>
    <n v="1903"/>
    <m/>
    <m/>
    <m/>
    <m/>
    <m/>
    <m/>
    <m/>
    <n v="0"/>
    <n v="202504"/>
    <s v="ARCHIVIATA"/>
    <x v="0"/>
    <n v="1"/>
    <m/>
    <m/>
    <n v="0"/>
    <n v="451"/>
    <n v="430"/>
    <n v="430451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1638"/>
    <s v="DF03-02"/>
    <x v="0"/>
    <d v="2025-05-10T00:00:00"/>
    <n v="53850"/>
    <n v="191"/>
    <s v="053850_191"/>
    <s v="Discovery Frodi"/>
    <s v="Mai valutato"/>
    <m/>
    <m/>
    <n v="1913300068122"/>
    <n v="20250407"/>
    <x v="0"/>
    <m/>
    <m/>
    <s v="A     - Avere"/>
    <n v="30000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1621"/>
    <s v="DF03-02"/>
    <x v="0"/>
    <d v="2025-05-10T00:00:00"/>
    <n v="53850"/>
    <n v="268"/>
    <s v="053850_268"/>
    <s v="Discovery Frodi"/>
    <s v="Mai valutato"/>
    <m/>
    <m/>
    <n v="2683300000171"/>
    <n v="20250416"/>
    <x v="0"/>
    <m/>
    <m/>
    <s v="A     - Avere"/>
    <n v="150000"/>
    <m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1600"/>
    <s v="DF03-02"/>
    <x v="0"/>
    <d v="2025-05-10T00:00:00"/>
    <n v="53850"/>
    <n v="141"/>
    <s v="053850_141"/>
    <s v="Discovery Frodi"/>
    <s v="Mai valutato"/>
    <m/>
    <m/>
    <n v="1413300004311"/>
    <n v="20250416"/>
    <x v="0"/>
    <m/>
    <m/>
    <s v="A     - Avere"/>
    <n v="598090.81999999995"/>
    <m/>
    <n v="3737110"/>
    <n v="5366430758"/>
    <s v="AP MONTAGGI S.R.L."/>
    <s v="430 - Imprese produttive"/>
    <s v="433 - COMPLETAMENTO E FINITURA DI EDIFICI"/>
    <s v="086 - ITALIA"/>
    <n v="1627"/>
    <m/>
    <m/>
    <m/>
    <m/>
    <m/>
    <m/>
    <m/>
    <n v="0"/>
    <n v="202504"/>
    <s v="ARCHIVIATA DA RPR"/>
    <x v="0"/>
    <n v="1"/>
    <m/>
    <m/>
    <n v="0"/>
    <n v="433"/>
    <n v="430"/>
    <n v="430433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1588"/>
    <s v="DF03-02"/>
    <x v="0"/>
    <d v="2025-05-10T00:00:00"/>
    <n v="53850"/>
    <n v="148"/>
    <s v="053850_148"/>
    <s v="Discovery Frodi"/>
    <s v="Mai valutato"/>
    <m/>
    <m/>
    <n v="1483300004308"/>
    <n v="20250411"/>
    <x v="0"/>
    <m/>
    <m/>
    <s v="A     - Avere"/>
    <n v="61293.66"/>
    <m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1587"/>
    <s v="DF03-02"/>
    <x v="0"/>
    <d v="2025-05-10T00:00:00"/>
    <n v="53850"/>
    <n v="148"/>
    <s v="053850_148"/>
    <s v="Discovery Frodi"/>
    <s v="Mai valutato"/>
    <m/>
    <m/>
    <n v="1483300004308"/>
    <n v="20250401"/>
    <x v="0"/>
    <m/>
    <m/>
    <s v="A     - Avere"/>
    <n v="39660"/>
    <m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1577"/>
    <s v="DF03-02"/>
    <x v="0"/>
    <d v="2025-05-10T00:00:00"/>
    <n v="53850"/>
    <n v="122"/>
    <s v="053850_122"/>
    <s v="Discovery Frodi"/>
    <s v="Mai valutato"/>
    <m/>
    <m/>
    <n v="1223300002128"/>
    <n v="20250410"/>
    <x v="0"/>
    <m/>
    <m/>
    <s v="A     - Avere"/>
    <n v="41710.18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1574"/>
    <s v="DF03-02"/>
    <x v="0"/>
    <d v="2025-05-10T00:00:00"/>
    <n v="53850"/>
    <n v="122"/>
    <s v="053850_122"/>
    <s v="Discovery Frodi"/>
    <s v="Mai valutato"/>
    <m/>
    <m/>
    <n v="1223300002128"/>
    <n v="20250409"/>
    <x v="0"/>
    <m/>
    <m/>
    <s v="A     - Avere"/>
    <n v="40001.370000000003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1546"/>
    <s v="DF03-02"/>
    <x v="0"/>
    <d v="2025-05-10T00:00:00"/>
    <n v="53850"/>
    <n v="105"/>
    <s v="053850_105"/>
    <s v="Discovery Frodi"/>
    <s v="Mai valutato"/>
    <m/>
    <m/>
    <n v="1053306287103"/>
    <n v="20250402"/>
    <x v="0"/>
    <m/>
    <m/>
    <s v="A     - Avere"/>
    <n v="72928.759999999995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1521"/>
    <s v="DF03-02"/>
    <x v="0"/>
    <d v="2025-05-10T00:00:00"/>
    <n v="53850"/>
    <n v="148"/>
    <s v="053850_148"/>
    <s v="Discovery Frodi"/>
    <s v="Mai valutato"/>
    <m/>
    <m/>
    <n v="1483300004308"/>
    <n v="20250414"/>
    <x v="0"/>
    <m/>
    <m/>
    <s v="A     - Avere"/>
    <n v="37431.589999999997"/>
    <m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1512"/>
    <s v="DF03-02"/>
    <x v="0"/>
    <d v="2025-05-10T00:00:00"/>
    <n v="53850"/>
    <n v="192"/>
    <s v="053850_192"/>
    <s v="Discovery Frodi"/>
    <s v="Mai valutato"/>
    <m/>
    <m/>
    <n v="1923300183163"/>
    <n v="20250429"/>
    <x v="0"/>
    <m/>
    <m/>
    <s v="A     - Avere"/>
    <n v="26000"/>
    <m/>
    <n v="4695944"/>
    <s v="VLNFNC74H03H096P"/>
    <s v="VALENTE FRANCESCO"/>
    <s v="615 - Altre famiglie produttrici"/>
    <s v="691 - ATTIVITÀ DEGLI STUDI LEGALI"/>
    <s v="086 - ITALIA"/>
    <n v="481"/>
    <m/>
    <m/>
    <m/>
    <m/>
    <m/>
    <m/>
    <m/>
    <n v="0"/>
    <n v="202504"/>
    <s v="ARCHIVIATA"/>
    <x v="0"/>
    <n v="1"/>
    <n v="4695944"/>
    <n v="1"/>
    <n v="0"/>
    <n v="999"/>
    <n v="615"/>
    <n v="615999"/>
    <m/>
    <n v="1"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1481"/>
    <s v="DF03-02"/>
    <x v="0"/>
    <d v="2025-05-10T00:00:00"/>
    <n v="53850"/>
    <n v="122"/>
    <s v="053850_122"/>
    <s v="Discovery Frodi"/>
    <s v="Mai valutato"/>
    <m/>
    <m/>
    <n v="1223300002128"/>
    <n v="20250424"/>
    <x v="0"/>
    <m/>
    <m/>
    <s v="A     - Avere"/>
    <n v="66879.039999999994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1468"/>
    <s v="DF03-02"/>
    <x v="0"/>
    <d v="2025-05-10T00:00:00"/>
    <n v="53850"/>
    <n v="122"/>
    <s v="053850_122"/>
    <s v="Discovery Frodi"/>
    <s v="Mai valutato"/>
    <m/>
    <m/>
    <n v="1223300002128"/>
    <n v="20250428"/>
    <x v="0"/>
    <m/>
    <m/>
    <s v="A     - Avere"/>
    <n v="209685.34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1456"/>
    <s v="DF03-02"/>
    <x v="0"/>
    <d v="2025-05-10T00:00:00"/>
    <n v="53850"/>
    <n v="108"/>
    <s v="053850_108"/>
    <s v="Discovery Frodi"/>
    <s v="Mai valutato"/>
    <m/>
    <m/>
    <n v="1083300011180"/>
    <n v="20250416"/>
    <x v="2"/>
    <m/>
    <m/>
    <s v="A     - Avere"/>
    <n v="27135.11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1437"/>
    <s v="DF03-02"/>
    <x v="0"/>
    <d v="2025-05-10T00:00:00"/>
    <n v="53850"/>
    <n v="122"/>
    <s v="053850_122"/>
    <s v="Discovery Frodi"/>
    <s v="Mai valutato"/>
    <m/>
    <m/>
    <n v="1223300002128"/>
    <n v="20250409"/>
    <x v="0"/>
    <m/>
    <m/>
    <s v="A     - Avere"/>
    <n v="38500.800000000003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1403"/>
    <s v="DF03-02"/>
    <x v="0"/>
    <d v="2025-05-10T00:00:00"/>
    <n v="53850"/>
    <n v="109"/>
    <s v="053850_109"/>
    <s v="Discovery Frodi"/>
    <s v="Mai valutato"/>
    <m/>
    <m/>
    <n v="1093306674353"/>
    <n v="20250409"/>
    <x v="0"/>
    <m/>
    <m/>
    <s v="A     - Avere"/>
    <n v="47512.33"/>
    <m/>
    <n v="4916449"/>
    <n v="8176830720"/>
    <s v="CENTRO AUTOVEICOLI S.R.L."/>
    <s v="430 - Imprese produttive"/>
    <s v="451 - COMMERCIO DI AUTOVEICOLI"/>
    <s v="086 - ITALIA"/>
    <n v="1903"/>
    <m/>
    <m/>
    <m/>
    <m/>
    <m/>
    <m/>
    <m/>
    <n v="0"/>
    <n v="202504"/>
    <s v="ARCHIVIATA"/>
    <x v="0"/>
    <n v="1"/>
    <m/>
    <m/>
    <n v="0"/>
    <n v="451"/>
    <n v="430"/>
    <n v="430451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1390"/>
    <s v="DF03-02"/>
    <x v="0"/>
    <d v="2025-05-10T00:00:00"/>
    <n v="53850"/>
    <n v="153"/>
    <s v="053850_153"/>
    <s v="Discovery Frodi"/>
    <s v="Mai valutato"/>
    <m/>
    <m/>
    <n v="1533300663959"/>
    <n v="20250408"/>
    <x v="0"/>
    <m/>
    <m/>
    <s v="A     - Avere"/>
    <n v="25320.959999999999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4"/>
    <s v="ARCHIVIATA"/>
    <x v="0"/>
    <n v="1"/>
    <m/>
    <m/>
    <n v="0"/>
    <n v="462"/>
    <n v="430"/>
    <n v="43046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1362"/>
    <s v="DF03-02"/>
    <x v="0"/>
    <d v="2025-05-10T00:00:00"/>
    <n v="53850"/>
    <n v="105"/>
    <s v="053850_105"/>
    <s v="Discovery Frodi"/>
    <s v="Mai valutato"/>
    <m/>
    <m/>
    <n v="1053306287103"/>
    <n v="20250424"/>
    <x v="0"/>
    <m/>
    <m/>
    <s v="A     - Avere"/>
    <n v="450578.77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1347"/>
    <s v="DF03-02"/>
    <x v="0"/>
    <d v="2025-05-10T00:00:00"/>
    <n v="53850"/>
    <n v="108"/>
    <s v="053850_108"/>
    <s v="Discovery Frodi"/>
    <s v="Mai valutato"/>
    <m/>
    <m/>
    <n v="1083300011180"/>
    <n v="20250416"/>
    <x v="1"/>
    <m/>
    <m/>
    <s v="A     - Avere"/>
    <n v="38602.86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1336"/>
    <s v="DF03-02"/>
    <x v="0"/>
    <d v="2025-05-10T00:00:00"/>
    <n v="53850"/>
    <n v="108"/>
    <s v="053850_108"/>
    <s v="Discovery Frodi"/>
    <s v="Mai valutato"/>
    <m/>
    <m/>
    <n v="1083300011180"/>
    <n v="20250428"/>
    <x v="1"/>
    <m/>
    <m/>
    <s v="A     - Avere"/>
    <n v="61078.23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1330"/>
    <s v="DF03-02"/>
    <x v="0"/>
    <d v="2025-05-10T00:00:00"/>
    <n v="53850"/>
    <n v="132"/>
    <s v="053850_132"/>
    <s v="Discovery Frodi"/>
    <s v="Mai valutato"/>
    <m/>
    <m/>
    <n v="1323300003714"/>
    <n v="20250430"/>
    <x v="0"/>
    <m/>
    <m/>
    <s v="A     - Avere"/>
    <n v="31824.6"/>
    <m/>
    <n v="3724103"/>
    <n v="2178850760"/>
    <s v="DESMA SOCIETA' A RESPONSABILITA' LIMITATA SEMPLIFICATA"/>
    <s v="430 - Imprese produttive"/>
    <s v="522 - ATTIVITÀ DI SUPPORTO AI TRASPORTI"/>
    <s v="086 - ITALIA"/>
    <n v="823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1313"/>
    <s v="DF03-02"/>
    <x v="0"/>
    <d v="2025-05-10T00:00:00"/>
    <n v="53850"/>
    <n v="132"/>
    <s v="053850_132"/>
    <s v="Discovery Frodi"/>
    <s v="Mai valutato"/>
    <m/>
    <m/>
    <n v="1323300003714"/>
    <n v="20250407"/>
    <x v="0"/>
    <m/>
    <m/>
    <s v="A     - Avere"/>
    <n v="27793.599999999999"/>
    <m/>
    <n v="3724103"/>
    <n v="2178850760"/>
    <s v="DESMA SOCIETA' A RESPONSABILITA' LIMITATA SEMPLIFICATA"/>
    <s v="430 - Imprese produttive"/>
    <s v="522 - ATTIVITÀ DI SUPPORTO AI TRASPORTI"/>
    <s v="086 - ITALIA"/>
    <n v="823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1266"/>
    <s v="DF03-02"/>
    <x v="0"/>
    <d v="2025-05-10T00:00:00"/>
    <n v="53850"/>
    <n v="104"/>
    <s v="053850_104"/>
    <s v="Discovery Frodi"/>
    <s v="Mai valutato"/>
    <m/>
    <m/>
    <n v="1043309503914"/>
    <n v="20250414"/>
    <x v="0"/>
    <m/>
    <m/>
    <s v="A     - Avere"/>
    <n v="160157.01999999999"/>
    <m/>
    <n v="424944"/>
    <n v="3454860721"/>
    <s v="CO.BE.CA. S.R.L."/>
    <s v="430 - Imprese produttive"/>
    <s v="463 - COMMERCIO ALL'INGROSSO DI PRODOTTI ALIMENTARI, BEVANDE E PRODOTTI DEL TABACCO"/>
    <s v="086 - ITALIA"/>
    <n v="1696"/>
    <m/>
    <m/>
    <m/>
    <m/>
    <m/>
    <m/>
    <m/>
    <n v="0"/>
    <n v="202504"/>
    <s v="IN CARICO AL GESTORE"/>
    <x v="1"/>
    <n v="1"/>
    <m/>
    <m/>
    <n v="0"/>
    <n v="463"/>
    <n v="430"/>
    <n v="430463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1248"/>
    <s v="DF03-02"/>
    <x v="0"/>
    <d v="2025-05-10T00:00:00"/>
    <n v="53850"/>
    <n v="154"/>
    <s v="053850_154"/>
    <s v="Discovery Frodi"/>
    <s v="Mai valutato"/>
    <m/>
    <m/>
    <n v="1543300004860"/>
    <n v="20250424"/>
    <x v="0"/>
    <m/>
    <m/>
    <s v="A     - Avere"/>
    <n v="29905.88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s v="ARCHIVIATA"/>
    <x v="0"/>
    <n v="1"/>
    <n v="3715569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1239"/>
    <s v="DF03-02"/>
    <x v="0"/>
    <d v="2025-05-10T00:00:00"/>
    <n v="53850"/>
    <n v="154"/>
    <s v="053850_154"/>
    <s v="Discovery Frodi"/>
    <s v="Mai valutato"/>
    <m/>
    <m/>
    <n v="1543300004860"/>
    <n v="20250414"/>
    <x v="0"/>
    <m/>
    <m/>
    <s v="A     - Avere"/>
    <n v="28811.8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s v="ARCHIVIATA"/>
    <x v="0"/>
    <n v="1"/>
    <n v="3715569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1187"/>
    <s v="DF03-02"/>
    <x v="0"/>
    <d v="2025-05-10T00:00:00"/>
    <n v="53850"/>
    <n v="116"/>
    <s v="053850_116"/>
    <s v="Discovery Frodi"/>
    <s v="Mai valutato"/>
    <m/>
    <m/>
    <n v="1163305431040"/>
    <n v="20250402"/>
    <x v="0"/>
    <m/>
    <m/>
    <s v="A     - Avere"/>
    <n v="104920"/>
    <m/>
    <n v="543104"/>
    <n v="4393640729"/>
    <s v="TURBO SERVICE S.R.L."/>
    <s v="430 - Imprese produttive"/>
    <s v="466 - COMMERCIO ALL'INGROSSO DI ALTRI MACCHINARI, ATTREZZATURE E FORNITURE"/>
    <s v="086 - ITALIA"/>
    <n v="1696"/>
    <m/>
    <m/>
    <m/>
    <m/>
    <m/>
    <m/>
    <m/>
    <n v="0"/>
    <n v="202504"/>
    <s v="IN CARICO AL RESPONSABILE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1137"/>
    <s v="DF03-02"/>
    <x v="0"/>
    <d v="2025-05-10T00:00:00"/>
    <n v="53850"/>
    <n v="191"/>
    <s v="053850_191"/>
    <s v="Discovery Frodi"/>
    <s v="Mai valutato"/>
    <m/>
    <m/>
    <n v="1913300068122"/>
    <n v="20250403"/>
    <x v="0"/>
    <m/>
    <m/>
    <s v="A     - Avere"/>
    <n v="100000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1127"/>
    <s v="DF03-02"/>
    <x v="0"/>
    <d v="2025-05-10T00:00:00"/>
    <n v="53850"/>
    <n v="191"/>
    <s v="053850_191"/>
    <s v="Discovery Frodi"/>
    <s v="Mai valutato"/>
    <m/>
    <m/>
    <n v="1913300068122"/>
    <n v="20250408"/>
    <x v="0"/>
    <m/>
    <m/>
    <s v="A     - Avere"/>
    <n v="72400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1047"/>
    <s v="DF03-02"/>
    <x v="0"/>
    <d v="2025-05-10T00:00:00"/>
    <n v="53850"/>
    <n v="148"/>
    <s v="053850_148"/>
    <s v="Discovery Frodi"/>
    <s v="Mai valutato"/>
    <m/>
    <m/>
    <n v="1483300004308"/>
    <n v="20250402"/>
    <x v="0"/>
    <m/>
    <m/>
    <s v="A     - Avere"/>
    <n v="29100"/>
    <m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0989"/>
    <s v="DF03-02"/>
    <x v="0"/>
    <d v="2025-05-10T00:00:00"/>
    <n v="53850"/>
    <n v="125"/>
    <s v="053850_125"/>
    <s v="Discovery Frodi"/>
    <s v="Mai valutato"/>
    <m/>
    <m/>
    <n v="1253309512895"/>
    <n v="20250407"/>
    <x v="0"/>
    <m/>
    <m/>
    <s v="A     - Avere"/>
    <n v="186150.05"/>
    <m/>
    <n v="4795279"/>
    <n v="1020090658"/>
    <s v="GIAGUARO - S.P.A."/>
    <s v="430 - Imprese produttive"/>
    <s v="103 - LAVORAZIONE E CONSERVAZIONE DI FRUTTA E ORTAGGI"/>
    <s v="086 - ITALIA"/>
    <n v="982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0944"/>
    <s v="DF03-02"/>
    <x v="0"/>
    <d v="2025-05-10T00:00:00"/>
    <n v="53850"/>
    <n v="192"/>
    <s v="053850_192"/>
    <s v="Discovery Frodi"/>
    <s v="Mai valutato"/>
    <m/>
    <m/>
    <n v="1923300183163"/>
    <n v="20250422"/>
    <x v="0"/>
    <m/>
    <m/>
    <s v="A     - Avere"/>
    <n v="41655"/>
    <m/>
    <n v="4695944"/>
    <s v="VLNFNC74H03H096P"/>
    <s v="VALENTE FRANCESCO"/>
    <s v="615 - Altre famiglie produttrici"/>
    <s v="691 - ATTIVITÀ DEGLI STUDI LEGALI"/>
    <s v="086 - ITALIA"/>
    <n v="481"/>
    <m/>
    <m/>
    <m/>
    <m/>
    <m/>
    <m/>
    <m/>
    <n v="0"/>
    <n v="202504"/>
    <s v="ARCHIVIATA"/>
    <x v="0"/>
    <n v="1"/>
    <n v="4695944"/>
    <n v="1"/>
    <n v="0"/>
    <n v="999"/>
    <n v="615"/>
    <n v="615999"/>
    <m/>
    <n v="1"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0924"/>
    <s v="DF03-02"/>
    <x v="0"/>
    <d v="2025-05-10T00:00:00"/>
    <n v="53850"/>
    <n v="148"/>
    <s v="053850_148"/>
    <s v="Discovery Frodi"/>
    <s v="Mai valutato"/>
    <m/>
    <m/>
    <n v="1483300004308"/>
    <n v="20250422"/>
    <x v="0"/>
    <m/>
    <m/>
    <s v="A     - Avere"/>
    <n v="34992.43"/>
    <m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0803"/>
    <s v="DF03-02"/>
    <x v="0"/>
    <d v="2025-05-10T00:00:00"/>
    <n v="53850"/>
    <n v="122"/>
    <s v="053850_122"/>
    <s v="Discovery Frodi"/>
    <s v="Mai valutato"/>
    <m/>
    <m/>
    <n v="1223300002128"/>
    <n v="20250424"/>
    <x v="0"/>
    <m/>
    <m/>
    <s v="A     - Avere"/>
    <n v="27920.959999999999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0767"/>
    <s v="DF03-02"/>
    <x v="0"/>
    <d v="2025-05-10T00:00:00"/>
    <n v="53850"/>
    <n v="161"/>
    <s v="053850_161"/>
    <s v="Discovery Frodi"/>
    <s v="Mai valutato"/>
    <m/>
    <m/>
    <n v="1613300032599"/>
    <n v="20250428"/>
    <x v="0"/>
    <m/>
    <m/>
    <s v="A     - Avere"/>
    <n v="615000"/>
    <m/>
    <n v="4845705"/>
    <n v="6832140724"/>
    <s v="ZOOTECNICA S.R.L. - SOCIETA' AGRICOLA"/>
    <s v="430 - Imprese produttive"/>
    <s v="014 - ALLEVAMENTO DI ANIMALI"/>
    <s v="086 - ITALIA"/>
    <n v="1903"/>
    <m/>
    <m/>
    <m/>
    <m/>
    <m/>
    <m/>
    <m/>
    <n v="0"/>
    <n v="202504"/>
    <s v="IN CARICO AL RESPONSABILE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0765"/>
    <s v="DF03-02"/>
    <x v="0"/>
    <d v="2025-05-10T00:00:00"/>
    <n v="53850"/>
    <n v="226"/>
    <s v="053850_226"/>
    <s v="Discovery Frodi"/>
    <s v="Mai valutato"/>
    <m/>
    <m/>
    <n v="2263300010989"/>
    <n v="20250407"/>
    <x v="0"/>
    <m/>
    <m/>
    <s v="A     - Avere"/>
    <n v="29900.98"/>
    <m/>
    <n v="4804128"/>
    <n v="6363770725"/>
    <s v="NUGNES 1920 S.R.L."/>
    <s v="430 - Imprese produttive"/>
    <s v="477 - COMMERCIO AL DETTAGLIO DI ALTRI PRODOTTI IN ESERCIZI SPECIALIZZATI"/>
    <s v="086 - ITALIA"/>
    <n v="1696"/>
    <m/>
    <m/>
    <m/>
    <m/>
    <m/>
    <m/>
    <m/>
    <n v="0"/>
    <n v="202504"/>
    <s v="IN CARICO AL RESPONSABILE"/>
    <x v="1"/>
    <n v="1"/>
    <m/>
    <m/>
    <n v="0"/>
    <n v="477"/>
    <n v="430"/>
    <n v="430477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0743"/>
    <s v="DF03-02"/>
    <x v="0"/>
    <d v="2025-05-10T00:00:00"/>
    <n v="53850"/>
    <n v="154"/>
    <s v="053850_154"/>
    <s v="Discovery Frodi"/>
    <s v="Mai valutato"/>
    <m/>
    <m/>
    <n v="1543300004860"/>
    <n v="20250417"/>
    <x v="0"/>
    <m/>
    <m/>
    <s v="A     - Avere"/>
    <n v="44730.5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s v="ARCHIVIATA"/>
    <x v="0"/>
    <n v="1"/>
    <n v="3715569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0670"/>
    <s v="DF03-02"/>
    <x v="0"/>
    <d v="2025-05-10T00:00:00"/>
    <n v="53850"/>
    <n v="154"/>
    <s v="053850_154"/>
    <s v="Discovery Frodi"/>
    <s v="Mai valutato"/>
    <m/>
    <m/>
    <n v="1543300004860"/>
    <n v="20250411"/>
    <x v="0"/>
    <m/>
    <m/>
    <s v="A     - Avere"/>
    <n v="34029.769999999997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s v="ARCHIVIATA"/>
    <x v="0"/>
    <n v="1"/>
    <n v="3715569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0668"/>
    <s v="DF03-02"/>
    <x v="0"/>
    <d v="2025-05-10T00:00:00"/>
    <n v="53850"/>
    <n v="154"/>
    <s v="053850_154"/>
    <s v="Discovery Frodi"/>
    <s v="Mai valutato"/>
    <m/>
    <m/>
    <n v="1543300004860"/>
    <n v="20250409"/>
    <x v="1"/>
    <m/>
    <m/>
    <s v="A     - Avere"/>
    <n v="34805.199999999997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s v="ARCHIVIATA"/>
    <x v="0"/>
    <n v="1"/>
    <n v="3715569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0636"/>
    <s v="DF03-02"/>
    <x v="0"/>
    <d v="2025-05-10T00:00:00"/>
    <n v="53850"/>
    <n v="154"/>
    <s v="053850_154"/>
    <s v="Discovery Frodi"/>
    <s v="Mai valutato"/>
    <m/>
    <m/>
    <n v="1543300004860"/>
    <n v="20250422"/>
    <x v="0"/>
    <m/>
    <m/>
    <s v="A     - Avere"/>
    <n v="25099.07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s v="ARCHIVIATA"/>
    <x v="0"/>
    <n v="1"/>
    <n v="3715569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0635"/>
    <s v="DF03-02"/>
    <x v="0"/>
    <d v="2025-05-10T00:00:00"/>
    <n v="53850"/>
    <n v="154"/>
    <s v="053850_154"/>
    <s v="Discovery Frodi"/>
    <s v="Mai valutato"/>
    <m/>
    <m/>
    <n v="1543300004860"/>
    <n v="20250429"/>
    <x v="0"/>
    <m/>
    <m/>
    <s v="A     - Avere"/>
    <n v="42013.07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s v="ARCHIVIATA"/>
    <x v="0"/>
    <n v="1"/>
    <n v="3715569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0596"/>
    <s v="DF03-02"/>
    <x v="0"/>
    <d v="2025-05-10T00:00:00"/>
    <n v="53850"/>
    <n v="122"/>
    <s v="053850_122"/>
    <s v="Discovery Frodi"/>
    <s v="Mai valutato"/>
    <m/>
    <m/>
    <n v="1223300002128"/>
    <n v="20250410"/>
    <x v="0"/>
    <m/>
    <m/>
    <s v="A     - Avere"/>
    <n v="26068.880000000001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0484"/>
    <s v="DF03-02"/>
    <x v="0"/>
    <d v="2025-05-10T00:00:00"/>
    <n v="53850"/>
    <n v="122"/>
    <s v="053850_122"/>
    <s v="Discovery Frodi"/>
    <s v="Mai valutato"/>
    <m/>
    <m/>
    <n v="1223300002128"/>
    <n v="20250424"/>
    <x v="0"/>
    <m/>
    <m/>
    <s v="A     - Avere"/>
    <n v="27920.959999999999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0469"/>
    <s v="DF03-02"/>
    <x v="0"/>
    <d v="2025-05-10T00:00:00"/>
    <n v="53850"/>
    <n v="122"/>
    <s v="053850_122"/>
    <s v="Discovery Frodi"/>
    <s v="Mai valutato"/>
    <m/>
    <m/>
    <n v="1223300002128"/>
    <n v="20250424"/>
    <x v="0"/>
    <m/>
    <m/>
    <s v="A     - Avere"/>
    <n v="66879.039999999994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0343"/>
    <s v="DF03-02"/>
    <x v="0"/>
    <d v="2025-05-10T00:00:00"/>
    <n v="53850"/>
    <n v="141"/>
    <s v="053850_141"/>
    <s v="Discovery Frodi"/>
    <s v="Mai valutato"/>
    <m/>
    <m/>
    <n v="1413300003054"/>
    <n v="20250423"/>
    <x v="0"/>
    <m/>
    <m/>
    <s v="A     - Avere"/>
    <n v="44650"/>
    <m/>
    <n v="4918593"/>
    <n v="4968980757"/>
    <s v="ANEZ SOCIETA' A RESPONSABILITA' LIMITATASEMPLIFICATA"/>
    <s v="430 - Imprese produttive"/>
    <s v="464 - COMMERCIO ALL'INGROSSO DI BENI DI CONSUMO FINALE"/>
    <s v="086 - ITALIA"/>
    <n v="862"/>
    <m/>
    <m/>
    <m/>
    <m/>
    <m/>
    <m/>
    <m/>
    <n v="0"/>
    <n v="202504"/>
    <s v="ARCHIVIATA DA RPR"/>
    <x v="0"/>
    <n v="1"/>
    <m/>
    <m/>
    <n v="0"/>
    <n v="464"/>
    <n v="430"/>
    <n v="430464"/>
    <s v="Classe di rischio 4"/>
    <m/>
    <x v="2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0288"/>
    <s v="DF03-02"/>
    <x v="0"/>
    <d v="2025-05-10T00:00:00"/>
    <n v="53850"/>
    <n v="273"/>
    <s v="053850_273"/>
    <s v="Discovery Frodi"/>
    <s v="Mai valutato"/>
    <m/>
    <m/>
    <n v="2733300001403"/>
    <n v="20250403"/>
    <x v="0"/>
    <m/>
    <m/>
    <s v="A     - Avere"/>
    <n v="221462.01"/>
    <m/>
    <n v="1649237"/>
    <n v="2545430692"/>
    <s v="ILA SRLS"/>
    <s v="430 - Imprese produttive"/>
    <s v="162 - FABBRICAZIONE DI PRODOTTI IN LEGNO, SUGHERO, PAGLIA E MATERIALI DA INTRECCIO"/>
    <s v="086 - ITALIA"/>
    <n v="1765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0254"/>
    <s v="DF03-02"/>
    <x v="0"/>
    <d v="2025-05-10T00:00:00"/>
    <n v="53850"/>
    <n v="108"/>
    <s v="053850_108"/>
    <s v="Discovery Frodi"/>
    <s v="Mai valutato"/>
    <m/>
    <m/>
    <n v="1083300011180"/>
    <n v="20250424"/>
    <x v="1"/>
    <m/>
    <m/>
    <s v="A     - Avere"/>
    <n v="140083.78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0188"/>
    <s v="DF03-02"/>
    <x v="0"/>
    <d v="2025-05-10T00:00:00"/>
    <n v="53850"/>
    <n v="109"/>
    <s v="053850_109"/>
    <s v="Discovery Frodi"/>
    <s v="Mai valutato"/>
    <m/>
    <m/>
    <n v="1093306674353"/>
    <n v="20250417"/>
    <x v="0"/>
    <m/>
    <m/>
    <s v="A     - Avere"/>
    <n v="77379.33"/>
    <m/>
    <n v="4916449"/>
    <n v="8176830720"/>
    <s v="CENTRO AUTOVEICOLI S.R.L."/>
    <s v="430 - Imprese produttive"/>
    <s v="451 - COMMERCIO DI AUTOVEICOLI"/>
    <s v="086 - ITALIA"/>
    <n v="1903"/>
    <m/>
    <m/>
    <m/>
    <m/>
    <m/>
    <m/>
    <m/>
    <n v="0"/>
    <n v="202504"/>
    <s v="ARCHIVIATA"/>
    <x v="0"/>
    <n v="1"/>
    <m/>
    <m/>
    <n v="0"/>
    <n v="451"/>
    <n v="430"/>
    <n v="430451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0138"/>
    <s v="DF03-02"/>
    <x v="0"/>
    <d v="2025-05-10T00:00:00"/>
    <n v="53850"/>
    <n v="153"/>
    <s v="053850_153"/>
    <s v="Discovery Frodi"/>
    <s v="Mai valutato"/>
    <m/>
    <m/>
    <n v="1533300663959"/>
    <n v="20250407"/>
    <x v="0"/>
    <m/>
    <m/>
    <s v="A     - Avere"/>
    <n v="49500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4"/>
    <s v="ARCHIVIATA"/>
    <x v="0"/>
    <n v="1"/>
    <m/>
    <m/>
    <n v="0"/>
    <n v="462"/>
    <n v="430"/>
    <n v="43046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9984"/>
    <s v="DF03-02"/>
    <x v="0"/>
    <d v="2025-05-10T00:00:00"/>
    <n v="53850"/>
    <n v="122"/>
    <s v="053850_122"/>
    <s v="Discovery Frodi"/>
    <s v="Mai valutato"/>
    <m/>
    <m/>
    <n v="1223300002128"/>
    <n v="20250424"/>
    <x v="0"/>
    <m/>
    <m/>
    <s v="A     - Avere"/>
    <n v="89541.9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9975"/>
    <s v="DF03-02"/>
    <x v="0"/>
    <d v="2025-05-10T00:00:00"/>
    <n v="53850"/>
    <n v="261"/>
    <s v="053850_261"/>
    <s v="Discovery Frodi"/>
    <s v="Mai valutato"/>
    <m/>
    <m/>
    <n v="2613300010205"/>
    <n v="20250423"/>
    <x v="0"/>
    <m/>
    <m/>
    <s v="A     - Avere"/>
    <n v="30052.75"/>
    <m/>
    <n v="4991786"/>
    <n v="993400944"/>
    <s v="OVERLAND TARTUFI SRL"/>
    <s v="430 - Imprese produttive"/>
    <s v="103 - LAVORAZIONE E CONSERVAZIONE DI FRUTTA E ORTAGGI"/>
    <s v="086 - ITALIA"/>
    <n v="1782"/>
    <m/>
    <m/>
    <m/>
    <m/>
    <m/>
    <m/>
    <m/>
    <n v="0"/>
    <n v="202504"/>
    <s v="ARCHIVIATA"/>
    <x v="0"/>
    <n v="1"/>
    <n v="4991786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9909"/>
    <s v="DF03-02"/>
    <x v="0"/>
    <d v="2025-05-10T00:00:00"/>
    <n v="53850"/>
    <n v="122"/>
    <s v="053850_122"/>
    <s v="Discovery Frodi"/>
    <s v="Mai valutato"/>
    <m/>
    <m/>
    <n v="1223300002128"/>
    <n v="20250410"/>
    <x v="0"/>
    <m/>
    <m/>
    <s v="A     - Avere"/>
    <n v="26068.880000000001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9900"/>
    <s v="DF03-02"/>
    <x v="0"/>
    <d v="2025-05-10T00:00:00"/>
    <n v="53850"/>
    <n v="132"/>
    <s v="053850_132"/>
    <s v="Discovery Frodi"/>
    <s v="Mai valutato"/>
    <m/>
    <m/>
    <n v="1323300003714"/>
    <n v="20250415"/>
    <x v="0"/>
    <m/>
    <m/>
    <s v="A     - Avere"/>
    <n v="25700.400000000001"/>
    <m/>
    <n v="3724103"/>
    <n v="2178850760"/>
    <s v="DESMA SOCIETA' A RESPONSABILITA' LIMITATA SEMPLIFICATA"/>
    <s v="430 - Imprese produttive"/>
    <s v="522 - ATTIVITÀ DI SUPPORTO AI TRASPORTI"/>
    <s v="086 - ITALIA"/>
    <n v="823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9568"/>
    <s v="DF03-02"/>
    <x v="0"/>
    <d v="2025-05-10T00:00:00"/>
    <n v="53850"/>
    <n v="125"/>
    <s v="053850_125"/>
    <s v="Discovery Frodi"/>
    <s v="Mai valutato"/>
    <m/>
    <m/>
    <n v="1253309512895"/>
    <n v="20250403"/>
    <x v="0"/>
    <m/>
    <m/>
    <s v="A     - Avere"/>
    <n v="38656.800000000003"/>
    <m/>
    <n v="4795279"/>
    <n v="1020090658"/>
    <s v="GIAGUARO - S.P.A."/>
    <s v="430 - Imprese produttive"/>
    <s v="103 - LAVORAZIONE E CONSERVAZIONE DI FRUTTA E ORTAGGI"/>
    <s v="086 - ITALIA"/>
    <n v="982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9514"/>
    <s v="DF03-02"/>
    <x v="0"/>
    <d v="2025-05-10T00:00:00"/>
    <n v="53850"/>
    <n v="148"/>
    <s v="053850_148"/>
    <s v="Discovery Frodi"/>
    <s v="Mai valutato"/>
    <m/>
    <m/>
    <n v="1483300006067"/>
    <n v="20250414"/>
    <x v="0"/>
    <m/>
    <m/>
    <s v="A     - Avere"/>
    <n v="42956.67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39484"/>
    <s v="DF03-02"/>
    <x v="0"/>
    <d v="2025-05-10T00:00:00"/>
    <n v="53850"/>
    <n v="154"/>
    <s v="053850_154"/>
    <s v="Discovery Frodi"/>
    <s v="Mai valutato"/>
    <m/>
    <m/>
    <n v="1543300004860"/>
    <n v="20250429"/>
    <x v="0"/>
    <m/>
    <m/>
    <s v="A     - Avere"/>
    <n v="40294.15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4"/>
    <s v="ARCHIVIATA"/>
    <x v="0"/>
    <n v="1"/>
    <n v="3715569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9458"/>
    <s v="DF03-02"/>
    <x v="0"/>
    <d v="2025-05-10T00:00:00"/>
    <n v="53850"/>
    <n v="148"/>
    <s v="053850_148"/>
    <s v="Discovery Frodi"/>
    <s v="Mai valutato"/>
    <m/>
    <m/>
    <n v="1483300006067"/>
    <n v="20250414"/>
    <x v="0"/>
    <m/>
    <m/>
    <s v="A     - Avere"/>
    <n v="40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4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52674"/>
    <s v="DF03-02"/>
    <x v="0"/>
    <d v="2025-06-14T00:00:00"/>
    <n v="53850"/>
    <n v="268"/>
    <s v="053850_268"/>
    <s v="Discovery Frodi"/>
    <s v="Mai valutato"/>
    <m/>
    <m/>
    <n v="2683300010038"/>
    <n v="20250523"/>
    <x v="0"/>
    <m/>
    <m/>
    <s v="A     - Avere"/>
    <n v="239552.98"/>
    <m/>
    <n v="1604219"/>
    <n v="952850790"/>
    <s v="SABOLIO SRL"/>
    <s v="430 - Imprese produttive"/>
    <s v="104 - PRODUZIONE DI OLI E GRASSI VEGETALI E ANIMALI"/>
    <s v="086 - ITALIA"/>
    <n v="1627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52672"/>
    <s v="DF03-02"/>
    <x v="0"/>
    <d v="2025-06-14T00:00:00"/>
    <n v="53850"/>
    <n v="148"/>
    <s v="053850_148"/>
    <s v="Discovery Frodi"/>
    <s v="Mai valutato"/>
    <m/>
    <m/>
    <n v="1483300006067"/>
    <n v="20250507"/>
    <x v="0"/>
    <m/>
    <m/>
    <s v="A     - Avere"/>
    <n v="40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52658"/>
    <s v="DF03-02"/>
    <x v="0"/>
    <d v="2025-06-14T00:00:00"/>
    <n v="53850"/>
    <n v="147"/>
    <s v="053850_147"/>
    <s v="Discovery Frodi"/>
    <s v="Mai valutato"/>
    <m/>
    <m/>
    <n v="1473300002800"/>
    <n v="20250507"/>
    <x v="0"/>
    <m/>
    <m/>
    <s v="A     - Avere"/>
    <n v="315100"/>
    <m/>
    <n v="4932680"/>
    <n v="4423920612"/>
    <s v="DIEMME COSTRUZIONI S.R.L."/>
    <s v="430 - Imprese produttive"/>
    <s v="412 - COSTRUZIONE DI EDIFICI RESIDENZIALI E NON RESIDENZIALI"/>
    <s v="086 - ITALIA"/>
    <n v="1196"/>
    <m/>
    <m/>
    <m/>
    <m/>
    <m/>
    <m/>
    <m/>
    <n v="0"/>
    <n v="202505"/>
    <s v="ARCHIVIATA"/>
    <x v="0"/>
    <n v="1"/>
    <m/>
    <m/>
    <n v="0"/>
    <n v="412"/>
    <n v="430"/>
    <n v="43041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52657"/>
    <s v="DF03-02"/>
    <x v="0"/>
    <d v="2025-06-14T00:00:00"/>
    <n v="53850"/>
    <n v="226"/>
    <s v="053850_226"/>
    <s v="Discovery Frodi"/>
    <s v="Mai valutato"/>
    <m/>
    <m/>
    <n v="2263300010989"/>
    <n v="20250505"/>
    <x v="0"/>
    <m/>
    <m/>
    <s v="A     - Avere"/>
    <n v="45269.67"/>
    <m/>
    <n v="4804128"/>
    <n v="6363770725"/>
    <s v="NUGNES 1920 S.R.L."/>
    <s v="430 - Imprese produttive"/>
    <s v="477 - COMMERCIO AL DETTAGLIO DI ALTRI PRODOTTI IN ESERCIZI SPECIALIZZATI"/>
    <s v="086 - ITALIA"/>
    <n v="1696"/>
    <m/>
    <m/>
    <m/>
    <m/>
    <m/>
    <m/>
    <m/>
    <n v="0"/>
    <n v="202505"/>
    <s v="IN CARICO AL RESPONSABILE"/>
    <x v="1"/>
    <n v="1"/>
    <m/>
    <m/>
    <n v="0"/>
    <n v="477"/>
    <n v="430"/>
    <n v="430477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52653"/>
    <s v="DF03-02"/>
    <x v="0"/>
    <d v="2025-06-14T00:00:00"/>
    <n v="53850"/>
    <n v="175"/>
    <s v="053850_175"/>
    <s v="Discovery Frodi"/>
    <s v="Mai valutato"/>
    <m/>
    <m/>
    <n v="1753302203813"/>
    <n v="20250522"/>
    <x v="0"/>
    <m/>
    <m/>
    <s v="A     - Avere"/>
    <n v="150000"/>
    <m/>
    <n v="4907691"/>
    <n v="1146400773"/>
    <s v="SPAZIO RELAX S.P.A."/>
    <s v="430 - Imprese produttive"/>
    <s v="310 - FABBRICAZIONE DI MOBILI"/>
    <s v="086 - ITALIA"/>
    <n v="192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52652"/>
    <s v="DF03-02"/>
    <x v="0"/>
    <d v="2025-06-14T00:00:00"/>
    <n v="53850"/>
    <n v="109"/>
    <s v="053850_109"/>
    <s v="Discovery Frodi"/>
    <s v="Mai valutato"/>
    <m/>
    <m/>
    <n v="1093306674353"/>
    <n v="20250519"/>
    <x v="0"/>
    <m/>
    <m/>
    <s v="A     - Avere"/>
    <n v="118651.23"/>
    <m/>
    <n v="4916449"/>
    <n v="8176830720"/>
    <s v="CENTRO AUTOVEICOLI S.R.L."/>
    <s v="430 - Imprese produttive"/>
    <s v="451 - COMMERCIO DI AUTOVEICOLI"/>
    <s v="086 - ITALIA"/>
    <n v="1903"/>
    <m/>
    <m/>
    <m/>
    <m/>
    <m/>
    <m/>
    <m/>
    <n v="0"/>
    <n v="202505"/>
    <s v="ARCHIVIATA"/>
    <x v="0"/>
    <n v="1"/>
    <n v="4916449"/>
    <n v="1"/>
    <n v="0"/>
    <n v="451"/>
    <n v="430"/>
    <n v="430451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52650"/>
    <s v="DF03-02"/>
    <x v="0"/>
    <d v="2025-06-14T00:00:00"/>
    <n v="53850"/>
    <n v="108"/>
    <s v="053850_108"/>
    <s v="Discovery Frodi"/>
    <s v="Mai valutato"/>
    <m/>
    <m/>
    <n v="1083300011180"/>
    <n v="20250502"/>
    <x v="0"/>
    <m/>
    <m/>
    <s v="A     - Avere"/>
    <n v="79846.03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52649"/>
    <s v="DF03-02"/>
    <x v="0"/>
    <d v="2025-06-14T00:00:00"/>
    <n v="53850"/>
    <n v="108"/>
    <s v="053850_108"/>
    <s v="Discovery Frodi"/>
    <s v="Mai valutato"/>
    <m/>
    <m/>
    <n v="1083300011180"/>
    <n v="20250523"/>
    <x v="1"/>
    <m/>
    <m/>
    <s v="A     - Avere"/>
    <n v="60584.52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52646"/>
    <s v="DF03-02"/>
    <x v="0"/>
    <d v="2025-06-14T00:00:00"/>
    <n v="53850"/>
    <n v="170"/>
    <s v="053850_170"/>
    <s v="Discovery Frodi"/>
    <s v="Mai valutato"/>
    <m/>
    <m/>
    <n v="1703306288195"/>
    <n v="20250520"/>
    <x v="0"/>
    <m/>
    <m/>
    <s v="A     - Avere"/>
    <n v="300000"/>
    <m/>
    <n v="4401631"/>
    <n v="4724350725"/>
    <s v="INTIMO ARTU' S.R.L."/>
    <s v="430 - Imprese produttive"/>
    <s v="141 - CONFEZIONE DI ARTICOLI DI ABBIGLIAMENTO (ESCLUSO ABBIGLIAMENTO IN PELLICCIA)"/>
    <s v="086 - ITALIA"/>
    <n v="1919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52645"/>
    <s v="DF03-02"/>
    <x v="0"/>
    <d v="2025-06-14T00:00:00"/>
    <n v="53850"/>
    <n v="165"/>
    <s v="053850_165"/>
    <s v="Discovery Frodi"/>
    <s v="Mai valutato"/>
    <m/>
    <m/>
    <n v="1653300628596"/>
    <n v="20250516"/>
    <x v="0"/>
    <m/>
    <m/>
    <s v="A     - Avere"/>
    <n v="33543.4"/>
    <m/>
    <n v="4813580"/>
    <n v="3996180711"/>
    <s v="ORTOCOM PRENCIPE S.R.L."/>
    <s v="430 - Imprese produttive"/>
    <s v="463 - COMMERCIO ALL'INGROSSO DI PRODOTTI ALIMENTARI, BEVANDE E PRODOTTI DEL TABACCO"/>
    <s v="086 - ITALIA"/>
    <n v="844"/>
    <m/>
    <m/>
    <m/>
    <m/>
    <m/>
    <m/>
    <m/>
    <n v="0"/>
    <n v="202505"/>
    <s v="ARCHIVIATA"/>
    <x v="0"/>
    <n v="1"/>
    <m/>
    <m/>
    <n v="0"/>
    <n v="463"/>
    <n v="430"/>
    <n v="430463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52644"/>
    <s v="DF03-02"/>
    <x v="0"/>
    <d v="2025-06-14T00:00:00"/>
    <n v="53850"/>
    <n v="116"/>
    <s v="053850_116"/>
    <s v="Discovery Frodi"/>
    <s v="Mai valutato"/>
    <m/>
    <m/>
    <n v="1163307619784"/>
    <n v="20250522"/>
    <x v="0"/>
    <m/>
    <m/>
    <s v="A     - Avere"/>
    <n v="367200"/>
    <m/>
    <n v="4826274"/>
    <n v="4414960759"/>
    <s v="MEDICAL SOLUTIONS &amp; CONSULTING S.R.L."/>
    <s v="430 - Imprese produttive"/>
    <s v="477 - COMMERCIO AL DETTAGLIO DI ALTRI PRODOTTI IN ESERCIZI SPECIALIZZATI"/>
    <s v="086 - ITALIA"/>
    <n v="1903"/>
    <m/>
    <m/>
    <m/>
    <m/>
    <m/>
    <m/>
    <m/>
    <n v="0"/>
    <n v="202505"/>
    <s v="IN VALUTAZIONE RPR"/>
    <x v="1"/>
    <n v="1"/>
    <m/>
    <m/>
    <n v="0"/>
    <n v="477"/>
    <n v="430"/>
    <n v="430477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52642"/>
    <s v="DF03-02"/>
    <x v="0"/>
    <d v="2025-06-14T00:00:00"/>
    <n v="53850"/>
    <n v="148"/>
    <s v="053850_148"/>
    <s v="Discovery Frodi"/>
    <s v="Mai valutato"/>
    <m/>
    <m/>
    <n v="1483300005779"/>
    <n v="20250520"/>
    <x v="0"/>
    <m/>
    <m/>
    <s v="A     - Avere"/>
    <n v="66000"/>
    <m/>
    <n v="3722303"/>
    <n v="1652800622"/>
    <s v="COMALSUR S.R.L."/>
    <s v="430 - Imprese produttive"/>
    <s v="463 - COMMERCIO ALL'INGROSSO DI PRODOTTI ALIMENTARI, BEVANDE E PRODOTTI DEL TABACCO"/>
    <s v="086 - ITALIA"/>
    <m/>
    <m/>
    <m/>
    <m/>
    <m/>
    <m/>
    <m/>
    <m/>
    <n v="0"/>
    <n v="202505"/>
    <s v="ARCHIVIATA"/>
    <x v="0"/>
    <n v="1"/>
    <m/>
    <m/>
    <n v="0"/>
    <n v="463"/>
    <n v="430"/>
    <n v="430463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52640"/>
    <s v="DF03-02"/>
    <x v="0"/>
    <d v="2025-06-14T00:00:00"/>
    <n v="53850"/>
    <n v="273"/>
    <s v="053850_273"/>
    <s v="Discovery Frodi"/>
    <s v="Mai valutato"/>
    <m/>
    <m/>
    <n v="2733300000419"/>
    <n v="20250502"/>
    <x v="0"/>
    <m/>
    <m/>
    <s v="A     - Avere"/>
    <n v="35133.78"/>
    <m/>
    <n v="1615741"/>
    <n v="1399580693"/>
    <s v="TECNOPACK S.R.L."/>
    <s v="430 - Imprese produttive"/>
    <s v="162 - FABBRICAZIONE DI PRODOTTI IN LEGNO, SUGHERO, PAGLIA E MATERIALI DA INTRECCIO"/>
    <s v="086 - ITALIA"/>
    <n v="1856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52633"/>
    <s v="DF03-02"/>
    <x v="0"/>
    <d v="2025-06-14T00:00:00"/>
    <n v="53850"/>
    <n v="161"/>
    <s v="053850_161"/>
    <s v="Discovery Frodi"/>
    <s v="Mai valutato"/>
    <m/>
    <m/>
    <n v="1613300032597"/>
    <n v="20250519"/>
    <x v="0"/>
    <m/>
    <m/>
    <s v="A     - Avere"/>
    <n v="65000"/>
    <m/>
    <n v="4848422"/>
    <n v="7580050727"/>
    <s v="AZIENDA AGRICOLA LA CORTE - SOCIETA' AGRICOL"/>
    <s v="491 - Quasi societa' non finanziarie altre - Unita' o societa' con piu' di 5 e meno di 20 addetti"/>
    <s v="014 - ALLEVAMENTO DI ANIMALI"/>
    <s v="086 - ITALIA"/>
    <n v="1903"/>
    <m/>
    <m/>
    <m/>
    <m/>
    <m/>
    <m/>
    <m/>
    <n v="0"/>
    <n v="202505"/>
    <s v="ARCHIVIATA"/>
    <x v="0"/>
    <n v="1"/>
    <m/>
    <m/>
    <n v="0"/>
    <n v="999"/>
    <n v="491"/>
    <n v="491999"/>
    <m/>
    <n v="1"/>
    <x v="3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52625"/>
    <s v="DF03-02"/>
    <x v="0"/>
    <d v="2025-06-14T00:00:00"/>
    <n v="53850"/>
    <n v="132"/>
    <s v="053850_132"/>
    <s v="Discovery Frodi"/>
    <s v="Mai valutato"/>
    <m/>
    <m/>
    <n v="1323300003714"/>
    <n v="20250507"/>
    <x v="0"/>
    <m/>
    <m/>
    <s v="A     - Avere"/>
    <n v="26036"/>
    <m/>
    <n v="3724103"/>
    <n v="2178850760"/>
    <s v="DESMA SOCIETA' A RESPONSABILITA' LIMITATA SEMPLIFICATA"/>
    <s v="430 - Imprese produttive"/>
    <s v="522 - ATTIVITÀ DI SUPPORTO AI TRASPORTI"/>
    <s v="086 - ITALIA"/>
    <n v="823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52624"/>
    <s v="DF03-02"/>
    <x v="0"/>
    <d v="2025-06-14T00:00:00"/>
    <n v="53850"/>
    <n v="118"/>
    <s v="053850_118"/>
    <s v="Discovery Frodi"/>
    <s v="Mai valutato"/>
    <m/>
    <m/>
    <n v="1183306277717"/>
    <n v="20250506"/>
    <x v="0"/>
    <m/>
    <m/>
    <s v="A     - Avere"/>
    <n v="68573.66"/>
    <m/>
    <n v="4237439"/>
    <n v="5982410721"/>
    <s v="LINEA PELLE S.R.L."/>
    <s v="430 - Imprese produttive"/>
    <s v="462 - COMMERCIO ALL'INGROSSO DI MATERIE PRIME AGRICOLE E DI ANIMALI VIVI"/>
    <s v="086 - ITALIA"/>
    <n v="1203"/>
    <m/>
    <m/>
    <m/>
    <m/>
    <m/>
    <m/>
    <m/>
    <n v="0"/>
    <n v="202505"/>
    <s v="IN VALUTAZIONE RPR"/>
    <x v="1"/>
    <n v="1"/>
    <m/>
    <m/>
    <n v="0"/>
    <n v="462"/>
    <n v="430"/>
    <n v="43046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52618"/>
    <s v="DF03-02"/>
    <x v="0"/>
    <d v="2025-06-14T00:00:00"/>
    <n v="53850"/>
    <n v="105"/>
    <s v="053850_105"/>
    <s v="Discovery Frodi"/>
    <s v="Mai valutato"/>
    <m/>
    <m/>
    <n v="1053306287103"/>
    <n v="20250522"/>
    <x v="0"/>
    <m/>
    <m/>
    <s v="A     - Avere"/>
    <n v="425976.13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52617"/>
    <s v="DF03-02"/>
    <x v="0"/>
    <d v="2025-06-14T00:00:00"/>
    <n v="53850"/>
    <n v="105"/>
    <s v="053850_105"/>
    <s v="Discovery Frodi"/>
    <s v="Mai valutato"/>
    <m/>
    <m/>
    <n v="1053306287103"/>
    <n v="20250519"/>
    <x v="0"/>
    <m/>
    <m/>
    <s v="A     - Avere"/>
    <n v="140000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52609"/>
    <s v="DF03-02"/>
    <x v="0"/>
    <d v="2025-06-14T00:00:00"/>
    <n v="53850"/>
    <n v="261"/>
    <s v="053850_261"/>
    <s v="Discovery Frodi"/>
    <s v="Mai valutato"/>
    <m/>
    <m/>
    <n v="2613300010205"/>
    <n v="20250529"/>
    <x v="0"/>
    <m/>
    <m/>
    <s v="A     - Avere"/>
    <n v="29862"/>
    <m/>
    <n v="4991786"/>
    <n v="993400944"/>
    <s v="OVERLAND TARTUFI SRL"/>
    <s v="430 - Imprese produttive"/>
    <s v="103 - LAVORAZIONE E CONSERVAZIONE DI FRUTTA E ORTAGGI"/>
    <s v="086 - ITALIA"/>
    <n v="1782"/>
    <m/>
    <m/>
    <m/>
    <m/>
    <m/>
    <m/>
    <m/>
    <n v="0"/>
    <n v="202505"/>
    <s v="ARCHIVIATA"/>
    <x v="0"/>
    <n v="1"/>
    <n v="4991786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52600"/>
    <s v="DF03-02"/>
    <x v="0"/>
    <d v="2025-06-14T00:00:00"/>
    <n v="53850"/>
    <n v="108"/>
    <s v="053850_108"/>
    <s v="Discovery Frodi"/>
    <s v="Mai valutato"/>
    <m/>
    <m/>
    <n v="1083300011180"/>
    <n v="20250520"/>
    <x v="1"/>
    <m/>
    <m/>
    <s v="A     - Avere"/>
    <n v="122693.54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52583"/>
    <s v="DF03-02"/>
    <x v="0"/>
    <d v="2025-06-14T00:00:00"/>
    <n v="53850"/>
    <n v="187"/>
    <s v="053850_187"/>
    <s v="Discovery Frodi"/>
    <s v="Mai valutato"/>
    <m/>
    <m/>
    <n v="999361870311"/>
    <n v="20250516"/>
    <x v="0"/>
    <m/>
    <m/>
    <s v="A     - Avere"/>
    <n v="25162.68"/>
    <m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4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52579"/>
    <s v="DF03-02"/>
    <x v="0"/>
    <d v="2025-06-14T00:00:00"/>
    <n v="53850"/>
    <n v="105"/>
    <s v="053850_105"/>
    <s v="Discovery Frodi"/>
    <s v="Mai valutato"/>
    <m/>
    <m/>
    <n v="1053306287103"/>
    <n v="20250526"/>
    <x v="0"/>
    <m/>
    <m/>
    <s v="A     - Avere"/>
    <n v="1000000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52578"/>
    <s v="DF03-02"/>
    <x v="0"/>
    <d v="2025-06-14T00:00:00"/>
    <n v="53850"/>
    <n v="109"/>
    <s v="053850_109"/>
    <s v="Discovery Frodi"/>
    <s v="Mai valutato"/>
    <m/>
    <m/>
    <n v="1093306674353"/>
    <n v="20250516"/>
    <x v="0"/>
    <m/>
    <m/>
    <s v="A     - Avere"/>
    <n v="127798.39999999999"/>
    <m/>
    <n v="4916449"/>
    <n v="8176830720"/>
    <s v="CENTRO AUTOVEICOLI S.R.L."/>
    <s v="430 - Imprese produttive"/>
    <s v="451 - COMMERCIO DI AUTOVEICOLI"/>
    <s v="086 - ITALIA"/>
    <n v="1903"/>
    <m/>
    <m/>
    <m/>
    <m/>
    <m/>
    <m/>
    <m/>
    <n v="0"/>
    <n v="202505"/>
    <s v="ARCHIVIATA"/>
    <x v="0"/>
    <n v="1"/>
    <n v="4916449"/>
    <n v="1"/>
    <n v="0"/>
    <n v="451"/>
    <n v="430"/>
    <n v="430451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52572"/>
    <s v="DF03-02"/>
    <x v="0"/>
    <d v="2025-06-14T00:00:00"/>
    <n v="53850"/>
    <n v="108"/>
    <s v="053850_108"/>
    <s v="Discovery Frodi"/>
    <s v="Mai valutato"/>
    <m/>
    <m/>
    <n v="1083300011180"/>
    <n v="20250502"/>
    <x v="0"/>
    <m/>
    <m/>
    <s v="A     - Avere"/>
    <n v="260373.79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52566"/>
    <s v="DF03-02"/>
    <x v="0"/>
    <d v="2025-06-14T00:00:00"/>
    <n v="53850"/>
    <n v="187"/>
    <s v="053850_187"/>
    <s v="Discovery Frodi"/>
    <s v="Mai valutato"/>
    <m/>
    <m/>
    <n v="999361870311"/>
    <n v="20250513"/>
    <x v="0"/>
    <m/>
    <m/>
    <s v="A     - Avere"/>
    <n v="110485.34"/>
    <m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4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52561"/>
    <s v="DF03-02"/>
    <x v="0"/>
    <d v="2025-06-14T00:00:00"/>
    <n v="53850"/>
    <n v="108"/>
    <s v="053850_108"/>
    <s v="Discovery Frodi"/>
    <s v="Mai valutato"/>
    <m/>
    <m/>
    <n v="1083300011180"/>
    <n v="20250519"/>
    <x v="1"/>
    <m/>
    <m/>
    <s v="A     - Avere"/>
    <n v="40244.620000000003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52558"/>
    <s v="DF03-02"/>
    <x v="0"/>
    <d v="2025-06-14T00:00:00"/>
    <n v="53850"/>
    <n v="171"/>
    <s v="053850_171"/>
    <s v="Discovery Frodi"/>
    <s v="Mai valutato"/>
    <m/>
    <m/>
    <n v="1713302213842"/>
    <n v="20250526"/>
    <x v="0"/>
    <m/>
    <m/>
    <s v="A     - Avere"/>
    <n v="24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52553"/>
    <s v="DF03-02"/>
    <x v="0"/>
    <d v="2025-06-14T00:00:00"/>
    <n v="53850"/>
    <n v="122"/>
    <s v="053850_122"/>
    <s v="Discovery Frodi"/>
    <s v="Mai valutato"/>
    <m/>
    <m/>
    <n v="1223300001682"/>
    <n v="20250529"/>
    <x v="0"/>
    <m/>
    <m/>
    <s v="A     - Avere"/>
    <n v="329680.36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52548"/>
    <s v="DF03-02"/>
    <x v="0"/>
    <d v="2025-06-14T00:00:00"/>
    <n v="53850"/>
    <n v="122"/>
    <s v="053850_122"/>
    <s v="Discovery Frodi"/>
    <s v="Mai valutato"/>
    <m/>
    <m/>
    <n v="1223300002128"/>
    <n v="20250528"/>
    <x v="0"/>
    <m/>
    <m/>
    <s v="A     - Avere"/>
    <n v="40618.199999999997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52541"/>
    <s v="DF03-02"/>
    <x v="0"/>
    <d v="2025-06-14T00:00:00"/>
    <n v="53850"/>
    <n v="171"/>
    <s v="053850_171"/>
    <s v="Discovery Frodi"/>
    <s v="Mai valutato"/>
    <m/>
    <m/>
    <n v="1713302213842"/>
    <n v="20250507"/>
    <x v="0"/>
    <m/>
    <m/>
    <s v="A     - Avere"/>
    <n v="10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52540"/>
    <s v="DF03-02"/>
    <x v="0"/>
    <d v="2025-06-14T00:00:00"/>
    <n v="53850"/>
    <n v="153"/>
    <s v="053850_153"/>
    <s v="Discovery Frodi"/>
    <s v="Mai valutato"/>
    <m/>
    <m/>
    <n v="1533300663954"/>
    <n v="20250516"/>
    <x v="0"/>
    <m/>
    <m/>
    <s v="A     - Avere"/>
    <n v="177434.65"/>
    <m/>
    <n v="3716076"/>
    <n v="11929640966"/>
    <s v="PRESTITOSI' AUTOMOTIVE S.R.L."/>
    <s v="284 - Altri ausiliari finanziari"/>
    <s v="661 - ATTIVITÀ AUSILIARIE DEI SERVIZI FINANZIARI (ESCLUSE LE ASSICURAZIONI E I FONDI PENSIONE)"/>
    <s v="086 - ITALIA"/>
    <n v="1055"/>
    <m/>
    <m/>
    <m/>
    <m/>
    <m/>
    <m/>
    <m/>
    <n v="0"/>
    <n v="202505"/>
    <s v="ARCHIVIATA"/>
    <x v="0"/>
    <n v="1"/>
    <m/>
    <m/>
    <n v="0"/>
    <n v="999"/>
    <n v="284"/>
    <n v="284999"/>
    <m/>
    <n v="1"/>
    <x v="4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52530"/>
    <s v="DF03-02"/>
    <x v="0"/>
    <d v="2025-06-14T00:00:00"/>
    <n v="53850"/>
    <n v="148"/>
    <s v="053850_148"/>
    <s v="Discovery Frodi"/>
    <s v="Mai valutato"/>
    <m/>
    <m/>
    <n v="1483300006067"/>
    <n v="20250507"/>
    <x v="0"/>
    <m/>
    <m/>
    <s v="A     - Avere"/>
    <n v="40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52529"/>
    <s v="DF03-02"/>
    <x v="0"/>
    <d v="2025-06-14T00:00:00"/>
    <n v="53850"/>
    <n v="171"/>
    <s v="053850_171"/>
    <s v="Discovery Frodi"/>
    <s v="Mai valutato"/>
    <m/>
    <m/>
    <n v="1713302213842"/>
    <n v="20250507"/>
    <x v="0"/>
    <m/>
    <m/>
    <s v="A     - Avere"/>
    <n v="50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52517"/>
    <s v="DF03-02"/>
    <x v="0"/>
    <d v="2025-06-14T00:00:00"/>
    <n v="53850"/>
    <n v="125"/>
    <s v="053850_125"/>
    <s v="Discovery Frodi"/>
    <s v="Mai valutato"/>
    <m/>
    <m/>
    <n v="1253300002567"/>
    <n v="20250526"/>
    <x v="0"/>
    <m/>
    <m/>
    <s v="A     - Avere"/>
    <n v="40262"/>
    <m/>
    <n v="4951371"/>
    <n v="9498701219"/>
    <s v="CURCIO SERVICE SRL"/>
    <s v="430 - Imprese produttive"/>
    <s v="464 - COMMERCIO ALL'INGROSSO DI BENI DI CONSUMO FINALE"/>
    <s v="086 - ITALIA"/>
    <n v="1337"/>
    <m/>
    <m/>
    <m/>
    <m/>
    <m/>
    <m/>
    <m/>
    <n v="0"/>
    <n v="202505"/>
    <s v="ARCHIVIATA"/>
    <x v="0"/>
    <n v="1"/>
    <m/>
    <m/>
    <n v="0"/>
    <n v="464"/>
    <n v="430"/>
    <n v="430464"/>
    <s v="Classe di rischio 4"/>
    <m/>
    <x v="2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52505"/>
    <s v="DF03-02"/>
    <x v="0"/>
    <d v="2025-06-14T00:00:00"/>
    <n v="53850"/>
    <n v="153"/>
    <s v="053850_153"/>
    <s v="Discovery Frodi"/>
    <s v="Mai valutato"/>
    <m/>
    <m/>
    <n v="1533300663959"/>
    <n v="20250519"/>
    <x v="0"/>
    <m/>
    <m/>
    <s v="A     - Avere"/>
    <n v="46200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5"/>
    <s v="ARCHIVIATA"/>
    <x v="0"/>
    <n v="1"/>
    <m/>
    <m/>
    <n v="0"/>
    <n v="462"/>
    <n v="430"/>
    <n v="43046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52503"/>
    <s v="DF03-02"/>
    <x v="0"/>
    <d v="2025-06-14T00:00:00"/>
    <n v="53850"/>
    <n v="145"/>
    <s v="053850_145"/>
    <s v="Discovery Frodi"/>
    <s v="Mai valutato"/>
    <m/>
    <m/>
    <n v="1453300003389"/>
    <n v="20250512"/>
    <x v="0"/>
    <m/>
    <m/>
    <s v="A     - Avere"/>
    <n v="151719.9"/>
    <m/>
    <n v="4955147"/>
    <n v="5645531210"/>
    <s v="4 M.M. S.R.L."/>
    <s v="430 - Imprese produttive"/>
    <s v="464 - COMMERCIO ALL'INGROSSO DI BENI DI CONSUMO FINALE"/>
    <s v="086 - ITALIA"/>
    <n v="982"/>
    <m/>
    <m/>
    <m/>
    <m/>
    <m/>
    <m/>
    <m/>
    <n v="0"/>
    <n v="202505"/>
    <s v="IN CARICO AL GESTORE"/>
    <x v="1"/>
    <n v="1"/>
    <m/>
    <m/>
    <n v="0"/>
    <n v="464"/>
    <n v="430"/>
    <n v="430464"/>
    <s v="Classe di rischio 4"/>
    <m/>
    <x v="2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52489"/>
    <s v="DF03-02"/>
    <x v="0"/>
    <d v="2025-06-14T00:00:00"/>
    <n v="53850"/>
    <n v="125"/>
    <s v="053850_125"/>
    <s v="Discovery Frodi"/>
    <s v="Mai valutato"/>
    <m/>
    <m/>
    <n v="1253309512895"/>
    <n v="20250528"/>
    <x v="0"/>
    <m/>
    <m/>
    <s v="A     - Avere"/>
    <n v="39983.01"/>
    <m/>
    <n v="4795279"/>
    <n v="1020090658"/>
    <s v="GIAGUARO - S.P.A."/>
    <s v="430 - Imprese produttive"/>
    <s v="103 - LAVORAZIONE E CONSERVAZIONE DI FRUTTA E ORTAGGI"/>
    <s v="086 - ITALIA"/>
    <n v="982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52487"/>
    <s v="DF03-02"/>
    <x v="0"/>
    <d v="2025-06-14T00:00:00"/>
    <n v="53850"/>
    <n v="191"/>
    <s v="053850_191"/>
    <s v="Discovery Frodi"/>
    <s v="Mai valutato"/>
    <m/>
    <m/>
    <n v="1913300068122"/>
    <n v="20250521"/>
    <x v="0"/>
    <m/>
    <m/>
    <s v="A     - Avere"/>
    <n v="50000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5"/>
    <s v="IN CARICO AL GESTORE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52479"/>
    <s v="DF03-02"/>
    <x v="0"/>
    <d v="2025-06-14T00:00:00"/>
    <n v="53850"/>
    <n v="103"/>
    <s v="053850_103"/>
    <s v="Discovery Frodi"/>
    <s v="Mai valutato"/>
    <m/>
    <m/>
    <n v="1033306967935"/>
    <n v="20250516"/>
    <x v="0"/>
    <m/>
    <m/>
    <s v="A     - Avere"/>
    <n v="43064.93"/>
    <m/>
    <n v="155052"/>
    <n v="2563580725"/>
    <s v="ITALSUD CARBURANTI SRL"/>
    <s v="430 - Imprese produttive"/>
    <s v="467 - COMMERCIO ALL'INGROSSO SPECIALIZZATO DI ALTRI PRODOTTI"/>
    <s v="086 - ITALIA"/>
    <n v="1926"/>
    <m/>
    <m/>
    <m/>
    <m/>
    <m/>
    <m/>
    <m/>
    <n v="0"/>
    <n v="202505"/>
    <s v="ARCHIVIATA"/>
    <x v="0"/>
    <n v="1"/>
    <n v="155052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52465"/>
    <s v="DF03-02"/>
    <x v="0"/>
    <d v="2025-06-14T00:00:00"/>
    <n v="53850"/>
    <n v="141"/>
    <s v="053850_141"/>
    <s v="Discovery Frodi"/>
    <s v="Mai valutato"/>
    <m/>
    <m/>
    <n v="1413300003738"/>
    <n v="20250523"/>
    <x v="0"/>
    <m/>
    <m/>
    <s v="A     - Avere"/>
    <n v="273506.31"/>
    <m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5"/>
    <s v="ARCHIVIATA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52457"/>
    <s v="DF03-02"/>
    <x v="0"/>
    <d v="2025-06-14T00:00:00"/>
    <n v="53850"/>
    <n v="148"/>
    <s v="053850_148"/>
    <s v="Discovery Frodi"/>
    <s v="Mai valutato"/>
    <m/>
    <m/>
    <n v="1483300006067"/>
    <n v="20250522"/>
    <x v="0"/>
    <m/>
    <m/>
    <s v="A     - Avere"/>
    <n v="45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52446"/>
    <s v="DF03-02"/>
    <x v="0"/>
    <d v="2025-06-14T00:00:00"/>
    <n v="53850"/>
    <n v="187"/>
    <s v="053850_187"/>
    <s v="Discovery Frodi"/>
    <s v="Mai valutato"/>
    <m/>
    <m/>
    <n v="999361870311"/>
    <n v="20250516"/>
    <x v="0"/>
    <m/>
    <m/>
    <s v="A     - Avere"/>
    <n v="660695.05000000005"/>
    <m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4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52433"/>
    <s v="DF03-02"/>
    <x v="0"/>
    <d v="2025-06-14T00:00:00"/>
    <n v="53850"/>
    <n v="105"/>
    <s v="053850_105"/>
    <s v="Discovery Frodi"/>
    <s v="Mai valutato"/>
    <m/>
    <m/>
    <n v="1053306287103"/>
    <n v="20250530"/>
    <x v="0"/>
    <m/>
    <m/>
    <s v="A     - Avere"/>
    <n v="33925.46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52429"/>
    <s v="DF03-02"/>
    <x v="0"/>
    <d v="2025-06-14T00:00:00"/>
    <n v="53850"/>
    <n v="148"/>
    <s v="053850_148"/>
    <s v="Discovery Frodi"/>
    <s v="Mai valutato"/>
    <m/>
    <m/>
    <n v="1483300006067"/>
    <n v="20250507"/>
    <x v="0"/>
    <m/>
    <m/>
    <s v="A     - Avere"/>
    <n v="40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52413"/>
    <s v="DF03-02"/>
    <x v="0"/>
    <d v="2025-06-14T00:00:00"/>
    <n v="53850"/>
    <n v="261"/>
    <s v="053850_261"/>
    <s v="Discovery Frodi"/>
    <s v="Mai valutato"/>
    <m/>
    <m/>
    <n v="2613300010205"/>
    <n v="20250527"/>
    <x v="0"/>
    <m/>
    <m/>
    <s v="A     - Avere"/>
    <n v="27796.5"/>
    <m/>
    <n v="4991786"/>
    <n v="993400944"/>
    <s v="OVERLAND TARTUFI SRL"/>
    <s v="430 - Imprese produttive"/>
    <s v="103 - LAVORAZIONE E CONSERVAZIONE DI FRUTTA E ORTAGGI"/>
    <s v="086 - ITALIA"/>
    <n v="1782"/>
    <m/>
    <m/>
    <m/>
    <m/>
    <m/>
    <m/>
    <m/>
    <n v="0"/>
    <n v="202505"/>
    <s v="ARCHIVIATA"/>
    <x v="0"/>
    <n v="1"/>
    <n v="4991786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52376"/>
    <s v="DF03-02"/>
    <x v="0"/>
    <d v="2025-06-14T00:00:00"/>
    <n v="53850"/>
    <n v="141"/>
    <s v="053850_141"/>
    <s v="Discovery Frodi"/>
    <s v="Mai valutato"/>
    <m/>
    <m/>
    <n v="1413300003347"/>
    <n v="20250515"/>
    <x v="0"/>
    <m/>
    <m/>
    <s v="A     - Avere"/>
    <n v="40000"/>
    <m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5"/>
    <s v="ARCHIVIATA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52339"/>
    <s v="DF03-02"/>
    <x v="0"/>
    <d v="2025-06-14T00:00:00"/>
    <n v="53850"/>
    <n v="154"/>
    <s v="053850_154"/>
    <s v="Discovery Frodi"/>
    <s v="Mai valutato"/>
    <m/>
    <m/>
    <n v="1543300004860"/>
    <n v="20250521"/>
    <x v="0"/>
    <m/>
    <m/>
    <s v="A     - Avere"/>
    <n v="27250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52326"/>
    <s v="DF03-02"/>
    <x v="0"/>
    <d v="2025-06-14T00:00:00"/>
    <n v="53850"/>
    <n v="103"/>
    <s v="053850_103"/>
    <s v="Discovery Frodi"/>
    <s v="Mai valutato"/>
    <m/>
    <m/>
    <n v="1033306967935"/>
    <n v="20250506"/>
    <x v="2"/>
    <m/>
    <m/>
    <s v="A     - Avere"/>
    <n v="25636.55"/>
    <m/>
    <n v="155052"/>
    <n v="2563580725"/>
    <s v="ITALSUD CARBURANTI SRL"/>
    <s v="430 - Imprese produttive"/>
    <s v="467 - COMMERCIO ALL'INGROSSO SPECIALIZZATO DI ALTRI PRODOTTI"/>
    <s v="086 - ITALIA"/>
    <n v="1926"/>
    <m/>
    <m/>
    <m/>
    <m/>
    <m/>
    <m/>
    <m/>
    <n v="0"/>
    <n v="202505"/>
    <s v="ARCHIVIATA"/>
    <x v="0"/>
    <n v="1"/>
    <n v="155052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52298"/>
    <s v="DF03-02"/>
    <x v="0"/>
    <d v="2025-06-14T00:00:00"/>
    <n v="53850"/>
    <n v="191"/>
    <s v="053850_191"/>
    <s v="Discovery Frodi"/>
    <s v="Mai valutato"/>
    <m/>
    <m/>
    <n v="1913300068122"/>
    <n v="20250522"/>
    <x v="0"/>
    <m/>
    <m/>
    <s v="A     - Avere"/>
    <n v="30000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5"/>
    <s v="IN CARICO AL GESTORE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52290"/>
    <s v="DF03-02"/>
    <x v="0"/>
    <d v="2025-06-14T00:00:00"/>
    <n v="53850"/>
    <n v="141"/>
    <s v="053850_141"/>
    <s v="Discovery Frodi"/>
    <s v="Mai valutato"/>
    <m/>
    <m/>
    <n v="1413300003347"/>
    <n v="20250521"/>
    <x v="0"/>
    <m/>
    <m/>
    <s v="A     - Avere"/>
    <n v="27164.07"/>
    <m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5"/>
    <s v="ARCHIVIATA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52283"/>
    <s v="DF03-02"/>
    <x v="0"/>
    <d v="2025-06-14T00:00:00"/>
    <n v="53850"/>
    <n v="189"/>
    <s v="053850_189"/>
    <s v="Discovery Frodi"/>
    <s v="Mai valutato"/>
    <m/>
    <m/>
    <n v="1893300039198"/>
    <n v="20250521"/>
    <x v="0"/>
    <m/>
    <m/>
    <s v="A     - Avere"/>
    <n v="53000"/>
    <m/>
    <n v="4946691"/>
    <n v="3168470734"/>
    <s v="I DUE MARI - SOCIETA' COOPERATIVA"/>
    <s v="430 - Imprese produttive"/>
    <s v="032 - ACQUACOLTURA"/>
    <s v="086 - ITALIA"/>
    <n v="1381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52268"/>
    <s v="DF03-02"/>
    <x v="0"/>
    <d v="2025-06-14T00:00:00"/>
    <n v="53850"/>
    <n v="122"/>
    <s v="053850_122"/>
    <s v="Discovery Frodi"/>
    <s v="Mai valutato"/>
    <m/>
    <m/>
    <n v="1223300001682"/>
    <n v="20250527"/>
    <x v="0"/>
    <m/>
    <m/>
    <s v="A     - Avere"/>
    <n v="25620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52259"/>
    <s v="DF03-02"/>
    <x v="0"/>
    <d v="2025-06-14T00:00:00"/>
    <n v="53850"/>
    <n v="145"/>
    <s v="053850_145"/>
    <s v="Discovery Frodi"/>
    <s v="Mai valutato"/>
    <m/>
    <m/>
    <n v="1453300004026"/>
    <n v="20250509"/>
    <x v="0"/>
    <m/>
    <m/>
    <s v="A     - Avere"/>
    <n v="51240"/>
    <m/>
    <n v="3741477"/>
    <n v="10665571211"/>
    <s v="PUBBLIVITA SRL"/>
    <s v="430 - Imprese produttive"/>
    <s v="731 - PUBBLICITÀ"/>
    <s v="086 - ITALIA"/>
    <n v="1222"/>
    <m/>
    <m/>
    <m/>
    <m/>
    <m/>
    <m/>
    <m/>
    <n v="0"/>
    <n v="202505"/>
    <s v="ARCHIVIATA"/>
    <x v="0"/>
    <n v="1"/>
    <m/>
    <m/>
    <n v="0"/>
    <n v="731"/>
    <n v="430"/>
    <n v="430731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52219"/>
    <s v="DF03-02"/>
    <x v="0"/>
    <d v="2025-06-14T00:00:00"/>
    <n v="53850"/>
    <n v="136"/>
    <s v="053850_136"/>
    <s v="Discovery Frodi"/>
    <s v="Mai valutato"/>
    <m/>
    <m/>
    <n v="1363300003325"/>
    <n v="20250506"/>
    <x v="0"/>
    <m/>
    <m/>
    <s v="A     - Avere"/>
    <n v="43255.89"/>
    <m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52162"/>
    <s v="DF03-02"/>
    <x v="0"/>
    <d v="2025-06-14T00:00:00"/>
    <n v="53850"/>
    <n v="99"/>
    <s v="053850_99"/>
    <s v="Discovery Frodi"/>
    <s v="Mai valutato"/>
    <m/>
    <m/>
    <m/>
    <n v="20250508"/>
    <x v="0"/>
    <m/>
    <m/>
    <s v="A     - Avere"/>
    <n v="55919.05"/>
    <m/>
    <n v="1900001"/>
    <n v="604840777"/>
    <s v="BANCA POPOLARE DI PUGLIA E BASILICATA SOCIETA' COOPERATIVA PER AZIONI"/>
    <s v="245 - Sistema bancario"/>
    <s v="641 - INTERMEDIAZIONE MONETARIA"/>
    <s v="086 - ITALIA"/>
    <m/>
    <m/>
    <m/>
    <m/>
    <m/>
    <m/>
    <m/>
    <m/>
    <n v="0"/>
    <n v="202505"/>
    <s v="IN CARICO AL RESPONSABILE"/>
    <x v="1"/>
    <n v="1"/>
    <m/>
    <m/>
    <n v="0"/>
    <n v="999"/>
    <n v="245"/>
    <n v="245999"/>
    <m/>
    <n v="1"/>
    <x v="4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52156"/>
    <s v="DF03-02"/>
    <x v="0"/>
    <d v="2025-06-14T00:00:00"/>
    <n v="53850"/>
    <n v="116"/>
    <s v="053850_116"/>
    <s v="Discovery Frodi"/>
    <s v="Mai valutato"/>
    <m/>
    <m/>
    <n v="1163307620827"/>
    <n v="20250522"/>
    <x v="0"/>
    <m/>
    <m/>
    <s v="A     - Avere"/>
    <n v="27000"/>
    <m/>
    <n v="4871871"/>
    <n v="2516140726"/>
    <s v="FREZZA LEGNAMI S.P.A."/>
    <s v="430 - Imprese produttive"/>
    <s v="467 - COMMERCIO ALL'INGROSSO SPECIALIZZATO DI ALTRI PRODOTTI"/>
    <s v="086 - ITALIA"/>
    <n v="1903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52100"/>
    <s v="DF03-02"/>
    <x v="0"/>
    <d v="2025-06-14T00:00:00"/>
    <n v="53850"/>
    <n v="125"/>
    <s v="053850_125"/>
    <s v="Discovery Frodi"/>
    <s v="Mai valutato"/>
    <m/>
    <m/>
    <n v="1253309512895"/>
    <n v="20250528"/>
    <x v="0"/>
    <m/>
    <m/>
    <s v="A     - Avere"/>
    <n v="29469.42"/>
    <m/>
    <n v="4795279"/>
    <n v="1020090658"/>
    <s v="GIAGUARO - S.P.A."/>
    <s v="430 - Imprese produttive"/>
    <s v="103 - LAVORAZIONE E CONSERVAZIONE DI FRUTTA E ORTAGGI"/>
    <s v="086 - ITALIA"/>
    <n v="982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52044"/>
    <s v="DF03-02"/>
    <x v="0"/>
    <d v="2025-06-14T00:00:00"/>
    <n v="53850"/>
    <n v="191"/>
    <s v="053850_191"/>
    <s v="Discovery Frodi"/>
    <s v="Mai valutato"/>
    <m/>
    <m/>
    <n v="1913300068122"/>
    <n v="20250526"/>
    <x v="0"/>
    <m/>
    <m/>
    <s v="A     - Avere"/>
    <n v="50000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5"/>
    <s v="IN CARICO AL GESTORE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52033"/>
    <s v="DF03-02"/>
    <x v="0"/>
    <d v="2025-06-14T00:00:00"/>
    <n v="53850"/>
    <n v="147"/>
    <s v="053850_147"/>
    <s v="Discovery Frodi"/>
    <s v="Mai valutato"/>
    <m/>
    <m/>
    <n v="1473300002800"/>
    <n v="20250507"/>
    <x v="0"/>
    <m/>
    <m/>
    <s v="A     - Avere"/>
    <n v="72400"/>
    <m/>
    <n v="4932680"/>
    <n v="4423920612"/>
    <s v="DIEMME COSTRUZIONI S.R.L."/>
    <s v="430 - Imprese produttive"/>
    <s v="412 - COSTRUZIONE DI EDIFICI RESIDENZIALI E NON RESIDENZIALI"/>
    <s v="086 - ITALIA"/>
    <n v="1196"/>
    <m/>
    <m/>
    <m/>
    <m/>
    <m/>
    <m/>
    <m/>
    <n v="0"/>
    <n v="202505"/>
    <s v="ARCHIVIATA"/>
    <x v="0"/>
    <n v="1"/>
    <m/>
    <m/>
    <n v="0"/>
    <n v="412"/>
    <n v="430"/>
    <n v="43041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51995"/>
    <s v="DF03-02"/>
    <x v="0"/>
    <d v="2025-06-14T00:00:00"/>
    <n v="53850"/>
    <n v="105"/>
    <s v="053850_105"/>
    <s v="Discovery Frodi"/>
    <s v="Mai valutato"/>
    <m/>
    <m/>
    <n v="1053306287103"/>
    <n v="20250530"/>
    <x v="0"/>
    <m/>
    <m/>
    <s v="A     - Avere"/>
    <n v="974371.24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51993"/>
    <s v="DF03-02"/>
    <x v="0"/>
    <d v="2025-06-14T00:00:00"/>
    <n v="53850"/>
    <n v="153"/>
    <s v="053850_153"/>
    <s v="Discovery Frodi"/>
    <s v="Mai valutato"/>
    <m/>
    <m/>
    <n v="1533300663959"/>
    <n v="20250509"/>
    <x v="0"/>
    <m/>
    <m/>
    <s v="A     - Avere"/>
    <n v="41031.54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5"/>
    <s v="ARCHIVIATA"/>
    <x v="0"/>
    <n v="1"/>
    <m/>
    <m/>
    <n v="0"/>
    <n v="462"/>
    <n v="430"/>
    <n v="43046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51979"/>
    <s v="DF03-02"/>
    <x v="0"/>
    <d v="2025-06-14T00:00:00"/>
    <n v="53850"/>
    <n v="148"/>
    <s v="053850_148"/>
    <s v="Discovery Frodi"/>
    <s v="Mai valutato"/>
    <m/>
    <m/>
    <n v="1483300006067"/>
    <n v="20250522"/>
    <x v="0"/>
    <m/>
    <m/>
    <s v="A     - Avere"/>
    <n v="45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51963"/>
    <s v="DF03-02"/>
    <x v="0"/>
    <d v="2025-06-14T00:00:00"/>
    <n v="53850"/>
    <n v="122"/>
    <s v="053850_122"/>
    <s v="Discovery Frodi"/>
    <s v="Mai valutato"/>
    <m/>
    <m/>
    <n v="1223300001682"/>
    <n v="20250527"/>
    <x v="0"/>
    <m/>
    <m/>
    <s v="A     - Avere"/>
    <n v="502850.93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51950"/>
    <s v="DF03-02"/>
    <x v="0"/>
    <d v="2025-06-14T00:00:00"/>
    <n v="53850"/>
    <n v="148"/>
    <s v="053850_148"/>
    <s v="Discovery Frodi"/>
    <s v="Mai valutato"/>
    <m/>
    <m/>
    <n v="1483300006067"/>
    <n v="20250527"/>
    <x v="0"/>
    <m/>
    <m/>
    <s v="A     - Avere"/>
    <n v="40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51929"/>
    <s v="DF03-02"/>
    <x v="0"/>
    <d v="2025-06-14T00:00:00"/>
    <n v="53850"/>
    <n v="171"/>
    <s v="053850_171"/>
    <s v="Discovery Frodi"/>
    <s v="Mai valutato"/>
    <m/>
    <m/>
    <n v="1713302213842"/>
    <n v="20250502"/>
    <x v="0"/>
    <m/>
    <m/>
    <s v="A     - Avere"/>
    <n v="2562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51921"/>
    <s v="DF03-02"/>
    <x v="0"/>
    <d v="2025-06-14T00:00:00"/>
    <n v="53850"/>
    <n v="261"/>
    <s v="053850_261"/>
    <s v="Discovery Frodi"/>
    <s v="Mai valutato"/>
    <m/>
    <m/>
    <n v="2613300000185"/>
    <n v="20250513"/>
    <x v="0"/>
    <m/>
    <m/>
    <s v="A     - Avere"/>
    <n v="78000"/>
    <m/>
    <n v="1603119"/>
    <n v="941080707"/>
    <s v="SANNIOLAT S.R.L."/>
    <s v="430 - Imprese produttive"/>
    <s v="105 - INDUSTRIA LATTIERO-CASEARIA"/>
    <s v="086 - ITALIA"/>
    <n v="1856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51890"/>
    <s v="DF03-02"/>
    <x v="0"/>
    <d v="2025-06-14T00:00:00"/>
    <n v="53850"/>
    <n v="187"/>
    <s v="053850_187"/>
    <s v="Discovery Frodi"/>
    <s v="Mai valutato"/>
    <m/>
    <m/>
    <n v="999361870311"/>
    <n v="20250505"/>
    <x v="0"/>
    <m/>
    <m/>
    <s v="A     - Avere"/>
    <n v="26652.48"/>
    <m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4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51889"/>
    <s v="DF03-02"/>
    <x v="0"/>
    <d v="2025-06-14T00:00:00"/>
    <n v="53850"/>
    <n v="175"/>
    <s v="053850_175"/>
    <s v="Discovery Frodi"/>
    <s v="Mai valutato"/>
    <m/>
    <m/>
    <n v="1753302203813"/>
    <n v="20250505"/>
    <x v="0"/>
    <m/>
    <m/>
    <s v="A     - Avere"/>
    <n v="127974.14"/>
    <m/>
    <n v="4907691"/>
    <n v="1146400773"/>
    <s v="SPAZIO RELAX S.P.A."/>
    <s v="430 - Imprese produttive"/>
    <s v="310 - FABBRICAZIONE DI MOBILI"/>
    <s v="086 - ITALIA"/>
    <n v="192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51888"/>
    <s v="DF03-02"/>
    <x v="0"/>
    <d v="2025-06-14T00:00:00"/>
    <n v="53850"/>
    <n v="171"/>
    <s v="053850_171"/>
    <s v="Discovery Frodi"/>
    <s v="Mai valutato"/>
    <m/>
    <m/>
    <n v="1713302213842"/>
    <n v="20250526"/>
    <x v="0"/>
    <m/>
    <m/>
    <s v="A     - Avere"/>
    <n v="20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51813"/>
    <s v="DF03-02"/>
    <x v="0"/>
    <d v="2025-06-14T00:00:00"/>
    <n v="53850"/>
    <n v="128"/>
    <s v="053850_128"/>
    <s v="Discovery Frodi"/>
    <s v="Mai valutato"/>
    <m/>
    <m/>
    <n v="1283300003276"/>
    <n v="20250528"/>
    <x v="0"/>
    <m/>
    <m/>
    <s v="A     - Avere"/>
    <n v="84790"/>
    <m/>
    <n v="4804234"/>
    <n v="7652810727"/>
    <s v="EMMEFFEDI CAR S.R.L."/>
    <s v="430 - Imprese produttive"/>
    <s v="282 - FABBRICAZIONE DI ALTRE MACCHINE DI IMPIEGO GENERALE"/>
    <s v="086 - ITALIA"/>
    <n v="462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51794"/>
    <s v="DF03-02"/>
    <x v="0"/>
    <d v="2025-06-14T00:00:00"/>
    <n v="53850"/>
    <n v="109"/>
    <s v="053850_109"/>
    <s v="Discovery Frodi"/>
    <s v="Mai valutato"/>
    <m/>
    <m/>
    <n v="1093306667367"/>
    <n v="20250530"/>
    <x v="0"/>
    <m/>
    <m/>
    <s v="A     - Avere"/>
    <n v="30000"/>
    <m/>
    <n v="4026861"/>
    <n v="5195820724"/>
    <s v="DOMINI S.R.L."/>
    <s v="430 - Imprese produttive"/>
    <s v="477 - COMMERCIO AL DETTAGLIO DI ALTRI PRODOTTI IN ESERCIZI SPECIALIZZATI"/>
    <s v="086 - ITALIA"/>
    <n v="1696"/>
    <m/>
    <m/>
    <m/>
    <m/>
    <m/>
    <m/>
    <m/>
    <n v="0"/>
    <n v="202505"/>
    <s v="ARCHIVIATA"/>
    <x v="0"/>
    <n v="1"/>
    <n v="4026861"/>
    <n v="1"/>
    <n v="0"/>
    <n v="477"/>
    <n v="430"/>
    <n v="430477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51763"/>
    <s v="DF03-02"/>
    <x v="0"/>
    <d v="2025-06-14T00:00:00"/>
    <n v="53850"/>
    <n v="148"/>
    <s v="053850_148"/>
    <s v="Discovery Frodi"/>
    <s v="Mai valutato"/>
    <m/>
    <m/>
    <n v="1483300006067"/>
    <n v="20250527"/>
    <x v="0"/>
    <m/>
    <m/>
    <s v="A     - Avere"/>
    <n v="40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51708"/>
    <s v="DF03-02"/>
    <x v="0"/>
    <d v="2025-06-14T00:00:00"/>
    <n v="53850"/>
    <n v="141"/>
    <s v="053850_141"/>
    <s v="Discovery Frodi"/>
    <s v="Mai valutato"/>
    <m/>
    <m/>
    <n v="1413300003985"/>
    <n v="20250515"/>
    <x v="0"/>
    <m/>
    <m/>
    <s v="A     - Avere"/>
    <n v="2814221.66"/>
    <m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5"/>
    <s v="ARCHIVIATA"/>
    <x v="0"/>
    <n v="1"/>
    <m/>
    <m/>
    <n v="0"/>
    <n v="931"/>
    <n v="430"/>
    <n v="430931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51683"/>
    <s v="DF03-02"/>
    <x v="0"/>
    <d v="2025-06-14T00:00:00"/>
    <n v="53850"/>
    <n v="105"/>
    <s v="053850_105"/>
    <s v="Discovery Frodi"/>
    <s v="Mai valutato"/>
    <m/>
    <m/>
    <n v="1053306287103"/>
    <n v="20250522"/>
    <x v="0"/>
    <m/>
    <m/>
    <s v="A     - Avere"/>
    <n v="724480.51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51676"/>
    <s v="DF03-02"/>
    <x v="0"/>
    <d v="2025-06-14T00:00:00"/>
    <n v="53850"/>
    <n v="122"/>
    <s v="053850_122"/>
    <s v="Discovery Frodi"/>
    <s v="Mai valutato"/>
    <m/>
    <m/>
    <n v="1223300002128"/>
    <n v="20250528"/>
    <x v="0"/>
    <m/>
    <m/>
    <s v="A     - Avere"/>
    <n v="129520.59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51649"/>
    <s v="DF03-02"/>
    <x v="0"/>
    <d v="2025-06-14T00:00:00"/>
    <n v="53850"/>
    <n v="116"/>
    <s v="053850_116"/>
    <s v="Discovery Frodi"/>
    <s v="Mai valutato"/>
    <m/>
    <m/>
    <n v="1163307620827"/>
    <n v="20250522"/>
    <x v="0"/>
    <m/>
    <m/>
    <s v="A     - Avere"/>
    <n v="67000"/>
    <m/>
    <n v="4871871"/>
    <n v="2516140726"/>
    <s v="FREZZA LEGNAMI S.P.A."/>
    <s v="430 - Imprese produttive"/>
    <s v="467 - COMMERCIO ALL'INGROSSO SPECIALIZZATO DI ALTRI PRODOTTI"/>
    <s v="086 - ITALIA"/>
    <n v="1903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51646"/>
    <s v="DF03-02"/>
    <x v="0"/>
    <d v="2025-06-14T00:00:00"/>
    <n v="53850"/>
    <n v="147"/>
    <s v="053850_147"/>
    <s v="Discovery Frodi"/>
    <s v="Mai valutato"/>
    <m/>
    <m/>
    <n v="1473300002945"/>
    <n v="20250516"/>
    <x v="0"/>
    <m/>
    <m/>
    <s v="A     - Avere"/>
    <n v="25624.18"/>
    <m/>
    <n v="4953849"/>
    <n v="8560621214"/>
    <s v="WORK START SOCIETA' COOPERATIVA A R.L."/>
    <s v="430 - Imprese produttive"/>
    <s v="522 - ATTIVITÀ DI SUPPORTO AI TRASPORTI"/>
    <s v="086 - ITALIA"/>
    <n v="1356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51633"/>
    <s v="DF03-02"/>
    <x v="0"/>
    <d v="2025-06-14T00:00:00"/>
    <n v="53850"/>
    <n v="145"/>
    <s v="053850_145"/>
    <s v="Discovery Frodi"/>
    <s v="Mai valutato"/>
    <m/>
    <m/>
    <n v="1453300003679"/>
    <n v="20250512"/>
    <x v="0"/>
    <m/>
    <m/>
    <s v="A     - Avere"/>
    <n v="51335.360000000001"/>
    <m/>
    <n v="4955147"/>
    <n v="5645531210"/>
    <s v="4 M.M. S.R.L."/>
    <s v="430 - Imprese produttive"/>
    <s v="464 - COMMERCIO ALL'INGROSSO DI BENI DI CONSUMO FINALE"/>
    <s v="086 - ITALIA"/>
    <n v="982"/>
    <m/>
    <m/>
    <m/>
    <m/>
    <m/>
    <m/>
    <m/>
    <n v="0"/>
    <n v="202505"/>
    <s v="IN CARICO AL GESTORE"/>
    <x v="1"/>
    <n v="1"/>
    <m/>
    <m/>
    <n v="0"/>
    <n v="464"/>
    <n v="430"/>
    <n v="430464"/>
    <s v="Classe di rischio 4"/>
    <m/>
    <x v="2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51589"/>
    <s v="DF03-02"/>
    <x v="0"/>
    <d v="2025-06-14T00:00:00"/>
    <n v="53850"/>
    <n v="125"/>
    <s v="053850_125"/>
    <s v="Discovery Frodi"/>
    <s v="Mai valutato"/>
    <m/>
    <m/>
    <n v="1253300002567"/>
    <n v="20250527"/>
    <x v="0"/>
    <m/>
    <m/>
    <s v="A     - Avere"/>
    <n v="50262"/>
    <m/>
    <n v="4951371"/>
    <n v="9498701219"/>
    <s v="CURCIO SERVICE SRL"/>
    <s v="430 - Imprese produttive"/>
    <s v="464 - COMMERCIO ALL'INGROSSO DI BENI DI CONSUMO FINALE"/>
    <s v="086 - ITALIA"/>
    <n v="1337"/>
    <m/>
    <m/>
    <m/>
    <m/>
    <m/>
    <m/>
    <m/>
    <n v="0"/>
    <n v="202505"/>
    <s v="ARCHIVIATA"/>
    <x v="0"/>
    <n v="1"/>
    <m/>
    <m/>
    <n v="0"/>
    <n v="464"/>
    <n v="430"/>
    <n v="430464"/>
    <s v="Classe di rischio 4"/>
    <m/>
    <x v="2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51543"/>
    <s v="DF03-02"/>
    <x v="0"/>
    <d v="2025-06-14T00:00:00"/>
    <n v="53850"/>
    <n v="171"/>
    <s v="053850_171"/>
    <s v="Discovery Frodi"/>
    <s v="Mai valutato"/>
    <m/>
    <m/>
    <n v="1713302213842"/>
    <n v="20250526"/>
    <x v="0"/>
    <m/>
    <m/>
    <s v="A     - Avere"/>
    <n v="15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51446"/>
    <s v="DF03-02"/>
    <x v="0"/>
    <d v="2025-06-14T00:00:00"/>
    <n v="53850"/>
    <n v="128"/>
    <s v="053850_128"/>
    <s v="Discovery Frodi"/>
    <s v="Mai valutato"/>
    <m/>
    <m/>
    <n v="1283300003276"/>
    <n v="20250527"/>
    <x v="0"/>
    <m/>
    <m/>
    <s v="A     - Avere"/>
    <n v="81130"/>
    <m/>
    <n v="4804234"/>
    <n v="7652810727"/>
    <s v="EMMEFFEDI CAR S.R.L."/>
    <s v="430 - Imprese produttive"/>
    <s v="282 - FABBRICAZIONE DI ALTRE MACCHINE DI IMPIEGO GENERALE"/>
    <s v="086 - ITALIA"/>
    <n v="462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51405"/>
    <s v="DF03-02"/>
    <x v="0"/>
    <d v="2025-06-14T00:00:00"/>
    <n v="53850"/>
    <n v="187"/>
    <s v="053850_187"/>
    <s v="Discovery Frodi"/>
    <s v="Mai valutato"/>
    <m/>
    <m/>
    <n v="999361870311"/>
    <n v="20250514"/>
    <x v="0"/>
    <m/>
    <m/>
    <s v="A     - Avere"/>
    <n v="36397.43"/>
    <m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4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51362"/>
    <s v="DF03-02"/>
    <x v="0"/>
    <d v="2025-06-14T00:00:00"/>
    <n v="53850"/>
    <n v="191"/>
    <s v="053850_191"/>
    <s v="Discovery Frodi"/>
    <s v="Mai valutato"/>
    <m/>
    <m/>
    <n v="1913300068122"/>
    <n v="20250509"/>
    <x v="0"/>
    <m/>
    <m/>
    <s v="A     - Avere"/>
    <n v="40000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5"/>
    <s v="IN CARICO AL GESTORE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51352"/>
    <s v="DF03-02"/>
    <x v="0"/>
    <d v="2025-06-14T00:00:00"/>
    <n v="53850"/>
    <n v="191"/>
    <s v="053850_191"/>
    <s v="Discovery Frodi"/>
    <s v="Mai valutato"/>
    <m/>
    <m/>
    <n v="1913300068122"/>
    <n v="20250515"/>
    <x v="0"/>
    <m/>
    <m/>
    <s v="A     - Avere"/>
    <n v="50000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5"/>
    <s v="IN CARICO AL GESTORE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51293"/>
    <s v="DF03-02"/>
    <x v="0"/>
    <d v="2025-06-14T00:00:00"/>
    <n v="53850"/>
    <n v="148"/>
    <s v="053850_148"/>
    <s v="Discovery Frodi"/>
    <s v="Mai valutato"/>
    <m/>
    <m/>
    <n v="1483300006067"/>
    <n v="20250527"/>
    <x v="0"/>
    <m/>
    <m/>
    <s v="A     - Avere"/>
    <n v="36233.43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51252"/>
    <s v="DF03-02"/>
    <x v="0"/>
    <d v="2025-06-14T00:00:00"/>
    <n v="53850"/>
    <n v="171"/>
    <s v="053850_171"/>
    <s v="Discovery Frodi"/>
    <s v="Mai valutato"/>
    <m/>
    <m/>
    <n v="1713302213842"/>
    <n v="20250507"/>
    <x v="0"/>
    <m/>
    <m/>
    <s v="A     - Avere"/>
    <n v="40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51188"/>
    <s v="DF03-02"/>
    <x v="0"/>
    <d v="2025-06-14T00:00:00"/>
    <n v="53850"/>
    <n v="122"/>
    <s v="053850_122"/>
    <s v="Discovery Frodi"/>
    <s v="Mai valutato"/>
    <m/>
    <m/>
    <n v="1223300002128"/>
    <n v="20250528"/>
    <x v="0"/>
    <m/>
    <m/>
    <s v="A     - Avere"/>
    <n v="26719.7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51084"/>
    <s v="DF03-02"/>
    <x v="0"/>
    <d v="2025-06-14T00:00:00"/>
    <n v="53850"/>
    <n v="122"/>
    <s v="053850_122"/>
    <s v="Discovery Frodi"/>
    <s v="Mai valutato"/>
    <m/>
    <m/>
    <n v="1223300002128"/>
    <n v="20250528"/>
    <x v="0"/>
    <m/>
    <m/>
    <s v="A     - Avere"/>
    <n v="1856796.59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51076"/>
    <s v="DF03-02"/>
    <x v="0"/>
    <d v="2025-06-14T00:00:00"/>
    <n v="53850"/>
    <n v="187"/>
    <s v="053850_187"/>
    <s v="Discovery Frodi"/>
    <s v="Mai valutato"/>
    <m/>
    <m/>
    <n v="999361870311"/>
    <n v="20250513"/>
    <x v="0"/>
    <m/>
    <m/>
    <s v="A     - Avere"/>
    <n v="292408.40999999997"/>
    <m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4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51067"/>
    <s v="DF03-02"/>
    <x v="0"/>
    <d v="2025-06-14T00:00:00"/>
    <n v="53850"/>
    <n v="104"/>
    <s v="053850_104"/>
    <s v="Discovery Frodi"/>
    <s v="Mai valutato"/>
    <m/>
    <m/>
    <n v="1043309503913"/>
    <n v="20250516"/>
    <x v="0"/>
    <m/>
    <m/>
    <s v="A     - Avere"/>
    <n v="53391.13"/>
    <m/>
    <n v="424944"/>
    <n v="3454860721"/>
    <s v="CO.BE.CA. S.R.L."/>
    <s v="430 - Imprese produttive"/>
    <s v="463 - COMMERCIO ALL'INGROSSO DI PRODOTTI ALIMENTARI, BEVANDE E PRODOTTI DEL TABACCO"/>
    <s v="086 - ITALIA"/>
    <n v="1696"/>
    <m/>
    <m/>
    <m/>
    <m/>
    <m/>
    <m/>
    <m/>
    <n v="0"/>
    <n v="202505"/>
    <s v="IN CARICO AL GESTORE"/>
    <x v="1"/>
    <n v="1"/>
    <m/>
    <m/>
    <n v="0"/>
    <n v="463"/>
    <n v="430"/>
    <n v="430463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50896"/>
    <s v="DF03-02"/>
    <x v="0"/>
    <d v="2025-06-14T00:00:00"/>
    <n v="53850"/>
    <n v="187"/>
    <s v="053850_187"/>
    <s v="Discovery Frodi"/>
    <s v="Mai valutato"/>
    <m/>
    <m/>
    <n v="999361870311"/>
    <n v="20250512"/>
    <x v="0"/>
    <m/>
    <m/>
    <s v="A     - Avere"/>
    <n v="31580.99"/>
    <m/>
    <n v="3004644"/>
    <n v="80008750731"/>
    <s v="COMUNE DI TARANTO"/>
    <s v="173 - Amministrazioni comunali e unioni di comuni"/>
    <m/>
    <s v="086 - ITALIA"/>
    <n v="1627"/>
    <m/>
    <m/>
    <m/>
    <m/>
    <m/>
    <m/>
    <m/>
    <n v="0"/>
    <n v="202505"/>
    <s v="ARCHIVIATA"/>
    <x v="0"/>
    <n v="1"/>
    <m/>
    <m/>
    <n v="0"/>
    <n v="999"/>
    <n v="173"/>
    <n v="173999"/>
    <s v="Classe di rischio 0"/>
    <m/>
    <x v="4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50847"/>
    <s v="DF03-02"/>
    <x v="0"/>
    <d v="2025-06-14T00:00:00"/>
    <n v="53850"/>
    <n v="128"/>
    <s v="053850_128"/>
    <s v="Discovery Frodi"/>
    <s v="Mai valutato"/>
    <m/>
    <m/>
    <n v="1283300003276"/>
    <n v="20250523"/>
    <x v="0"/>
    <m/>
    <m/>
    <s v="A     - Avere"/>
    <n v="36600"/>
    <m/>
    <n v="4804234"/>
    <n v="7652810727"/>
    <s v="EMMEFFEDI CAR S.R.L."/>
    <s v="430 - Imprese produttive"/>
    <s v="282 - FABBRICAZIONE DI ALTRE MACCHINE DI IMPIEGO GENERALE"/>
    <s v="086 - ITALIA"/>
    <n v="462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50828"/>
    <s v="DF03-02"/>
    <x v="0"/>
    <d v="2025-06-14T00:00:00"/>
    <n v="53850"/>
    <n v="268"/>
    <s v="053850_268"/>
    <s v="Discovery Frodi"/>
    <s v="Mai valutato"/>
    <m/>
    <m/>
    <n v="2683300010038"/>
    <n v="20250523"/>
    <x v="0"/>
    <m/>
    <m/>
    <s v="A     - Avere"/>
    <n v="99150.27"/>
    <m/>
    <n v="1604219"/>
    <n v="952850790"/>
    <s v="SABOLIO SRL"/>
    <s v="430 - Imprese produttive"/>
    <s v="104 - PRODUZIONE DI OLI E GRASSI VEGETALI E ANIMALI"/>
    <s v="086 - ITALIA"/>
    <n v="1627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50748"/>
    <s v="DF03-02"/>
    <x v="0"/>
    <d v="2025-06-14T00:00:00"/>
    <n v="53850"/>
    <n v="122"/>
    <s v="053850_122"/>
    <s v="Discovery Frodi"/>
    <s v="Mai valutato"/>
    <m/>
    <m/>
    <n v="1223300001682"/>
    <n v="20250529"/>
    <x v="0"/>
    <m/>
    <m/>
    <s v="A     - Avere"/>
    <n v="1252933.6200000001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5"/>
    <s v="IN VALUTAZIONE RPR"/>
    <x v="1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50691"/>
    <s v="DF03-02"/>
    <x v="0"/>
    <d v="2025-06-14T00:00:00"/>
    <n v="53850"/>
    <n v="141"/>
    <s v="053850_141"/>
    <s v="Discovery Frodi"/>
    <s v="Mai valutato"/>
    <m/>
    <m/>
    <n v="1413300003347"/>
    <n v="20250515"/>
    <x v="0"/>
    <m/>
    <m/>
    <s v="A     - Avere"/>
    <n v="182691.95"/>
    <m/>
    <n v="4835947"/>
    <n v="3351210756"/>
    <s v="LINKS - MANAGEMENT AND TECHNOLOGY - S.P.A. I"/>
    <s v="430 - Imprese produttive"/>
    <s v="620 - PRODUZIONE DI SOFTWARE, CONSULENZA INFORMATICA E ATTIVITÀ CONNESSE"/>
    <s v="086 - ITALIA"/>
    <n v="1627"/>
    <m/>
    <m/>
    <m/>
    <m/>
    <m/>
    <m/>
    <m/>
    <n v="0"/>
    <n v="202505"/>
    <s v="ARCHIVIATA"/>
    <x v="0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50653"/>
    <s v="DF03-02"/>
    <x v="0"/>
    <d v="2025-06-14T00:00:00"/>
    <n v="53850"/>
    <n v="117"/>
    <s v="053850_117"/>
    <s v="Discovery Frodi"/>
    <s v="Mai valutato"/>
    <m/>
    <m/>
    <n v="1173300539106"/>
    <n v="20250520"/>
    <x v="0"/>
    <m/>
    <m/>
    <s v="A     - Avere"/>
    <n v="28251.78"/>
    <m/>
    <n v="4859514"/>
    <s v="DRANNL95E23G786D"/>
    <s v="D'AURIA ANTONELLO"/>
    <s v="615 - Altre famiglie produttrici"/>
    <s v="012 - COLTIVAZIONE DI COLTURE PERMANENTI"/>
    <s v="086 - ITALIA"/>
    <n v="1772"/>
    <m/>
    <m/>
    <m/>
    <m/>
    <m/>
    <m/>
    <m/>
    <n v="0"/>
    <n v="202505"/>
    <s v="IN VALUTAZIONE RPR"/>
    <x v="1"/>
    <n v="1"/>
    <m/>
    <m/>
    <n v="0"/>
    <n v="999"/>
    <n v="615"/>
    <n v="615999"/>
    <m/>
    <n v="1"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50576"/>
    <s v="DF03-02"/>
    <x v="0"/>
    <d v="2025-06-14T00:00:00"/>
    <n v="53850"/>
    <n v="148"/>
    <s v="053850_148"/>
    <s v="Discovery Frodi"/>
    <s v="Mai valutato"/>
    <m/>
    <m/>
    <n v="1483300006067"/>
    <n v="20250522"/>
    <x v="0"/>
    <m/>
    <m/>
    <s v="A     - Avere"/>
    <n v="40000"/>
    <m/>
    <n v="3737044"/>
    <n v="15554071009"/>
    <s v="PVM SRL"/>
    <s v="430 - Imprese produttive"/>
    <s v="522 - ATTIVITÀ DI SUPPORTO AI TRASPORTI"/>
    <s v="086 - ITALIA"/>
    <n v="1196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50521"/>
    <s v="DF03-02"/>
    <x v="0"/>
    <d v="2025-06-14T00:00:00"/>
    <n v="53850"/>
    <n v="261"/>
    <s v="053850_261"/>
    <s v="Discovery Frodi"/>
    <s v="Mai valutato"/>
    <m/>
    <m/>
    <n v="2613300000185"/>
    <n v="20250502"/>
    <x v="0"/>
    <m/>
    <m/>
    <s v="A     - Avere"/>
    <n v="70000"/>
    <m/>
    <n v="1603119"/>
    <n v="941080707"/>
    <s v="SANNIOLAT S.R.L."/>
    <s v="430 - Imprese produttive"/>
    <s v="105 - INDUSTRIA LATTIERO-CASEARIA"/>
    <s v="086 - ITALIA"/>
    <n v="1856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50518"/>
    <s v="DF03-02"/>
    <x v="0"/>
    <d v="2025-06-14T00:00:00"/>
    <n v="53850"/>
    <n v="137"/>
    <s v="053850_137"/>
    <s v="Discovery Frodi"/>
    <s v="Mai valutato"/>
    <m/>
    <m/>
    <n v="1373300006051"/>
    <n v="20250513"/>
    <x v="0"/>
    <m/>
    <m/>
    <s v="A     - Avere"/>
    <n v="31925"/>
    <m/>
    <n v="3742657"/>
    <n v="1855700702"/>
    <s v="LA SCUDERIA S.R.L.S."/>
    <s v="430 - Imprese produttive"/>
    <s v="451 - COMMERCIO DI AUTOVEICOLI"/>
    <s v="086 - ITALIA"/>
    <n v="1867"/>
    <m/>
    <m/>
    <m/>
    <m/>
    <m/>
    <m/>
    <m/>
    <n v="0"/>
    <n v="202505"/>
    <s v="ARCHIVIATA"/>
    <x v="0"/>
    <n v="1"/>
    <m/>
    <m/>
    <n v="0"/>
    <n v="451"/>
    <n v="430"/>
    <n v="430451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50469"/>
    <s v="DF03-02"/>
    <x v="0"/>
    <d v="2025-06-14T00:00:00"/>
    <n v="53850"/>
    <n v="161"/>
    <s v="053850_161"/>
    <s v="Discovery Frodi"/>
    <s v="Mai valutato"/>
    <m/>
    <m/>
    <n v="1613300032597"/>
    <n v="20250519"/>
    <x v="0"/>
    <m/>
    <m/>
    <s v="A     - Avere"/>
    <n v="299847.46999999997"/>
    <m/>
    <n v="4848422"/>
    <n v="7580050727"/>
    <s v="AZIENDA AGRICOLA LA CORTE - SOCIETA' AGRICOL"/>
    <s v="491 - Quasi societa' non finanziarie altre - Unita' o societa' con piu' di 5 e meno di 20 addetti"/>
    <s v="014 - ALLEVAMENTO DI ANIMALI"/>
    <s v="086 - ITALIA"/>
    <n v="1903"/>
    <m/>
    <m/>
    <m/>
    <m/>
    <m/>
    <m/>
    <m/>
    <n v="0"/>
    <n v="202505"/>
    <s v="ARCHIVIATA"/>
    <x v="0"/>
    <n v="1"/>
    <m/>
    <m/>
    <n v="0"/>
    <n v="999"/>
    <n v="491"/>
    <n v="491999"/>
    <m/>
    <n v="1"/>
    <x v="3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50364"/>
    <s v="DF03-02"/>
    <x v="0"/>
    <d v="2025-06-14T00:00:00"/>
    <n v="53850"/>
    <n v="153"/>
    <s v="053850_153"/>
    <s v="Discovery Frodi"/>
    <s v="Mai valutato"/>
    <m/>
    <m/>
    <n v="1533300663959"/>
    <n v="20250505"/>
    <x v="0"/>
    <m/>
    <m/>
    <s v="A     - Avere"/>
    <n v="37951.49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5"/>
    <s v="ARCHIVIATA"/>
    <x v="0"/>
    <n v="1"/>
    <m/>
    <m/>
    <n v="0"/>
    <n v="462"/>
    <n v="430"/>
    <n v="43046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50283"/>
    <s v="DF03-02"/>
    <x v="0"/>
    <d v="2025-06-14T00:00:00"/>
    <n v="53850"/>
    <n v="125"/>
    <s v="053850_125"/>
    <s v="Discovery Frodi"/>
    <s v="Mai valutato"/>
    <m/>
    <m/>
    <n v="1253309512895"/>
    <n v="20250523"/>
    <x v="0"/>
    <m/>
    <m/>
    <s v="A     - Avere"/>
    <n v="34953.980000000003"/>
    <m/>
    <n v="4795279"/>
    <n v="1020090658"/>
    <s v="GIAGUARO - S.P.A."/>
    <s v="430 - Imprese produttive"/>
    <s v="103 - LAVORAZIONE E CONSERVAZIONE DI FRUTTA E ORTAGGI"/>
    <s v="086 - ITALIA"/>
    <n v="982"/>
    <m/>
    <m/>
    <m/>
    <m/>
    <m/>
    <m/>
    <m/>
    <n v="0"/>
    <n v="202505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4838"/>
    <s v="DF03-02"/>
    <x v="0"/>
    <d v="2025-07-12T00:00:00"/>
    <n v="53850"/>
    <n v="141"/>
    <s v="053850_141"/>
    <s v="Discovery Frodi"/>
    <s v="Mai valutato"/>
    <m/>
    <m/>
    <n v="1413300003985"/>
    <n v="20250623"/>
    <x v="0"/>
    <m/>
    <m/>
    <s v="A     - Avere"/>
    <n v="8550000"/>
    <m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4835"/>
    <s v="DF03-02"/>
    <x v="0"/>
    <d v="2025-07-12T00:00:00"/>
    <n v="53850"/>
    <n v="171"/>
    <s v="053850_171"/>
    <s v="Discovery Frodi"/>
    <s v="Mai valutato"/>
    <m/>
    <m/>
    <n v="1713302213842"/>
    <n v="20250626"/>
    <x v="0"/>
    <m/>
    <m/>
    <s v="A     - Avere"/>
    <n v="20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4832"/>
    <s v="DF03-02"/>
    <x v="0"/>
    <d v="2025-07-12T00:00:00"/>
    <n v="53850"/>
    <n v="122"/>
    <s v="053850_122"/>
    <s v="Discovery Frodi"/>
    <s v="Mai valutato"/>
    <m/>
    <m/>
    <n v="1223300001682"/>
    <n v="20250609"/>
    <x v="0"/>
    <m/>
    <m/>
    <s v="A     - Avere"/>
    <n v="170000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4827"/>
    <s v="DF03-02"/>
    <x v="0"/>
    <d v="2025-07-12T00:00:00"/>
    <n v="53850"/>
    <n v="192"/>
    <s v="053850_192"/>
    <s v="Discovery Frodi"/>
    <s v="Mai valutato"/>
    <m/>
    <m/>
    <n v="1923300183163"/>
    <n v="20250624"/>
    <x v="0"/>
    <m/>
    <m/>
    <s v="A     - Avere"/>
    <n v="51800"/>
    <m/>
    <n v="4695944"/>
    <s v="VLNFNC74H03H096P"/>
    <s v="VALENTE FRANCESCO"/>
    <s v="615 - Altre famiglie produttrici"/>
    <s v="691 - ATTIVITÀ DEGLI STUDI LEGALI"/>
    <s v="086 - ITALIA"/>
    <n v="481"/>
    <m/>
    <m/>
    <m/>
    <m/>
    <m/>
    <m/>
    <m/>
    <n v="0"/>
    <n v="202506"/>
    <s v="ARCHIVIATA"/>
    <x v="0"/>
    <n v="1"/>
    <n v="4695944"/>
    <n v="1"/>
    <n v="0"/>
    <n v="999"/>
    <n v="615"/>
    <n v="615999"/>
    <m/>
    <n v="1"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4824"/>
    <s v="DF03-02"/>
    <x v="0"/>
    <d v="2025-07-12T00:00:00"/>
    <n v="53850"/>
    <n v="108"/>
    <s v="053850_108"/>
    <s v="Discovery Frodi"/>
    <s v="Mai valutato"/>
    <m/>
    <m/>
    <n v="1083300011180"/>
    <n v="20250618"/>
    <x v="0"/>
    <m/>
    <m/>
    <s v="A     - Avere"/>
    <n v="28598.95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4819"/>
    <s v="DF03-02"/>
    <x v="0"/>
    <d v="2025-07-12T00:00:00"/>
    <n v="53850"/>
    <n v="171"/>
    <s v="053850_171"/>
    <s v="Discovery Frodi"/>
    <s v="Mai valutato"/>
    <m/>
    <m/>
    <n v="1713302213842"/>
    <n v="20250625"/>
    <x v="0"/>
    <m/>
    <m/>
    <s v="A     - Avere"/>
    <n v="11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4817"/>
    <s v="DF03-02"/>
    <x v="0"/>
    <d v="2025-07-12T00:00:00"/>
    <n v="53850"/>
    <n v="261"/>
    <s v="053850_261"/>
    <s v="Discovery Frodi"/>
    <s v="Mai valutato"/>
    <m/>
    <m/>
    <n v="2613300000185"/>
    <n v="20250603"/>
    <x v="0"/>
    <m/>
    <m/>
    <s v="A     - Avere"/>
    <n v="80000"/>
    <m/>
    <n v="1603119"/>
    <n v="941080707"/>
    <s v="SANNIOLAT S.R.L."/>
    <s v="430 - Imprese produttive"/>
    <s v="105 - INDUSTRIA LATTIERO-CASEARIA"/>
    <s v="086 - ITALIA"/>
    <n v="1856"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4815"/>
    <s v="DF03-02"/>
    <x v="0"/>
    <d v="2025-07-12T00:00:00"/>
    <n v="53850"/>
    <n v="175"/>
    <s v="053850_175"/>
    <s v="Discovery Frodi"/>
    <s v="Mai valutato"/>
    <m/>
    <m/>
    <n v="1753302203127"/>
    <n v="20250624"/>
    <x v="1"/>
    <m/>
    <m/>
    <s v="A     - Avere"/>
    <n v="34128.910000000003"/>
    <m/>
    <n v="4160138"/>
    <n v="484200779"/>
    <s v="DE.RA.DO. SRL"/>
    <s v="430 - Imprese produttive"/>
    <s v="031 - PESCA"/>
    <s v="086 - ITALIA"/>
    <n v="739"/>
    <m/>
    <m/>
    <m/>
    <m/>
    <m/>
    <m/>
    <m/>
    <n v="0"/>
    <n v="202506"/>
    <s v="IN VALUTAZIONE RPR"/>
    <x v="1"/>
    <n v="1"/>
    <n v="4160138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4805"/>
    <s v="DF03-02"/>
    <x v="0"/>
    <d v="2025-07-12T00:00:00"/>
    <n v="53850"/>
    <n v="117"/>
    <s v="053850_117"/>
    <s v="Discovery Frodi"/>
    <s v="Mai valutato"/>
    <m/>
    <m/>
    <n v="1173300537790"/>
    <n v="20250604"/>
    <x v="0"/>
    <m/>
    <m/>
    <s v="A     - Avere"/>
    <n v="96235.67"/>
    <m/>
    <n v="4385006"/>
    <s v="SCRLRD79C23G786A"/>
    <s v="SCARNATO LEONARDO"/>
    <s v="615 - Altre famiglie produttrici"/>
    <s v="012 - COLTIVAZIONE DI COLTURE PERMANENTI"/>
    <s v="086 - ITALIA"/>
    <n v="936"/>
    <m/>
    <m/>
    <m/>
    <m/>
    <m/>
    <m/>
    <m/>
    <n v="0"/>
    <n v="202506"/>
    <m/>
    <x v="1"/>
    <n v="1"/>
    <m/>
    <m/>
    <n v="0"/>
    <n v="999"/>
    <n v="615"/>
    <n v="615999"/>
    <m/>
    <n v="1"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4804"/>
    <s v="DF03-02"/>
    <x v="0"/>
    <d v="2025-07-12T00:00:00"/>
    <n v="53850"/>
    <n v="149"/>
    <s v="053850_149"/>
    <s v="Discovery Frodi"/>
    <s v="Mai valutato"/>
    <m/>
    <m/>
    <n v="1493300664676"/>
    <n v="20250603"/>
    <x v="0"/>
    <m/>
    <m/>
    <s v="A     - Avere"/>
    <n v="218517.72"/>
    <m/>
    <n v="4987076"/>
    <n v="10094711214"/>
    <s v="NEVER STOP SRL"/>
    <s v="430 - Imprese produttive"/>
    <s v="461 - INTERMEDIARI DEL COMMERCIO"/>
    <s v="086 - ITALIA"/>
    <n v="1910"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4800"/>
    <s v="DF03-02"/>
    <x v="0"/>
    <d v="2025-07-12T00:00:00"/>
    <n v="53850"/>
    <n v="153"/>
    <s v="053850_153"/>
    <s v="Discovery Frodi"/>
    <s v="Mai valutato"/>
    <m/>
    <m/>
    <n v="1533300663959"/>
    <n v="20250630"/>
    <x v="0"/>
    <m/>
    <m/>
    <s v="A     - Avere"/>
    <n v="31900.22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6"/>
    <m/>
    <x v="1"/>
    <n v="1"/>
    <m/>
    <m/>
    <n v="0"/>
    <n v="462"/>
    <n v="430"/>
    <n v="43046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4794"/>
    <s v="DF03-02"/>
    <x v="0"/>
    <d v="2025-07-12T00:00:00"/>
    <n v="53850"/>
    <n v="105"/>
    <s v="053850_105"/>
    <s v="Discovery Frodi"/>
    <s v="Mai valutato"/>
    <m/>
    <m/>
    <n v="1053306287103"/>
    <n v="20250606"/>
    <x v="0"/>
    <m/>
    <m/>
    <s v="A     - Avere"/>
    <n v="43484.41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4792"/>
    <s v="DF03-02"/>
    <x v="0"/>
    <d v="2025-07-12T00:00:00"/>
    <n v="53850"/>
    <n v="141"/>
    <s v="053850_141"/>
    <s v="Discovery Frodi"/>
    <s v="Mai valutato"/>
    <m/>
    <m/>
    <n v="1413300003985"/>
    <n v="20250623"/>
    <x v="0"/>
    <m/>
    <m/>
    <s v="A     - Avere"/>
    <n v="2756426.06"/>
    <m/>
    <n v="4996689"/>
    <n v="80010360750"/>
    <s v="UNIONE SPORTIVA LECCE S.P.A."/>
    <s v="430 - Imprese produttive"/>
    <s v="931 - ATTIVITÀ SPORTIVE"/>
    <s v="086 - ITALIA"/>
    <n v="1940"/>
    <m/>
    <m/>
    <m/>
    <m/>
    <m/>
    <m/>
    <m/>
    <n v="0"/>
    <n v="202506"/>
    <s v="IN CARICO AL GESTORE"/>
    <x v="1"/>
    <n v="1"/>
    <m/>
    <m/>
    <n v="0"/>
    <n v="931"/>
    <n v="430"/>
    <n v="430931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4787"/>
    <s v="DF03-02"/>
    <x v="0"/>
    <d v="2025-07-12T00:00:00"/>
    <n v="53850"/>
    <n v="226"/>
    <s v="053850_226"/>
    <s v="Discovery Frodi"/>
    <s v="Mai valutato"/>
    <m/>
    <m/>
    <n v="2263300011983"/>
    <n v="20250612"/>
    <x v="0"/>
    <m/>
    <m/>
    <s v="A     - Avere"/>
    <n v="14500000"/>
    <m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m/>
    <n v="0"/>
    <n v="999"/>
    <n v="290"/>
    <n v="290999"/>
    <m/>
    <n v="1"/>
    <x v="4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4785"/>
    <s v="DF03-02"/>
    <x v="0"/>
    <d v="2025-07-12T00:00:00"/>
    <n v="53850"/>
    <n v="122"/>
    <s v="053850_122"/>
    <s v="Discovery Frodi"/>
    <s v="Mai valutato"/>
    <m/>
    <m/>
    <n v="1223300001682"/>
    <n v="20250619"/>
    <x v="0"/>
    <m/>
    <m/>
    <s v="A     - Avere"/>
    <n v="888195.89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4784"/>
    <s v="DF03-02"/>
    <x v="0"/>
    <d v="2025-07-12T00:00:00"/>
    <n v="53850"/>
    <n v="268"/>
    <s v="053850_268"/>
    <s v="Discovery Frodi"/>
    <s v="Mai valutato"/>
    <m/>
    <m/>
    <n v="2683300010038"/>
    <n v="20250612"/>
    <x v="0"/>
    <m/>
    <m/>
    <s v="A     - Avere"/>
    <n v="121904.64"/>
    <m/>
    <n v="1604219"/>
    <n v="952850790"/>
    <s v="SABOLIO SRL"/>
    <s v="430 - Imprese produttive"/>
    <s v="104 - PRODUZIONE DI OLI E GRASSI VEGETALI E ANIMALI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4776"/>
    <s v="DF03-02"/>
    <x v="0"/>
    <d v="2025-07-12T00:00:00"/>
    <n v="53850"/>
    <n v="120"/>
    <s v="053850_120"/>
    <s v="Discovery Frodi"/>
    <s v="Mai valutato"/>
    <m/>
    <m/>
    <n v="1203300002401"/>
    <n v="20250613"/>
    <x v="0"/>
    <m/>
    <m/>
    <s v="A     - Avere"/>
    <n v="9247000"/>
    <m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6"/>
    <s v="IN CARICO AL GESTORE"/>
    <x v="1"/>
    <n v="1"/>
    <n v="613876"/>
    <n v="1"/>
    <n v="0"/>
    <n v="999"/>
    <n v="500"/>
    <n v="500999"/>
    <m/>
    <n v="1"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4774"/>
    <s v="DF03-02"/>
    <x v="0"/>
    <d v="2025-07-12T00:00:00"/>
    <n v="53850"/>
    <n v="136"/>
    <s v="053850_136"/>
    <s v="Discovery Frodi"/>
    <s v="Mai valutato"/>
    <m/>
    <m/>
    <n v="1363300003325"/>
    <n v="20250606"/>
    <x v="0"/>
    <m/>
    <m/>
    <s v="A     - Avere"/>
    <n v="51043.47"/>
    <m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4771"/>
    <s v="DF03-02"/>
    <x v="0"/>
    <d v="2025-07-12T00:00:00"/>
    <n v="53850"/>
    <n v="287"/>
    <s v="053850_287"/>
    <s v="Discovery Frodi"/>
    <s v="Mai valutato"/>
    <m/>
    <m/>
    <n v="2873300001853"/>
    <n v="20250603"/>
    <x v="1"/>
    <m/>
    <m/>
    <s v="A     - Avere"/>
    <n v="49901.69"/>
    <m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s v="IN VALUTAZIONE RPR"/>
    <x v="1"/>
    <n v="1"/>
    <n v="3722213"/>
    <n v="1"/>
    <n v="0"/>
    <n v="463"/>
    <n v="430"/>
    <n v="430463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4760"/>
    <s v="DF03-02"/>
    <x v="0"/>
    <d v="2025-07-12T00:00:00"/>
    <n v="53850"/>
    <n v="147"/>
    <s v="053850_147"/>
    <s v="Discovery Frodi"/>
    <s v="Mai valutato"/>
    <m/>
    <m/>
    <n v="1473300002782"/>
    <n v="20250603"/>
    <x v="0"/>
    <m/>
    <m/>
    <s v="A     - Avere"/>
    <n v="70228.639999999999"/>
    <m/>
    <n v="4921138"/>
    <n v="92008910637"/>
    <s v="TRIBUNALE DI NOLA"/>
    <s v="102 - Amministrazione Statale e Organi Costituzionali"/>
    <m/>
    <s v="086 - ITALIA"/>
    <n v="1356"/>
    <m/>
    <m/>
    <m/>
    <m/>
    <m/>
    <m/>
    <m/>
    <n v="0"/>
    <n v="202506"/>
    <s v="IN VALUTAZIONE RPR"/>
    <x v="1"/>
    <n v="1"/>
    <m/>
    <m/>
    <n v="0"/>
    <n v="999"/>
    <n v="102"/>
    <n v="102999"/>
    <s v="Classe di rischio 0"/>
    <m/>
    <x v="4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4756"/>
    <s v="DF03-02"/>
    <x v="0"/>
    <d v="2025-07-12T00:00:00"/>
    <n v="53850"/>
    <n v="267"/>
    <s v="053850_267"/>
    <s v="Discovery Frodi"/>
    <s v="Mai valutato"/>
    <m/>
    <m/>
    <n v="2673300010274"/>
    <n v="20250606"/>
    <x v="0"/>
    <m/>
    <m/>
    <s v="A     - Avere"/>
    <n v="63153.94"/>
    <m/>
    <n v="4992646"/>
    <n v="3152440792"/>
    <s v="FABRIELLA GROUP S.R.L."/>
    <s v="430 - Imprese produttive"/>
    <s v="110 - INDUSTRIA DELLE BEVANDE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4753"/>
    <s v="DF03-02"/>
    <x v="0"/>
    <d v="2025-07-12T00:00:00"/>
    <n v="53850"/>
    <n v="153"/>
    <s v="053850_153"/>
    <s v="Discovery Frodi"/>
    <s v="Mai valutato"/>
    <m/>
    <m/>
    <n v="1533300662905"/>
    <n v="20250606"/>
    <x v="0"/>
    <m/>
    <m/>
    <s v="A     - Avere"/>
    <n v="263439.96000000002"/>
    <m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6"/>
    <s v="ARCHIVIATA"/>
    <x v="0"/>
    <n v="1"/>
    <m/>
    <m/>
    <n v="0"/>
    <n v="236"/>
    <n v="430"/>
    <n v="430236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4743"/>
    <s v="DF03-02"/>
    <x v="0"/>
    <d v="2025-07-12T00:00:00"/>
    <n v="53850"/>
    <n v="171"/>
    <s v="053850_171"/>
    <s v="Discovery Frodi"/>
    <s v="Mai valutato"/>
    <m/>
    <m/>
    <n v="1713302213842"/>
    <n v="20250625"/>
    <x v="0"/>
    <m/>
    <m/>
    <s v="A     - Avere"/>
    <n v="50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4737"/>
    <s v="DF03-02"/>
    <x v="0"/>
    <d v="2025-07-12T00:00:00"/>
    <n v="53850"/>
    <n v="108"/>
    <s v="053850_108"/>
    <s v="Discovery Frodi"/>
    <s v="Mai valutato"/>
    <m/>
    <m/>
    <n v="1083300011180"/>
    <n v="20250611"/>
    <x v="0"/>
    <m/>
    <m/>
    <s v="A     - Avere"/>
    <n v="88032.51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4736"/>
    <s v="DF03-02"/>
    <x v="0"/>
    <d v="2025-07-12T00:00:00"/>
    <n v="53850"/>
    <n v="120"/>
    <s v="053850_120"/>
    <s v="Discovery Frodi"/>
    <s v="Mai valutato"/>
    <m/>
    <m/>
    <n v="1203300002401"/>
    <n v="20250612"/>
    <x v="0"/>
    <m/>
    <m/>
    <s v="A     - Avere"/>
    <n v="500000"/>
    <m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6"/>
    <s v="IN CARICO AL GESTORE"/>
    <x v="1"/>
    <n v="1"/>
    <n v="613876"/>
    <n v="1"/>
    <n v="0"/>
    <n v="999"/>
    <n v="500"/>
    <n v="500999"/>
    <m/>
    <n v="1"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4732"/>
    <s v="DF03-02"/>
    <x v="0"/>
    <d v="2025-07-12T00:00:00"/>
    <n v="53850"/>
    <n v="287"/>
    <s v="053850_287"/>
    <s v="Discovery Frodi"/>
    <s v="Mai valutato"/>
    <m/>
    <m/>
    <n v="2873300001853"/>
    <n v="20250606"/>
    <x v="1"/>
    <m/>
    <m/>
    <s v="A     - Avere"/>
    <n v="29055.98"/>
    <m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s v="IN VALUTAZIONE RPR"/>
    <x v="1"/>
    <n v="1"/>
    <n v="3722213"/>
    <n v="1"/>
    <n v="0"/>
    <n v="463"/>
    <n v="430"/>
    <n v="430463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4727"/>
    <s v="DF03-02"/>
    <x v="0"/>
    <d v="2025-07-12T00:00:00"/>
    <n v="53850"/>
    <n v="226"/>
    <s v="053850_226"/>
    <s v="Discovery Frodi"/>
    <s v="Mai valutato"/>
    <m/>
    <m/>
    <n v="2263300010989"/>
    <n v="20250625"/>
    <x v="0"/>
    <m/>
    <m/>
    <s v="A     - Avere"/>
    <n v="59879.89"/>
    <m/>
    <n v="4804128"/>
    <n v="6363770725"/>
    <s v="NUGNES 1920 S.R.L."/>
    <s v="430 - Imprese produttive"/>
    <s v="477 - COMMERCIO AL DETTAGLIO DI ALTRI PRODOTTI IN ESERCIZI SPECIALIZZATI"/>
    <s v="086 - ITALIA"/>
    <n v="1696"/>
    <m/>
    <m/>
    <m/>
    <m/>
    <m/>
    <m/>
    <m/>
    <n v="0"/>
    <n v="202506"/>
    <m/>
    <x v="1"/>
    <n v="1"/>
    <m/>
    <m/>
    <n v="0"/>
    <n v="477"/>
    <n v="430"/>
    <n v="430477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4726"/>
    <s v="DF03-02"/>
    <x v="0"/>
    <d v="2025-07-12T00:00:00"/>
    <n v="53850"/>
    <n v="153"/>
    <s v="053850_153"/>
    <s v="Discovery Frodi"/>
    <s v="Mai valutato"/>
    <m/>
    <m/>
    <n v="1533300662905"/>
    <n v="20250604"/>
    <x v="0"/>
    <m/>
    <m/>
    <s v="A     - Avere"/>
    <n v="29114.86"/>
    <m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6"/>
    <s v="ARCHIVIATA"/>
    <x v="0"/>
    <n v="1"/>
    <m/>
    <m/>
    <n v="0"/>
    <n v="236"/>
    <n v="430"/>
    <n v="430236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4725"/>
    <s v="DF03-02"/>
    <x v="0"/>
    <d v="2025-07-12T00:00:00"/>
    <n v="53850"/>
    <n v="104"/>
    <s v="053850_104"/>
    <s v="Discovery Frodi"/>
    <s v="Mai valutato"/>
    <m/>
    <m/>
    <n v="1043309505524"/>
    <n v="20250616"/>
    <x v="0"/>
    <m/>
    <m/>
    <s v="A     - Avere"/>
    <n v="54125"/>
    <m/>
    <n v="4255116"/>
    <n v="6238700725"/>
    <s v="EBANISTERIA CAPUTO SOCIETA' A RESPONSABILITA"/>
    <s v="430 - Imprese produttive"/>
    <s v="162 - FABBRICAZIONE DI PRODOTTI IN LEGNO, SUGHERO, PAGLIA E MATERIALI DA INTRECCIO"/>
    <s v="086 - ITALIA"/>
    <n v="727"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4703"/>
    <s v="DF03-02"/>
    <x v="0"/>
    <d v="2025-07-12T00:00:00"/>
    <n v="53850"/>
    <n v="153"/>
    <s v="053850_153"/>
    <s v="Discovery Frodi"/>
    <s v="Mai valutato"/>
    <m/>
    <m/>
    <n v="1533300662905"/>
    <n v="20250606"/>
    <x v="1"/>
    <m/>
    <m/>
    <s v="A     - Avere"/>
    <n v="78275.320000000007"/>
    <m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6"/>
    <s v="ARCHIVIATA"/>
    <x v="0"/>
    <n v="1"/>
    <m/>
    <m/>
    <n v="0"/>
    <n v="236"/>
    <n v="430"/>
    <n v="430236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4690"/>
    <s v="DF03-02"/>
    <x v="0"/>
    <d v="2025-07-12T00:00:00"/>
    <n v="53850"/>
    <n v="122"/>
    <s v="053850_122"/>
    <s v="Discovery Frodi"/>
    <s v="Mai valutato"/>
    <m/>
    <m/>
    <n v="1223300001682"/>
    <n v="20250619"/>
    <x v="0"/>
    <m/>
    <m/>
    <s v="A     - Avere"/>
    <n v="59506.05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4679"/>
    <s v="DF03-02"/>
    <x v="0"/>
    <d v="2025-07-12T00:00:00"/>
    <n v="53850"/>
    <n v="103"/>
    <s v="053850_103"/>
    <s v="Discovery Frodi"/>
    <s v="Mai valutato"/>
    <m/>
    <m/>
    <n v="1033306967935"/>
    <n v="20250603"/>
    <x v="1"/>
    <m/>
    <m/>
    <s v="A     - Avere"/>
    <n v="33195"/>
    <m/>
    <n v="155052"/>
    <n v="2563580725"/>
    <s v="ITALSUD CARBURANTI SRL"/>
    <s v="430 - Imprese produttive"/>
    <s v="467 - COMMERCIO ALL'INGROSSO SPECIALIZZATO DI ALTRI PRODOTTI"/>
    <s v="086 - ITALIA"/>
    <n v="1926"/>
    <m/>
    <m/>
    <m/>
    <m/>
    <m/>
    <m/>
    <m/>
    <n v="0"/>
    <n v="202506"/>
    <s v="IN CARICO AL GESTORE"/>
    <x v="1"/>
    <n v="1"/>
    <n v="155052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4654"/>
    <s v="DF03-02"/>
    <x v="0"/>
    <d v="2025-07-12T00:00:00"/>
    <n v="53850"/>
    <n v="122"/>
    <s v="053850_122"/>
    <s v="Discovery Frodi"/>
    <s v="Mai valutato"/>
    <m/>
    <m/>
    <n v="1223300002128"/>
    <n v="20250625"/>
    <x v="0"/>
    <m/>
    <m/>
    <s v="A     - Avere"/>
    <n v="146206.01999999999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4610"/>
    <s v="DF03-02"/>
    <x v="0"/>
    <d v="2025-07-12T00:00:00"/>
    <n v="53850"/>
    <n v="108"/>
    <s v="053850_108"/>
    <s v="Discovery Frodi"/>
    <s v="Mai valutato"/>
    <m/>
    <m/>
    <n v="1083300011180"/>
    <n v="20250611"/>
    <x v="0"/>
    <m/>
    <m/>
    <s v="A     - Avere"/>
    <n v="58675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4602"/>
    <s v="DF03-02"/>
    <x v="0"/>
    <d v="2025-07-12T00:00:00"/>
    <n v="53850"/>
    <n v="154"/>
    <s v="053850_154"/>
    <s v="Discovery Frodi"/>
    <s v="Mai valutato"/>
    <m/>
    <m/>
    <n v="1543300004860"/>
    <n v="20250610"/>
    <x v="0"/>
    <m/>
    <m/>
    <s v="A     - Avere"/>
    <n v="48252.13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4583"/>
    <s v="DF03-02"/>
    <x v="0"/>
    <d v="2025-07-12T00:00:00"/>
    <n v="53850"/>
    <n v="154"/>
    <s v="053850_154"/>
    <s v="Discovery Frodi"/>
    <s v="Mai valutato"/>
    <m/>
    <m/>
    <n v="1543300004860"/>
    <n v="20250618"/>
    <x v="0"/>
    <m/>
    <m/>
    <s v="A     - Avere"/>
    <n v="50465.8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4573"/>
    <s v="DF03-02"/>
    <x v="0"/>
    <d v="2025-07-12T00:00:00"/>
    <n v="53850"/>
    <n v="128"/>
    <s v="053850_128"/>
    <s v="Discovery Frodi"/>
    <s v="Mai valutato"/>
    <m/>
    <m/>
    <n v="1283300001665"/>
    <n v="20250620"/>
    <x v="1"/>
    <m/>
    <m/>
    <s v="A     - Avere"/>
    <n v="58113.66"/>
    <m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4565"/>
    <s v="DF03-02"/>
    <x v="0"/>
    <d v="2025-07-12T00:00:00"/>
    <n v="53850"/>
    <n v="226"/>
    <s v="053850_226"/>
    <s v="Discovery Frodi"/>
    <s v="Mai valutato"/>
    <m/>
    <m/>
    <n v="2263300010989"/>
    <n v="20250623"/>
    <x v="0"/>
    <m/>
    <m/>
    <s v="A     - Avere"/>
    <n v="29985.13"/>
    <m/>
    <n v="4804128"/>
    <n v="6363770725"/>
    <s v="NUGNES 1920 S.R.L."/>
    <s v="430 - Imprese produttive"/>
    <s v="477 - COMMERCIO AL DETTAGLIO DI ALTRI PRODOTTI IN ESERCIZI SPECIALIZZATI"/>
    <s v="086 - ITALIA"/>
    <n v="1696"/>
    <m/>
    <m/>
    <m/>
    <m/>
    <m/>
    <m/>
    <m/>
    <n v="0"/>
    <n v="202506"/>
    <m/>
    <x v="1"/>
    <n v="1"/>
    <m/>
    <m/>
    <n v="0"/>
    <n v="477"/>
    <n v="430"/>
    <n v="430477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4562"/>
    <s v="DF03-02"/>
    <x v="0"/>
    <d v="2025-07-12T00:00:00"/>
    <n v="53850"/>
    <n v="154"/>
    <s v="053850_154"/>
    <s v="Discovery Frodi"/>
    <s v="Mai valutato"/>
    <m/>
    <m/>
    <n v="1543300004860"/>
    <n v="20250617"/>
    <x v="0"/>
    <m/>
    <m/>
    <s v="A     - Avere"/>
    <n v="50177.05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4554"/>
    <s v="DF03-02"/>
    <x v="0"/>
    <d v="2025-07-12T00:00:00"/>
    <n v="53850"/>
    <n v="108"/>
    <s v="053850_108"/>
    <s v="Discovery Frodi"/>
    <s v="Mai valutato"/>
    <m/>
    <m/>
    <n v="1083300011180"/>
    <n v="20250613"/>
    <x v="0"/>
    <m/>
    <m/>
    <s v="A     - Avere"/>
    <n v="25505.91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4543"/>
    <s v="DF03-02"/>
    <x v="0"/>
    <d v="2025-07-12T00:00:00"/>
    <n v="53850"/>
    <n v="120"/>
    <s v="053850_120"/>
    <s v="Discovery Frodi"/>
    <s v="Mai valutato"/>
    <m/>
    <m/>
    <n v="1203300002958"/>
    <n v="20250627"/>
    <x v="0"/>
    <m/>
    <m/>
    <s v="A     - Avere"/>
    <n v="35000"/>
    <m/>
    <n v="4589937"/>
    <n v="503900771"/>
    <s v="MV EXTRUSION S.P.A."/>
    <s v="430 - Imprese produttive"/>
    <s v="162 - FABBRICAZIONE DI PRODOTTI IN LEGNO, SUGHERO, PAGLIA E MATERIALI DA INTRECCIO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4540"/>
    <s v="DF03-02"/>
    <x v="0"/>
    <d v="2025-07-12T00:00:00"/>
    <n v="53850"/>
    <n v="116"/>
    <s v="053850_116"/>
    <s v="Discovery Frodi"/>
    <s v="Mai valutato"/>
    <m/>
    <m/>
    <n v="1163307620827"/>
    <n v="20250613"/>
    <x v="0"/>
    <m/>
    <m/>
    <s v="A     - Avere"/>
    <n v="57500"/>
    <m/>
    <n v="4871871"/>
    <n v="2516140726"/>
    <s v="FREZZA LEGNAMI S.P.A."/>
    <s v="430 - Imprese produttive"/>
    <s v="467 - COMMERCIO ALL'INGROSSO SPECIALIZZATO DI ALTRI PRODOTTI"/>
    <s v="086 - ITALIA"/>
    <n v="1903"/>
    <m/>
    <m/>
    <m/>
    <m/>
    <m/>
    <m/>
    <m/>
    <n v="0"/>
    <n v="202506"/>
    <s v="IN CARICO AL RESPONSABILE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4495"/>
    <s v="DF03-02"/>
    <x v="0"/>
    <d v="2025-07-12T00:00:00"/>
    <n v="53850"/>
    <n v="105"/>
    <s v="053850_105"/>
    <s v="Discovery Frodi"/>
    <s v="Mai valutato"/>
    <m/>
    <m/>
    <n v="1053306287103"/>
    <n v="20250605"/>
    <x v="0"/>
    <m/>
    <m/>
    <s v="A     - Avere"/>
    <n v="102234.79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4487"/>
    <s v="DF03-02"/>
    <x v="0"/>
    <d v="2025-07-12T00:00:00"/>
    <n v="53850"/>
    <n v="267"/>
    <s v="053850_267"/>
    <s v="Discovery Frodi"/>
    <s v="Mai valutato"/>
    <m/>
    <m/>
    <n v="2673300010274"/>
    <n v="20250617"/>
    <x v="0"/>
    <m/>
    <m/>
    <s v="A     - Avere"/>
    <n v="40780.67"/>
    <m/>
    <n v="4992646"/>
    <n v="3152440792"/>
    <s v="FABRIELLA GROUP S.R.L."/>
    <s v="430 - Imprese produttive"/>
    <s v="110 - INDUSTRIA DELLE BEVANDE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4483"/>
    <s v="DF03-02"/>
    <x v="0"/>
    <d v="2025-07-12T00:00:00"/>
    <n v="53850"/>
    <n v="122"/>
    <s v="053850_122"/>
    <s v="Discovery Frodi"/>
    <s v="Mai valutato"/>
    <m/>
    <m/>
    <n v="1223300002128"/>
    <n v="20250619"/>
    <x v="0"/>
    <m/>
    <m/>
    <s v="A     - Avere"/>
    <n v="35147.599999999999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4466"/>
    <s v="DF03-02"/>
    <x v="0"/>
    <d v="2025-07-12T00:00:00"/>
    <n v="53850"/>
    <n v="103"/>
    <s v="053850_103"/>
    <s v="Discovery Frodi"/>
    <s v="Mai valutato"/>
    <m/>
    <m/>
    <n v="1033306985171"/>
    <n v="20250605"/>
    <x v="0"/>
    <m/>
    <m/>
    <s v="A     - Avere"/>
    <n v="26000"/>
    <m/>
    <n v="3713883"/>
    <n v="7344540724"/>
    <s v="LACE ITALIA SOCIETA' A RESPONSABILITA' LIMITATA"/>
    <s v="430 - Imprese produttive"/>
    <s v="139 - ALTRE INDUSTRIE TESSILI"/>
    <s v="086 - ITALIA"/>
    <n v="1916"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4457"/>
    <s v="DF03-02"/>
    <x v="0"/>
    <d v="2025-07-12T00:00:00"/>
    <n v="53850"/>
    <n v="104"/>
    <s v="053850_104"/>
    <s v="Discovery Frodi"/>
    <s v="Mai valutato"/>
    <m/>
    <m/>
    <n v="1043309505524"/>
    <n v="20250626"/>
    <x v="0"/>
    <m/>
    <m/>
    <s v="A     - Avere"/>
    <n v="32210.07"/>
    <m/>
    <n v="4255116"/>
    <n v="6238700725"/>
    <s v="EBANISTERIA CAPUTO SOCIETA' A RESPONSABILITA"/>
    <s v="430 - Imprese produttive"/>
    <s v="162 - FABBRICAZIONE DI PRODOTTI IN LEGNO, SUGHERO, PAGLIA E MATERIALI DA INTRECCIO"/>
    <s v="086 - ITALIA"/>
    <n v="727"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4452"/>
    <s v="DF03-02"/>
    <x v="0"/>
    <d v="2025-07-12T00:00:00"/>
    <n v="53850"/>
    <n v="122"/>
    <s v="053850_122"/>
    <s v="Discovery Frodi"/>
    <s v="Mai valutato"/>
    <m/>
    <m/>
    <n v="1223300002128"/>
    <n v="20250619"/>
    <x v="0"/>
    <m/>
    <m/>
    <s v="A     - Avere"/>
    <n v="39150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4441"/>
    <s v="DF03-02"/>
    <x v="0"/>
    <d v="2025-07-12T00:00:00"/>
    <n v="53850"/>
    <n v="154"/>
    <s v="053850_154"/>
    <s v="Discovery Frodi"/>
    <s v="Mai valutato"/>
    <m/>
    <m/>
    <n v="1543300004860"/>
    <n v="20250623"/>
    <x v="0"/>
    <m/>
    <m/>
    <s v="A     - Avere"/>
    <n v="39445.730000000003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4437"/>
    <s v="DF03-02"/>
    <x v="0"/>
    <d v="2025-07-12T00:00:00"/>
    <n v="53850"/>
    <n v="171"/>
    <s v="053850_171"/>
    <s v="Discovery Frodi"/>
    <s v="Mai valutato"/>
    <m/>
    <m/>
    <n v="1713302213842"/>
    <n v="20250626"/>
    <x v="0"/>
    <m/>
    <m/>
    <s v="A     - Avere"/>
    <n v="33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4421"/>
    <s v="DF03-02"/>
    <x v="0"/>
    <d v="2025-07-12T00:00:00"/>
    <n v="53850"/>
    <n v="128"/>
    <s v="053850_128"/>
    <s v="Discovery Frodi"/>
    <s v="Mai valutato"/>
    <m/>
    <m/>
    <n v="1283300003276"/>
    <n v="20250612"/>
    <x v="0"/>
    <m/>
    <m/>
    <s v="A     - Avere"/>
    <n v="81740"/>
    <m/>
    <n v="4804234"/>
    <n v="7652810727"/>
    <s v="EMMEFFEDI CAR S.R.L."/>
    <s v="430 - Imprese produttive"/>
    <s v="282 - FABBRICAZIONE DI ALTRE MACCHINE DI IMPIEGO GENERALE"/>
    <s v="086 - ITALIA"/>
    <n v="462"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4400"/>
    <s v="DF03-02"/>
    <x v="0"/>
    <d v="2025-07-12T00:00:00"/>
    <n v="53850"/>
    <n v="105"/>
    <s v="053850_105"/>
    <s v="Discovery Frodi"/>
    <s v="Mai valutato"/>
    <m/>
    <m/>
    <n v="1053306287103"/>
    <n v="20250617"/>
    <x v="0"/>
    <m/>
    <m/>
    <s v="A     - Avere"/>
    <n v="2704796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4376"/>
    <s v="DF03-02"/>
    <x v="0"/>
    <d v="2025-07-12T00:00:00"/>
    <n v="53850"/>
    <n v="117"/>
    <s v="053850_117"/>
    <s v="Discovery Frodi"/>
    <s v="Mai valutato"/>
    <m/>
    <m/>
    <n v="1173300537790"/>
    <n v="20250606"/>
    <x v="0"/>
    <m/>
    <m/>
    <s v="A     - Avere"/>
    <n v="320562.28999999998"/>
    <m/>
    <n v="4385006"/>
    <s v="SCRLRD79C23G786A"/>
    <s v="SCARNATO LEONARDO"/>
    <s v="615 - Altre famiglie produttrici"/>
    <s v="012 - COLTIVAZIONE DI COLTURE PERMANENTI"/>
    <s v="086 - ITALIA"/>
    <n v="936"/>
    <m/>
    <m/>
    <m/>
    <m/>
    <m/>
    <m/>
    <m/>
    <n v="0"/>
    <n v="202506"/>
    <m/>
    <x v="1"/>
    <n v="1"/>
    <m/>
    <m/>
    <n v="0"/>
    <n v="999"/>
    <n v="615"/>
    <n v="615999"/>
    <m/>
    <n v="1"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4375"/>
    <s v="DF03-02"/>
    <x v="0"/>
    <d v="2025-07-12T00:00:00"/>
    <n v="53850"/>
    <n v="137"/>
    <s v="053850_137"/>
    <s v="Discovery Frodi"/>
    <s v="Mai valutato"/>
    <m/>
    <m/>
    <n v="1373304102177"/>
    <n v="20250625"/>
    <x v="0"/>
    <m/>
    <m/>
    <s v="A     - Avere"/>
    <n v="63000"/>
    <m/>
    <n v="4172627"/>
    <n v="820790707"/>
    <s v="GENKO S.R.L."/>
    <s v="430 - Imprese produttive"/>
    <s v="464 - COMMERCIO ALL'INGROSSO DI BENI DI CONSUMO FINALE"/>
    <s v="086 - ITALIA"/>
    <n v="1856"/>
    <m/>
    <m/>
    <m/>
    <m/>
    <m/>
    <m/>
    <m/>
    <n v="0"/>
    <n v="202506"/>
    <s v="IN VALUTAZIONE RPR"/>
    <x v="1"/>
    <n v="1"/>
    <m/>
    <m/>
    <n v="0"/>
    <n v="464"/>
    <n v="430"/>
    <n v="430464"/>
    <s v="Classe di rischio 4"/>
    <m/>
    <x v="2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4371"/>
    <s v="DF03-02"/>
    <x v="0"/>
    <d v="2025-07-12T00:00:00"/>
    <n v="53850"/>
    <n v="108"/>
    <s v="053850_108"/>
    <s v="Discovery Frodi"/>
    <s v="Mai valutato"/>
    <m/>
    <m/>
    <n v="1083300011180"/>
    <n v="20250619"/>
    <x v="0"/>
    <m/>
    <m/>
    <s v="A     - Avere"/>
    <n v="57523.8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4341"/>
    <s v="DF03-02"/>
    <x v="0"/>
    <d v="2025-07-12T00:00:00"/>
    <n v="53850"/>
    <n v="171"/>
    <s v="053850_171"/>
    <s v="Discovery Frodi"/>
    <s v="Mai valutato"/>
    <m/>
    <m/>
    <n v="1713302217591"/>
    <n v="20250603"/>
    <x v="0"/>
    <m/>
    <m/>
    <s v="A     - Avere"/>
    <n v="664021.56999999995"/>
    <m/>
    <n v="4805735"/>
    <n v="5001120723"/>
    <s v="AGRIDE' S.R.L."/>
    <s v="430 - Imprese produttive"/>
    <s v="463 - COMMERCIO ALL'INGROSSO DI PRODOTTI ALIMENTARI, BEVANDE E PRODOTTI DEL TABACCO"/>
    <s v="086 - ITALIA"/>
    <n v="1903"/>
    <m/>
    <m/>
    <m/>
    <m/>
    <m/>
    <m/>
    <m/>
    <n v="0"/>
    <n v="202506"/>
    <s v="IN VALUTAZIONE RPR"/>
    <x v="1"/>
    <n v="1"/>
    <m/>
    <m/>
    <n v="0"/>
    <n v="463"/>
    <n v="430"/>
    <n v="430463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4324"/>
    <s v="DF03-02"/>
    <x v="0"/>
    <d v="2025-07-12T00:00:00"/>
    <n v="53850"/>
    <n v="122"/>
    <s v="053850_122"/>
    <s v="Discovery Frodi"/>
    <s v="Mai valutato"/>
    <m/>
    <m/>
    <n v="1223300001682"/>
    <n v="20250625"/>
    <x v="0"/>
    <m/>
    <m/>
    <s v="A     - Avere"/>
    <n v="35600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4322"/>
    <s v="DF03-02"/>
    <x v="0"/>
    <d v="2025-07-12T00:00:00"/>
    <n v="53850"/>
    <n v="154"/>
    <s v="053850_154"/>
    <s v="Discovery Frodi"/>
    <s v="Mai valutato"/>
    <m/>
    <m/>
    <n v="1543300004860"/>
    <n v="20250604"/>
    <x v="0"/>
    <m/>
    <m/>
    <s v="A     - Avere"/>
    <n v="42500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4305"/>
    <s v="DF03-02"/>
    <x v="0"/>
    <d v="2025-07-12T00:00:00"/>
    <n v="53850"/>
    <n v="191"/>
    <s v="053850_191"/>
    <s v="Discovery Frodi"/>
    <s v="Mai valutato"/>
    <m/>
    <m/>
    <n v="1913300068122"/>
    <n v="20250611"/>
    <x v="0"/>
    <m/>
    <m/>
    <s v="A     - Avere"/>
    <n v="150000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4293"/>
    <s v="DF03-02"/>
    <x v="0"/>
    <d v="2025-07-12T00:00:00"/>
    <n v="53850"/>
    <n v="153"/>
    <s v="053850_153"/>
    <s v="Discovery Frodi"/>
    <s v="Mai valutato"/>
    <m/>
    <m/>
    <n v="1533300663959"/>
    <n v="20250623"/>
    <x v="0"/>
    <m/>
    <m/>
    <s v="A     - Avere"/>
    <n v="28930.13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6"/>
    <m/>
    <x v="1"/>
    <n v="1"/>
    <m/>
    <m/>
    <n v="0"/>
    <n v="462"/>
    <n v="430"/>
    <n v="43046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4289"/>
    <s v="DF03-02"/>
    <x v="0"/>
    <d v="2025-07-12T00:00:00"/>
    <n v="53850"/>
    <n v="153"/>
    <s v="053850_153"/>
    <s v="Discovery Frodi"/>
    <s v="Mai valutato"/>
    <m/>
    <m/>
    <n v="1533300663959"/>
    <n v="20250609"/>
    <x v="0"/>
    <m/>
    <m/>
    <s v="A     - Avere"/>
    <n v="44161.48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6"/>
    <m/>
    <x v="1"/>
    <n v="1"/>
    <m/>
    <m/>
    <n v="0"/>
    <n v="462"/>
    <n v="430"/>
    <n v="43046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4270"/>
    <s v="DF03-02"/>
    <x v="0"/>
    <d v="2025-07-12T00:00:00"/>
    <n v="53850"/>
    <n v="122"/>
    <s v="053850_122"/>
    <s v="Discovery Frodi"/>
    <s v="Mai valutato"/>
    <m/>
    <m/>
    <n v="1223300002128"/>
    <n v="20250619"/>
    <x v="0"/>
    <m/>
    <m/>
    <s v="A     - Avere"/>
    <n v="56323.34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4257"/>
    <s v="DF03-02"/>
    <x v="0"/>
    <d v="2025-07-12T00:00:00"/>
    <n v="53850"/>
    <n v="108"/>
    <s v="053850_108"/>
    <s v="Discovery Frodi"/>
    <s v="Mai valutato"/>
    <m/>
    <m/>
    <n v="1083300011180"/>
    <n v="20250611"/>
    <x v="2"/>
    <m/>
    <m/>
    <s v="A     - Avere"/>
    <n v="38964.839999999997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4250"/>
    <s v="DF03-02"/>
    <x v="0"/>
    <d v="2025-07-12T00:00:00"/>
    <n v="53850"/>
    <n v="287"/>
    <s v="053850_287"/>
    <s v="Discovery Frodi"/>
    <s v="Mai valutato"/>
    <m/>
    <m/>
    <n v="2873300001853"/>
    <n v="20250609"/>
    <x v="1"/>
    <m/>
    <m/>
    <s v="A     - Avere"/>
    <n v="101179.49"/>
    <m/>
    <n v="3722213"/>
    <n v="2021570698"/>
    <s v="GEL.DI. S.P.A."/>
    <s v="430 - Imprese produttive"/>
    <s v="463 - COMMERCIO ALL'INGROSSO DI PRODOTTI ALIMENTARI, BEVANDE E PRODOTTI DEL TABACCO"/>
    <s v="086 - ITALIA"/>
    <n v="1877"/>
    <m/>
    <m/>
    <m/>
    <m/>
    <m/>
    <m/>
    <m/>
    <n v="0"/>
    <n v="202506"/>
    <s v="IN VALUTAZIONE RPR"/>
    <x v="1"/>
    <n v="1"/>
    <n v="3722213"/>
    <n v="1"/>
    <n v="0"/>
    <n v="463"/>
    <n v="430"/>
    <n v="430463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4245"/>
    <s v="DF03-02"/>
    <x v="0"/>
    <d v="2025-07-12T00:00:00"/>
    <n v="53850"/>
    <n v="103"/>
    <s v="053850_103"/>
    <s v="Discovery Frodi"/>
    <s v="Mai valutato"/>
    <m/>
    <m/>
    <n v="1033306967935"/>
    <n v="20250617"/>
    <x v="0"/>
    <m/>
    <m/>
    <s v="A     - Avere"/>
    <n v="50043.34"/>
    <m/>
    <n v="155052"/>
    <n v="2563580725"/>
    <s v="ITALSUD CARBURANTI SRL"/>
    <s v="430 - Imprese produttive"/>
    <s v="467 - COMMERCIO ALL'INGROSSO SPECIALIZZATO DI ALTRI PRODOTTI"/>
    <s v="086 - ITALIA"/>
    <n v="1926"/>
    <m/>
    <m/>
    <m/>
    <m/>
    <m/>
    <m/>
    <m/>
    <n v="0"/>
    <n v="202506"/>
    <s v="IN CARICO AL GESTORE"/>
    <x v="1"/>
    <n v="1"/>
    <n v="155052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4242"/>
    <s v="DF03-02"/>
    <x v="0"/>
    <d v="2025-07-12T00:00:00"/>
    <n v="53850"/>
    <n v="174"/>
    <s v="053850_174"/>
    <s v="Discovery Frodi"/>
    <s v="Mai valutato"/>
    <m/>
    <m/>
    <n v="1743302881016"/>
    <n v="20250609"/>
    <x v="0"/>
    <m/>
    <m/>
    <s v="A     - Avere"/>
    <n v="35093.78"/>
    <m/>
    <n v="3710716"/>
    <n v="1695450740"/>
    <s v="MICHELE COLUCCI S.R.L."/>
    <s v="430 - Imprese produttive"/>
    <s v="463 - COMMERCIO ALL'INGROSSO DI PRODOTTI ALIMENTARI, BEVANDE E PRODOTTI DEL TABACCO"/>
    <s v="086 - ITALIA"/>
    <n v="1058"/>
    <m/>
    <m/>
    <m/>
    <m/>
    <m/>
    <m/>
    <m/>
    <n v="0"/>
    <n v="202506"/>
    <m/>
    <x v="1"/>
    <n v="1"/>
    <m/>
    <m/>
    <n v="0"/>
    <n v="463"/>
    <n v="430"/>
    <n v="430463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4236"/>
    <s v="DF03-02"/>
    <x v="0"/>
    <d v="2025-07-12T00:00:00"/>
    <n v="53850"/>
    <n v="267"/>
    <s v="053850_267"/>
    <s v="Discovery Frodi"/>
    <s v="Mai valutato"/>
    <m/>
    <m/>
    <n v="2673300010274"/>
    <n v="20250617"/>
    <x v="1"/>
    <m/>
    <m/>
    <s v="A     - Avere"/>
    <n v="26168.12"/>
    <m/>
    <n v="4992646"/>
    <n v="3152440792"/>
    <s v="FABRIELLA GROUP S.R.L."/>
    <s v="430 - Imprese produttive"/>
    <s v="110 - INDUSTRIA DELLE BEVANDE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4219"/>
    <s v="DF03-02"/>
    <x v="0"/>
    <d v="2025-07-12T00:00:00"/>
    <n v="53850"/>
    <n v="261"/>
    <s v="053850_261"/>
    <s v="Discovery Frodi"/>
    <s v="Mai valutato"/>
    <m/>
    <m/>
    <n v="2613300000185"/>
    <n v="20250616"/>
    <x v="0"/>
    <m/>
    <m/>
    <s v="A     - Avere"/>
    <n v="84000"/>
    <m/>
    <n v="1603119"/>
    <n v="941080707"/>
    <s v="SANNIOLAT S.R.L."/>
    <s v="430 - Imprese produttive"/>
    <s v="105 - INDUSTRIA LATTIERO-CASEARIA"/>
    <s v="086 - ITALIA"/>
    <n v="1856"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4148"/>
    <s v="DF03-02"/>
    <x v="0"/>
    <d v="2025-07-12T00:00:00"/>
    <n v="53850"/>
    <n v="268"/>
    <s v="053850_268"/>
    <s v="Discovery Frodi"/>
    <s v="Mai valutato"/>
    <m/>
    <m/>
    <n v="2683300010038"/>
    <n v="20250612"/>
    <x v="0"/>
    <m/>
    <m/>
    <s v="A     - Avere"/>
    <n v="40354.29"/>
    <m/>
    <n v="1604219"/>
    <n v="952850790"/>
    <s v="SABOLIO SRL"/>
    <s v="430 - Imprese produttive"/>
    <s v="104 - PRODUZIONE DI OLI E GRASSI VEGETALI E ANIMALI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4106"/>
    <s v="DF03-02"/>
    <x v="0"/>
    <d v="2025-07-12T00:00:00"/>
    <n v="53850"/>
    <n v="148"/>
    <s v="053850_148"/>
    <s v="Discovery Frodi"/>
    <s v="Mai valutato"/>
    <m/>
    <m/>
    <n v="1483300005974"/>
    <n v="20250626"/>
    <x v="0"/>
    <m/>
    <m/>
    <s v="A     - Avere"/>
    <n v="45000"/>
    <m/>
    <n v="3735908"/>
    <n v="3016980348"/>
    <s v="ANDROMEDA SRL"/>
    <s v="430 - Imprese produttive"/>
    <s v="461 - INTERMEDIARI DEL COMMERCIO"/>
    <s v="086 - ITALIA"/>
    <n v="1340"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4095"/>
    <s v="DF03-02"/>
    <x v="0"/>
    <d v="2025-07-12T00:00:00"/>
    <n v="53850"/>
    <n v="122"/>
    <s v="053850_122"/>
    <s v="Discovery Frodi"/>
    <s v="Mai valutato"/>
    <m/>
    <m/>
    <n v="1223300001682"/>
    <n v="20250612"/>
    <x v="0"/>
    <m/>
    <m/>
    <s v="A     - Avere"/>
    <n v="53652.62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4021"/>
    <s v="DF03-02"/>
    <x v="0"/>
    <d v="2025-07-12T00:00:00"/>
    <n v="53850"/>
    <n v="108"/>
    <s v="053850_108"/>
    <s v="Discovery Frodi"/>
    <s v="Mai valutato"/>
    <m/>
    <m/>
    <n v="1083300011180"/>
    <n v="20250611"/>
    <x v="1"/>
    <m/>
    <m/>
    <s v="A     - Avere"/>
    <n v="76543.009999999995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4003"/>
    <s v="DF03-02"/>
    <x v="0"/>
    <d v="2025-07-12T00:00:00"/>
    <n v="53850"/>
    <n v="116"/>
    <s v="053850_116"/>
    <s v="Discovery Frodi"/>
    <s v="Mai valutato"/>
    <m/>
    <m/>
    <n v="1423300307118"/>
    <n v="20250616"/>
    <x v="0"/>
    <m/>
    <m/>
    <s v="A     - Avere"/>
    <n v="45000"/>
    <m/>
    <n v="4022762"/>
    <n v="3407060726"/>
    <s v="ASCO S.R.L."/>
    <s v="430 - Imprese produttive"/>
    <s v="522 - ATTIVITÀ DI SUPPORTO AI TRASPORTI"/>
    <s v="086 - ITALIA"/>
    <n v="1919"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4001"/>
    <s v="DF03-02"/>
    <x v="0"/>
    <d v="2025-07-12T00:00:00"/>
    <n v="53850"/>
    <n v="141"/>
    <s v="053850_141"/>
    <s v="Discovery Frodi"/>
    <s v="Mai valutato"/>
    <m/>
    <m/>
    <n v="1413300004311"/>
    <n v="20250616"/>
    <x v="0"/>
    <m/>
    <m/>
    <s v="A     - Avere"/>
    <n v="300000"/>
    <m/>
    <n v="3737110"/>
    <n v="5366430758"/>
    <s v="AP MONTAGGI S.R.L."/>
    <s v="430 - Imprese produttive"/>
    <s v="433 - COMPLETAMENTO E FINITURA DI EDIFICI"/>
    <s v="086 - ITALIA"/>
    <n v="1627"/>
    <m/>
    <m/>
    <m/>
    <m/>
    <m/>
    <m/>
    <m/>
    <n v="0"/>
    <n v="202506"/>
    <m/>
    <x v="1"/>
    <n v="1"/>
    <m/>
    <m/>
    <n v="0"/>
    <n v="433"/>
    <n v="430"/>
    <n v="430433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3966"/>
    <s v="DF03-02"/>
    <x v="0"/>
    <d v="2025-07-12T00:00:00"/>
    <n v="53850"/>
    <n v="128"/>
    <s v="053850_128"/>
    <s v="Discovery Frodi"/>
    <s v="Mai valutato"/>
    <m/>
    <m/>
    <n v="1283300001665"/>
    <n v="20250618"/>
    <x v="1"/>
    <m/>
    <m/>
    <s v="A     - Avere"/>
    <n v="30887.66"/>
    <m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3963"/>
    <s v="DF03-02"/>
    <x v="0"/>
    <d v="2025-07-12T00:00:00"/>
    <n v="53850"/>
    <n v="108"/>
    <s v="053850_108"/>
    <s v="Discovery Frodi"/>
    <s v="Mai valutato"/>
    <m/>
    <m/>
    <n v="1083300011180"/>
    <n v="20250617"/>
    <x v="1"/>
    <m/>
    <m/>
    <s v="A     - Avere"/>
    <n v="25061.85"/>
    <m/>
    <n v="1118"/>
    <n v="3246700722"/>
    <s v="FUSILLO SEBASTIANO S.R.L."/>
    <s v="430 - Imprese produttive"/>
    <s v="109 - PRODUZIONE DI PRODOTTI PER L'ALIMENTAZIONE DEGLI ANIMALI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3961"/>
    <s v="DF03-02"/>
    <x v="0"/>
    <d v="2025-07-12T00:00:00"/>
    <n v="53850"/>
    <n v="125"/>
    <s v="053850_125"/>
    <s v="Discovery Frodi"/>
    <s v="Mai valutato"/>
    <m/>
    <m/>
    <n v="1253309512895"/>
    <n v="20250604"/>
    <x v="0"/>
    <m/>
    <m/>
    <s v="A     - Avere"/>
    <n v="321513.57"/>
    <m/>
    <n v="4795279"/>
    <n v="1020090658"/>
    <s v="GIAGUARO - S.P.A."/>
    <s v="430 - Imprese produttive"/>
    <s v="103 - LAVORAZIONE E CONSERVAZIONE DI FRUTTA E ORTAGGI"/>
    <s v="086 - ITALIA"/>
    <n v="982"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3936"/>
    <s v="DF03-02"/>
    <x v="0"/>
    <d v="2025-07-12T00:00:00"/>
    <n v="53850"/>
    <n v="175"/>
    <s v="053850_175"/>
    <s v="Discovery Frodi"/>
    <s v="Mai valutato"/>
    <m/>
    <m/>
    <n v="1753302203813"/>
    <n v="20250618"/>
    <x v="0"/>
    <m/>
    <m/>
    <s v="A     - Avere"/>
    <n v="170000"/>
    <m/>
    <n v="4907691"/>
    <n v="1146400773"/>
    <s v="PRODUZIONE RELAX SPA"/>
    <s v="430 - Imprese produttive"/>
    <s v="310 - FABBRICAZIONE DI MOBILI"/>
    <s v="086 - ITALIA"/>
    <n v="192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3919"/>
    <s v="DF03-02"/>
    <x v="0"/>
    <d v="2025-07-12T00:00:00"/>
    <n v="53850"/>
    <n v="154"/>
    <s v="053850_154"/>
    <s v="Discovery Frodi"/>
    <s v="Mai valutato"/>
    <m/>
    <m/>
    <n v="1543300004860"/>
    <n v="20250605"/>
    <x v="0"/>
    <m/>
    <m/>
    <s v="A     - Avere"/>
    <n v="39874.68"/>
    <m/>
    <n v="3715569"/>
    <n v="5424970654"/>
    <s v="SQUISITEZZE SRL"/>
    <s v="430 - Imprese produttive"/>
    <s v="472 - COMMERCIO AL DETTAGLIO DI PRODOTTI ALIMENTARI, BEVANDE E TABACCO IN ESERCIZI SPECIALIZZATI"/>
    <s v="086 - ITALIA"/>
    <n v="741"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3915"/>
    <s v="DF03-02"/>
    <x v="0"/>
    <d v="2025-07-12T00:00:00"/>
    <n v="53850"/>
    <n v="125"/>
    <s v="053850_125"/>
    <s v="Discovery Frodi"/>
    <s v="Mai valutato"/>
    <m/>
    <m/>
    <n v="1253309512895"/>
    <n v="20250604"/>
    <x v="0"/>
    <m/>
    <m/>
    <s v="A     - Avere"/>
    <n v="37771.17"/>
    <m/>
    <n v="4795279"/>
    <n v="1020090658"/>
    <s v="GIAGUARO - S.P.A."/>
    <s v="430 - Imprese produttive"/>
    <s v="103 - LAVORAZIONE E CONSERVAZIONE DI FRUTTA E ORTAGGI"/>
    <s v="086 - ITALIA"/>
    <n v="982"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3895"/>
    <s v="DF03-02"/>
    <x v="0"/>
    <d v="2025-07-12T00:00:00"/>
    <n v="53850"/>
    <n v="149"/>
    <s v="053850_149"/>
    <s v="Discovery Frodi"/>
    <s v="Mai valutato"/>
    <m/>
    <m/>
    <n v="1493300663906"/>
    <n v="20250620"/>
    <x v="1"/>
    <m/>
    <m/>
    <s v="A     - Avere"/>
    <n v="25700"/>
    <m/>
    <n v="4178286"/>
    <s v="CHRRRT60L27F839U"/>
    <s v="CHIARI ROBERTO"/>
    <s v="615 - Altre famiglie produttrici"/>
    <s v="691 - ATTIVITÀ DEGLI STUDI LEGALI"/>
    <s v="086 - ITALIA"/>
    <n v="1910"/>
    <m/>
    <m/>
    <m/>
    <m/>
    <m/>
    <m/>
    <m/>
    <n v="0"/>
    <n v="202506"/>
    <s v="ARCHIVIATA"/>
    <x v="0"/>
    <n v="1"/>
    <n v="4178286"/>
    <n v="1"/>
    <n v="0"/>
    <n v="999"/>
    <n v="615"/>
    <n v="615999"/>
    <m/>
    <n v="1"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3855"/>
    <s v="DF03-02"/>
    <x v="0"/>
    <d v="2025-07-12T00:00:00"/>
    <n v="53850"/>
    <n v="128"/>
    <s v="053850_128"/>
    <s v="Discovery Frodi"/>
    <s v="Mai valutato"/>
    <m/>
    <m/>
    <n v="1283300001665"/>
    <n v="20250623"/>
    <x v="1"/>
    <m/>
    <m/>
    <s v="A     - Avere"/>
    <n v="200231.09"/>
    <m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3752"/>
    <s v="DF03-02"/>
    <x v="0"/>
    <d v="2025-07-12T00:00:00"/>
    <n v="53850"/>
    <n v="191"/>
    <s v="053850_191"/>
    <s v="Discovery Frodi"/>
    <s v="Mai valutato"/>
    <m/>
    <m/>
    <n v="1913300068122"/>
    <n v="20250613"/>
    <x v="0"/>
    <m/>
    <m/>
    <s v="A     - Avere"/>
    <n v="38548.99"/>
    <m/>
    <n v="4918280"/>
    <n v="3480410798"/>
    <s v="OLEARIA CHIERA S.R.L."/>
    <s v="430 - Imprese produttive"/>
    <s v="104 - PRODUZIONE DI OLI E GRASSI VEGETALI E ANIMALI"/>
    <s v="086 - ITALIA"/>
    <m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3740"/>
    <s v="DF03-02"/>
    <x v="0"/>
    <d v="2025-07-12T00:00:00"/>
    <n v="53850"/>
    <n v="226"/>
    <s v="053850_226"/>
    <s v="Discovery Frodi"/>
    <s v="Mai valutato"/>
    <m/>
    <m/>
    <n v="2263300011983"/>
    <n v="20250620"/>
    <x v="0"/>
    <m/>
    <m/>
    <s v="A     - Avere"/>
    <n v="10000000"/>
    <m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m/>
    <n v="0"/>
    <n v="999"/>
    <n v="290"/>
    <n v="290999"/>
    <m/>
    <n v="1"/>
    <x v="4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3536"/>
    <s v="DF03-02"/>
    <x v="0"/>
    <d v="2025-07-12T00:00:00"/>
    <n v="53850"/>
    <n v="153"/>
    <s v="053850_153"/>
    <s v="Discovery Frodi"/>
    <s v="Mai valutato"/>
    <m/>
    <m/>
    <n v="1533300663959"/>
    <n v="20250623"/>
    <x v="0"/>
    <m/>
    <m/>
    <s v="A     - Avere"/>
    <n v="46433.2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6"/>
    <m/>
    <x v="1"/>
    <n v="1"/>
    <m/>
    <m/>
    <n v="0"/>
    <n v="462"/>
    <n v="430"/>
    <n v="43046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3502"/>
    <s v="DF03-02"/>
    <x v="0"/>
    <d v="2025-07-12T00:00:00"/>
    <n v="53850"/>
    <n v="104"/>
    <s v="053850_104"/>
    <s v="Discovery Frodi"/>
    <s v="Mai valutato"/>
    <m/>
    <m/>
    <n v="1043309505524"/>
    <n v="20250603"/>
    <x v="0"/>
    <m/>
    <m/>
    <s v="A     - Avere"/>
    <n v="75640"/>
    <m/>
    <n v="4255116"/>
    <n v="6238700725"/>
    <s v="EBANISTERIA CAPUTO SOCIETA' A RESPONSABILITA"/>
    <s v="430 - Imprese produttive"/>
    <s v="162 - FABBRICAZIONE DI PRODOTTI IN LEGNO, SUGHERO, PAGLIA E MATERIALI DA INTRECCIO"/>
    <s v="086 - ITALIA"/>
    <n v="727"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3416"/>
    <s v="DF03-02"/>
    <x v="0"/>
    <d v="2025-07-12T00:00:00"/>
    <n v="53850"/>
    <n v="105"/>
    <s v="053850_105"/>
    <s v="Discovery Frodi"/>
    <s v="Mai valutato"/>
    <m/>
    <m/>
    <n v="1053306287103"/>
    <n v="20250624"/>
    <x v="0"/>
    <m/>
    <m/>
    <s v="A     - Avere"/>
    <n v="244405.79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3401"/>
    <s v="DF03-02"/>
    <x v="0"/>
    <d v="2025-07-12T00:00:00"/>
    <n v="53850"/>
    <n v="153"/>
    <s v="053850_153"/>
    <s v="Discovery Frodi"/>
    <s v="Mai valutato"/>
    <m/>
    <m/>
    <n v="1533300663959"/>
    <n v="20250616"/>
    <x v="0"/>
    <m/>
    <m/>
    <s v="A     - Avere"/>
    <n v="34980.22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6"/>
    <m/>
    <x v="1"/>
    <n v="1"/>
    <m/>
    <m/>
    <n v="0"/>
    <n v="462"/>
    <n v="430"/>
    <n v="43046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3399"/>
    <s v="DF03-02"/>
    <x v="0"/>
    <d v="2025-07-12T00:00:00"/>
    <n v="53850"/>
    <n v="121"/>
    <s v="053850_121"/>
    <s v="Discovery Frodi"/>
    <s v="Mai valutato"/>
    <m/>
    <m/>
    <n v="1213300002968"/>
    <n v="20250605"/>
    <x v="0"/>
    <m/>
    <m/>
    <s v="A     - Avere"/>
    <n v="41267.199999999997"/>
    <m/>
    <n v="4669940"/>
    <n v="7216060728"/>
    <s v="TERRA VIVA - SOCIETA' COOPERATIVA AGRICOLA"/>
    <s v="430 - Imprese produttive"/>
    <s v="016 - ATTIVITÀ DI SUPPORTO ALL'AGRICOLTURA E ATTIVITÀ SUCCESSIVE ALLA RACCOLTA"/>
    <s v="086 - ITALIA"/>
    <m/>
    <m/>
    <m/>
    <m/>
    <m/>
    <m/>
    <m/>
    <m/>
    <n v="0"/>
    <n v="202506"/>
    <s v="IN CARICO AL RESPONSABILE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3379"/>
    <s v="DF03-02"/>
    <x v="0"/>
    <d v="2025-07-12T00:00:00"/>
    <n v="53850"/>
    <n v="175"/>
    <s v="053850_175"/>
    <s v="Discovery Frodi"/>
    <s v="Mai valutato"/>
    <m/>
    <m/>
    <n v="1753302203127"/>
    <n v="20250623"/>
    <x v="1"/>
    <m/>
    <m/>
    <s v="A     - Avere"/>
    <n v="38981.11"/>
    <m/>
    <n v="4160138"/>
    <n v="484200779"/>
    <s v="DE.RA.DO. SRL"/>
    <s v="430 - Imprese produttive"/>
    <s v="031 - PESCA"/>
    <s v="086 - ITALIA"/>
    <n v="739"/>
    <m/>
    <m/>
    <m/>
    <m/>
    <m/>
    <m/>
    <m/>
    <n v="0"/>
    <n v="202506"/>
    <s v="IN VALUTAZIONE RPR"/>
    <x v="1"/>
    <n v="1"/>
    <n v="4160138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3361"/>
    <s v="DF03-02"/>
    <x v="0"/>
    <d v="2025-07-12T00:00:00"/>
    <n v="53850"/>
    <n v="171"/>
    <s v="053850_171"/>
    <s v="Discovery Frodi"/>
    <s v="Mai valutato"/>
    <m/>
    <m/>
    <n v="1713302213842"/>
    <n v="20250626"/>
    <x v="0"/>
    <m/>
    <m/>
    <s v="A     - Avere"/>
    <n v="330000"/>
    <m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3286"/>
    <s v="DF03-02"/>
    <x v="0"/>
    <d v="2025-07-12T00:00:00"/>
    <n v="53850"/>
    <n v="105"/>
    <s v="053850_105"/>
    <s v="Discovery Frodi"/>
    <s v="Mai valutato"/>
    <m/>
    <m/>
    <n v="1053306287103"/>
    <n v="20250609"/>
    <x v="0"/>
    <m/>
    <m/>
    <s v="A     - Avere"/>
    <n v="3816880.07"/>
    <m/>
    <n v="4263360"/>
    <n v="5982300724"/>
    <s v="CAPURSO AZIENDA CASEARIA S.R.L."/>
    <s v="430 - Imprese produttive"/>
    <s v="105 - INDUSTRIA LATTIERO-CASEARIA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63145"/>
    <s v="DF03-02"/>
    <x v="0"/>
    <d v="2025-07-12T00:00:00"/>
    <n v="53850"/>
    <n v="128"/>
    <s v="053850_128"/>
    <s v="Discovery Frodi"/>
    <s v="Mai valutato"/>
    <m/>
    <m/>
    <n v="1283300001665"/>
    <n v="20250619"/>
    <x v="1"/>
    <m/>
    <m/>
    <s v="A     - Avere"/>
    <n v="33474.15"/>
    <m/>
    <n v="4254896"/>
    <n v="6234730726"/>
    <s v="SPECIALMANGIMI GALTIERI S.P.A"/>
    <s v="430 - Imprese produttive"/>
    <s v="109 - PRODUZIONE DI PRODOTTI PER L'ALIMENTAZIONE DEGLI ANIMALI"/>
    <s v="086 - ITALIA"/>
    <n v="1919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3119"/>
    <s v="DF03-02"/>
    <x v="0"/>
    <d v="2025-07-12T00:00:00"/>
    <n v="53850"/>
    <n v="122"/>
    <s v="053850_122"/>
    <s v="Discovery Frodi"/>
    <s v="Mai valutato"/>
    <m/>
    <m/>
    <n v="1223300001682"/>
    <n v="20250623"/>
    <x v="0"/>
    <m/>
    <m/>
    <s v="A     - Avere"/>
    <n v="81801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3110"/>
    <s v="DF03-02"/>
    <x v="0"/>
    <d v="2025-07-12T00:00:00"/>
    <n v="53850"/>
    <n v="122"/>
    <s v="053850_122"/>
    <s v="Discovery Frodi"/>
    <s v="Mai valutato"/>
    <m/>
    <m/>
    <n v="1223300002128"/>
    <n v="20250623"/>
    <x v="0"/>
    <m/>
    <m/>
    <s v="A     - Avere"/>
    <n v="39223"/>
    <m/>
    <n v="3711207"/>
    <n v="8825020723"/>
    <s v="EXPRIVIA S.P.A."/>
    <s v="430 - Imprese produttive"/>
    <s v="620 - PRODUZIONE DI SOFTWARE, CONSULENZA INFORMATICA E ATTIVITÀ CONNESSE"/>
    <s v="086 - ITALIA"/>
    <n v="1696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3012"/>
    <s v="DF03-02"/>
    <x v="0"/>
    <d v="2025-07-12T00:00:00"/>
    <n v="53850"/>
    <n v="128"/>
    <s v="053850_128"/>
    <s v="Discovery Frodi"/>
    <s v="Mai valutato"/>
    <m/>
    <m/>
    <n v="1283300003276"/>
    <n v="20250609"/>
    <x v="0"/>
    <m/>
    <m/>
    <s v="A     - Avere"/>
    <n v="32391"/>
    <m/>
    <n v="4804234"/>
    <n v="7652810727"/>
    <s v="EMMEFFEDI CAR S.R.L."/>
    <s v="430 - Imprese produttive"/>
    <s v="282 - FABBRICAZIONE DI ALTRE MACCHINE DI IMPIEGO GENERALE"/>
    <s v="086 - ITALIA"/>
    <n v="462"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3006"/>
    <s v="DF03-02"/>
    <x v="0"/>
    <d v="2025-07-12T00:00:00"/>
    <n v="53850"/>
    <n v="153"/>
    <s v="053850_153"/>
    <s v="Discovery Frodi"/>
    <s v="Mai valutato"/>
    <m/>
    <m/>
    <n v="1533300663959"/>
    <n v="20250603"/>
    <x v="0"/>
    <m/>
    <m/>
    <s v="A     - Avere"/>
    <n v="36740.75"/>
    <m/>
    <n v="3721097"/>
    <n v="10391641213"/>
    <s v="COMBES S.R.L."/>
    <s v="430 - Imprese produttive"/>
    <s v="462 - COMMERCIO ALL'INGROSSO DI MATERIE PRIME AGRICOLE E DI ANIMALI VIVI"/>
    <s v="086 - ITALIA"/>
    <n v="1237"/>
    <m/>
    <m/>
    <m/>
    <m/>
    <m/>
    <m/>
    <m/>
    <n v="0"/>
    <n v="202506"/>
    <m/>
    <x v="1"/>
    <n v="1"/>
    <m/>
    <m/>
    <n v="0"/>
    <n v="462"/>
    <n v="430"/>
    <n v="430462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2914"/>
    <s v="DF03-02"/>
    <x v="0"/>
    <d v="2025-07-12T00:00:00"/>
    <n v="53850"/>
    <n v="267"/>
    <s v="053850_267"/>
    <s v="Discovery Frodi"/>
    <s v="Mai valutato"/>
    <m/>
    <m/>
    <n v="2673300010274"/>
    <n v="20250603"/>
    <x v="0"/>
    <m/>
    <m/>
    <s v="A     - Avere"/>
    <n v="37781.19"/>
    <m/>
    <n v="4992646"/>
    <n v="3152440792"/>
    <s v="FABRIELLA GROUP S.R.L."/>
    <s v="430 - Imprese produttive"/>
    <s v="110 - INDUSTRIA DELLE BEVANDE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2845"/>
    <s v="DF03-02"/>
    <x v="0"/>
    <d v="2025-07-12T00:00:00"/>
    <n v="53850"/>
    <n v="149"/>
    <s v="053850_149"/>
    <s v="Discovery Frodi"/>
    <s v="Mai valutato"/>
    <m/>
    <m/>
    <n v="1493300663906"/>
    <n v="20250620"/>
    <x v="0"/>
    <m/>
    <m/>
    <s v="A     - Avere"/>
    <n v="120000"/>
    <m/>
    <n v="4178286"/>
    <s v="CHRRRT60L27F839U"/>
    <s v="CHIARI ROBERTO"/>
    <s v="615 - Altre famiglie produttrici"/>
    <s v="691 - ATTIVITÀ DEGLI STUDI LEGALI"/>
    <s v="086 - ITALIA"/>
    <n v="1910"/>
    <m/>
    <m/>
    <m/>
    <m/>
    <m/>
    <m/>
    <m/>
    <n v="0"/>
    <n v="202506"/>
    <s v="ARCHIVIATA"/>
    <x v="0"/>
    <n v="1"/>
    <n v="4178286"/>
    <n v="1"/>
    <n v="0"/>
    <n v="999"/>
    <n v="615"/>
    <n v="615999"/>
    <m/>
    <n v="1"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2615"/>
    <s v="DF03-02"/>
    <x v="0"/>
    <d v="2025-07-12T00:00:00"/>
    <n v="53850"/>
    <n v="153"/>
    <s v="053850_153"/>
    <s v="Discovery Frodi"/>
    <s v="Mai valutato"/>
    <m/>
    <m/>
    <n v="1533300662905"/>
    <n v="20250609"/>
    <x v="1"/>
    <m/>
    <m/>
    <s v="A     - Avere"/>
    <n v="27000"/>
    <m/>
    <n v="4165339"/>
    <n v="5612950633"/>
    <s v="CALCESTRUZZI IRPINI SPA"/>
    <s v="430 - Imprese produttive"/>
    <s v="236 - FABBRICAZIONE DI PRODOTTI IN CALCESTRUZZO, CEMENTO E GESSO"/>
    <s v="086 - ITALIA"/>
    <n v="982"/>
    <m/>
    <m/>
    <m/>
    <m/>
    <m/>
    <m/>
    <m/>
    <n v="0"/>
    <n v="202506"/>
    <s v="ARCHIVIATA"/>
    <x v="0"/>
    <n v="1"/>
    <m/>
    <m/>
    <n v="0"/>
    <n v="236"/>
    <n v="430"/>
    <n v="430236"/>
    <s v="Classe di rischio 3"/>
    <m/>
    <x v="0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2539"/>
    <s v="DF03-02"/>
    <x v="0"/>
    <d v="2025-07-12T00:00:00"/>
    <n v="53850"/>
    <n v="175"/>
    <s v="053850_175"/>
    <s v="Discovery Frodi"/>
    <s v="Mai valutato"/>
    <m/>
    <m/>
    <n v="1753302203127"/>
    <n v="20250620"/>
    <x v="1"/>
    <m/>
    <m/>
    <s v="A     - Avere"/>
    <n v="42395.77"/>
    <m/>
    <n v="4160138"/>
    <n v="484200779"/>
    <s v="DE.RA.DO. SRL"/>
    <s v="430 - Imprese produttive"/>
    <s v="031 - PESCA"/>
    <s v="086 - ITALIA"/>
    <n v="739"/>
    <m/>
    <m/>
    <m/>
    <m/>
    <m/>
    <m/>
    <m/>
    <n v="0"/>
    <n v="202506"/>
    <s v="IN VALUTAZIONE RPR"/>
    <x v="1"/>
    <n v="1"/>
    <n v="4160138"/>
    <n v="1"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62452"/>
    <s v="DF03-02"/>
    <x v="0"/>
    <d v="2025-07-12T00:00:00"/>
    <n v="53850"/>
    <n v="182"/>
    <s v="053850_182"/>
    <s v="Discovery Frodi"/>
    <s v="Mai valutato"/>
    <m/>
    <m/>
    <n v="1823300173303"/>
    <n v="20250611"/>
    <x v="0"/>
    <m/>
    <m/>
    <s v="A     - Avere"/>
    <n v="500000"/>
    <m/>
    <n v="3024732"/>
    <n v="1710570738"/>
    <s v="COMES S.P.A."/>
    <s v="430 - Imprese produttive"/>
    <s v="332 - INSTALLAZIONE DI MACCHINE ED APPARECCHIATURE INDUSTRIALI"/>
    <s v="086 - ITALIA"/>
    <n v="1627"/>
    <m/>
    <m/>
    <m/>
    <m/>
    <m/>
    <m/>
    <m/>
    <n v="0"/>
    <n v="202506"/>
    <m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2321"/>
    <s v="DF03-02"/>
    <x v="0"/>
    <d v="2025-07-12T00:00:00"/>
    <n v="53850"/>
    <n v="267"/>
    <s v="053850_267"/>
    <s v="Discovery Frodi"/>
    <s v="Mai valutato"/>
    <m/>
    <m/>
    <n v="2673300010274"/>
    <n v="20250603"/>
    <x v="0"/>
    <m/>
    <m/>
    <s v="A     - Avere"/>
    <n v="76229.399999999994"/>
    <m/>
    <n v="4992646"/>
    <n v="3152440792"/>
    <s v="FABRIELLA GROUP S.R.L."/>
    <s v="430 - Imprese produttive"/>
    <s v="110 - INDUSTRIA DELLE BEVANDE"/>
    <s v="086 - ITALIA"/>
    <n v="16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1"/>
    <n v="25045.55"/>
    <n v="26010.331999999999"/>
    <n v="27041.058000000001"/>
    <n v="28420.708999999999"/>
    <n v="29962.351999999999"/>
    <n v="31788.16"/>
    <n v="34027.07"/>
    <n v="36641.5795"/>
    <n v="39840.642"/>
    <n v="40000"/>
    <n v="41343.269999999997"/>
    <n v="44702.324999999997"/>
    <n v="49392.076000000001"/>
    <n v="58375.907500000008"/>
    <n v="70239.999999999985"/>
    <n v="81597.5"/>
    <n v="118941.322"/>
    <n v="163981.24299999949"/>
    <n v="270486.4050000002"/>
    <n v="446888.37399999989"/>
    <n v="2814221.66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5311D-25A9-42E0-BAE5-585064BBDA0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F12" firstHeaderRow="0" firstDataRow="1" firstDataCol="1" rowPageCount="1" colPageCount="1"/>
  <pivotFields count="89">
    <pivotField dataField="1" showAll="0"/>
    <pivotField showAll="0"/>
    <pivotField showAll="0">
      <items count="2">
        <item x="0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36" item="0" hier="-1"/>
  </pageFields>
  <dataFields count="4">
    <dataField name="# POSIZIONE" fld="0" subtotal="count" baseField="13" baseItem="0"/>
    <dataField name="% POSIZIONE" fld="0" subtotal="count" showDataAs="percentOfCol" baseField="13" baseItem="0" numFmtId="10"/>
    <dataField name="IMPORTO Min" fld="17" subtotal="min" baseField="13" baseItem="0"/>
    <dataField name="IMPORTO Medio" fld="17" subtotal="average" baseField="13" baseItem="0"/>
  </dataFields>
  <formats count="8">
    <format dxfId="27">
      <pivotArea collapsedLevelsAreSubtotals="1" fieldPosition="0">
        <references count="2">
          <reference field="4294967294" count="1" selected="0">
            <x v="3"/>
          </reference>
          <reference field="13" count="0"/>
        </references>
      </pivotArea>
    </format>
    <format dxfId="26">
      <pivotArea collapsedLevelsAreSubtotals="1" fieldPosition="0">
        <references count="2">
          <reference field="4294967294" count="1" selected="0">
            <x v="2"/>
          </reference>
          <reference field="13" count="0"/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3" type="button" dataOnly="0" labelOnly="1" outline="0" axis="axisRow" fieldPosition="0"/>
    </format>
    <format dxfId="22">
      <pivotArea dataOnly="0" labelOnly="1" fieldPosition="0">
        <references count="1">
          <reference field="13" count="0"/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7BC4C-E2EE-4ED9-A02A-8E0884068E73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V7" firstHeaderRow="0" firstDataRow="1" firstDataCol="1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4"/>
        <item h="1" x="1"/>
        <item h="1" x="3"/>
        <item h="1" x="0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">
    <i>
      <x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0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7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3" type="button" dataOnly="0" labelOnly="1" outline="0"/>
    </format>
    <format dxfId="11">
      <pivotArea field="46" type="button" dataOnly="0" labelOnly="1" outline="0"/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  <format dxfId="8">
      <pivotArea outline="0" fieldPosition="0">
        <references count="1">
          <reference field="2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33CA3-E0C5-4CB9-82CB-D69E115C8864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X13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4"/>
        <item h="1" x="1"/>
        <item h="1" x="3"/>
        <item h="1" x="0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6"/>
  </rowFields>
  <rowItems count="3">
    <i>
      <x/>
      <x/>
    </i>
    <i r="1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5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3" type="button" dataOnly="0" labelOnly="1" outline="0"/>
    </format>
    <format dxfId="16">
      <pivotArea field="46" type="button" dataOnly="0" labelOnly="1" outline="0"/>
    </format>
    <format dxfId="1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EBEC-C982-4088-8EE9-51FC0F20EE5F}">
  <sheetPr>
    <tabColor theme="6" tint="0.59999389629810485"/>
  </sheetPr>
  <dimension ref="B1:Q30"/>
  <sheetViews>
    <sheetView showGridLines="0" tabSelected="1" zoomScale="62" zoomScaleNormal="85" workbookViewId="0">
      <selection activeCell="E31" sqref="E31"/>
    </sheetView>
  </sheetViews>
  <sheetFormatPr defaultRowHeight="14.5" x14ac:dyDescent="0.35"/>
  <cols>
    <col min="2" max="2" width="6.08984375" hidden="1" customWidth="1"/>
    <col min="3" max="3" width="8.7265625" customWidth="1"/>
    <col min="4" max="4" width="16.54296875" customWidth="1"/>
    <col min="5" max="5" width="30.90625" bestFit="1" customWidth="1"/>
    <col min="6" max="6" width="16.08984375" bestFit="1" customWidth="1"/>
    <col min="7" max="7" width="16.54296875" bestFit="1" customWidth="1"/>
    <col min="8" max="8" width="12.7265625" bestFit="1" customWidth="1"/>
    <col min="9" max="9" width="9.54296875" customWidth="1"/>
    <col min="10" max="10" width="15.08984375" bestFit="1" customWidth="1"/>
    <col min="11" max="11" width="16.1796875" bestFit="1" customWidth="1"/>
    <col min="12" max="12" width="9.6328125" customWidth="1"/>
    <col min="13" max="13" width="12" customWidth="1"/>
    <col min="14" max="14" width="18.7265625" bestFit="1" customWidth="1"/>
    <col min="15" max="15" width="14.26953125" bestFit="1" customWidth="1"/>
    <col min="16" max="16" width="17.90625" bestFit="1" customWidth="1"/>
    <col min="19" max="19" width="15.08984375" bestFit="1" customWidth="1"/>
  </cols>
  <sheetData>
    <row r="1" spans="2:17" ht="15" thickBot="1" x14ac:dyDescent="0.4"/>
    <row r="2" spans="2:17" ht="14.5" customHeight="1" x14ac:dyDescent="0.35">
      <c r="D2" s="35" t="s">
        <v>258</v>
      </c>
      <c r="E2" s="36"/>
      <c r="F2" s="36"/>
      <c r="G2" s="36"/>
      <c r="H2" s="36"/>
      <c r="I2" s="36"/>
      <c r="J2" s="36"/>
      <c r="K2" s="36"/>
      <c r="L2" s="37"/>
    </row>
    <row r="3" spans="2:17" x14ac:dyDescent="0.35">
      <c r="D3" s="38"/>
      <c r="E3" s="39"/>
      <c r="F3" s="39"/>
      <c r="G3" s="39"/>
      <c r="H3" s="39"/>
      <c r="I3" s="39"/>
      <c r="J3" s="39"/>
      <c r="K3" s="39"/>
      <c r="L3" s="40"/>
    </row>
    <row r="4" spans="2:17" x14ac:dyDescent="0.35">
      <c r="D4" s="38"/>
      <c r="E4" s="39"/>
      <c r="F4" s="39"/>
      <c r="G4" s="39"/>
      <c r="H4" s="39"/>
      <c r="I4" s="39"/>
      <c r="J4" s="39"/>
      <c r="K4" s="39"/>
      <c r="L4" s="40"/>
    </row>
    <row r="5" spans="2:17" x14ac:dyDescent="0.35">
      <c r="D5" s="38"/>
      <c r="E5" s="39"/>
      <c r="F5" s="39"/>
      <c r="G5" s="39"/>
      <c r="H5" s="39"/>
      <c r="I5" s="39"/>
      <c r="J5" s="39"/>
      <c r="K5" s="39"/>
      <c r="L5" s="40"/>
    </row>
    <row r="6" spans="2:17" x14ac:dyDescent="0.35">
      <c r="D6" s="38"/>
      <c r="E6" s="39"/>
      <c r="F6" s="39"/>
      <c r="G6" s="39"/>
      <c r="H6" s="39"/>
      <c r="I6" s="39"/>
      <c r="J6" s="39"/>
      <c r="K6" s="39"/>
      <c r="L6" s="40"/>
    </row>
    <row r="7" spans="2:17" ht="15" thickBot="1" x14ac:dyDescent="0.4">
      <c r="D7" s="41"/>
      <c r="E7" s="42"/>
      <c r="F7" s="42"/>
      <c r="G7" s="42"/>
      <c r="H7" s="42"/>
      <c r="I7" s="42"/>
      <c r="J7" s="42"/>
      <c r="K7" s="42"/>
      <c r="L7" s="43"/>
    </row>
    <row r="8" spans="2:17" x14ac:dyDescent="0.35">
      <c r="D8" s="28"/>
      <c r="E8" s="28"/>
      <c r="F8" s="28"/>
      <c r="G8" s="28"/>
      <c r="H8" s="28"/>
      <c r="I8" s="28"/>
      <c r="J8" s="28"/>
      <c r="K8" s="28"/>
      <c r="L8" s="28"/>
    </row>
    <row r="10" spans="2:17" x14ac:dyDescent="0.35">
      <c r="E10" s="5"/>
      <c r="F10" s="30" t="s">
        <v>382</v>
      </c>
      <c r="G10" s="30"/>
      <c r="H10" s="44" t="s">
        <v>378</v>
      </c>
      <c r="I10" s="44"/>
      <c r="J10" s="5"/>
      <c r="K10" s="5"/>
    </row>
    <row r="11" spans="2:17" x14ac:dyDescent="0.35">
      <c r="B11" s="8" t="s">
        <v>224</v>
      </c>
      <c r="F11" s="11" t="s">
        <v>222</v>
      </c>
      <c r="G11" s="11" t="s">
        <v>243</v>
      </c>
      <c r="H11" s="11" t="s">
        <v>222</v>
      </c>
      <c r="I11" s="11" t="s">
        <v>243</v>
      </c>
      <c r="J11" s="11" t="s">
        <v>223</v>
      </c>
      <c r="K11" s="11" t="s">
        <v>244</v>
      </c>
      <c r="L11" s="11" t="s">
        <v>117</v>
      </c>
      <c r="N11" s="9" t="s">
        <v>252</v>
      </c>
      <c r="O11" s="9" t="s">
        <v>253</v>
      </c>
      <c r="P11" s="20" t="s">
        <v>254</v>
      </c>
    </row>
    <row r="12" spans="2:17" ht="14.5" customHeight="1" x14ac:dyDescent="0.35">
      <c r="B12" s="12" t="s">
        <v>259</v>
      </c>
      <c r="E12" s="7" t="s">
        <v>259</v>
      </c>
      <c r="F12" s="16">
        <f>COUNTA(INDEX(Data!$1:$1048576,0,MATCH("flag_stato",Data!1:1,0)))-1</f>
        <v>324</v>
      </c>
      <c r="G12" s="16">
        <f ca="1">IF(L12="","",INDEX(INDIRECT("'"&amp;B12&amp;"'!B17:Y26"),MATCH("Totale",INDIRECT("'"&amp;B12&amp;"'!A17:A26"),0),MATCH(L12,INDIRECT("'"&amp;B12&amp;"'!B17:Y17"),0)))</f>
        <v>189</v>
      </c>
      <c r="H12" s="16">
        <f>COUNTIF(INDEX(Data!$1:$1048576,0,MATCH("flag_stato",Data!1:1,0)),0)</f>
        <v>184</v>
      </c>
      <c r="I12" s="16">
        <f ca="1">IF(L12="","",INDEX(INDIRECT("'"&amp;B12&amp;"'!B17:Y26"),MATCH("Falso Positivo",INDIRECT("'"&amp;B12&amp;"'!A17:A26"),0),MATCH(L12,INDIRECT("'"&amp;B12&amp;"'!B17:Y17"),0)))</f>
        <v>92</v>
      </c>
      <c r="J12" s="17">
        <v>25000</v>
      </c>
      <c r="K12" s="27">
        <f ca="1">IF(L12="","",IF(L12="T0",J12,INDEX(INDIRECT("'"&amp;B12&amp;"'!B17:Y26"),MATCH("Soglia",INDIRECT("'"&amp;B12&amp;"'!A17:A26"),0),MATCH(L12,INDIRECT("'"&amp;B12&amp;"'!B17:Y17"),0))))</f>
        <v>41343.269999999997</v>
      </c>
      <c r="L12" s="16" t="s">
        <v>106</v>
      </c>
      <c r="M12" s="2"/>
      <c r="N12" s="10" t="s">
        <v>97</v>
      </c>
      <c r="O12" s="10" t="s">
        <v>101</v>
      </c>
      <c r="P12" s="10" t="s">
        <v>106</v>
      </c>
      <c r="Q12" s="5"/>
    </row>
    <row r="13" spans="2:17" x14ac:dyDescent="0.35">
      <c r="E13" s="7" t="s">
        <v>225</v>
      </c>
      <c r="F13" s="33">
        <f ca="1">(F12-G12)/F12</f>
        <v>0.41666666666666669</v>
      </c>
      <c r="G13" s="34"/>
      <c r="H13" s="33">
        <f ca="1">(H12-I12)/H12</f>
        <v>0.5</v>
      </c>
      <c r="I13" s="34"/>
      <c r="J13" s="13"/>
      <c r="K13" s="14"/>
      <c r="L13" s="13"/>
    </row>
    <row r="15" spans="2:17" x14ac:dyDescent="0.35">
      <c r="H15" s="15"/>
      <c r="K15" t="str">
        <f ca="1">IF(N15="","",IF(N15="T0",L15,INDEX(INDIRECT("'"&amp;B15&amp;"'!B17:Y26"),MATCH("Thresholds",INDIRECT("'"&amp;B15&amp;"'!A17:A26"),0),MATCH(N15,INDIRECT("'"&amp;B15&amp;"'!B17:Y17"),0))))</f>
        <v/>
      </c>
    </row>
    <row r="17" spans="5:14" x14ac:dyDescent="0.35">
      <c r="F17" s="30" t="s">
        <v>372</v>
      </c>
      <c r="G17" s="30"/>
      <c r="H17" s="30" t="s">
        <v>371</v>
      </c>
      <c r="I17" s="30"/>
      <c r="J17" s="30" t="s">
        <v>256</v>
      </c>
      <c r="K17" s="30"/>
      <c r="M17" s="2"/>
      <c r="N17" s="2"/>
    </row>
    <row r="18" spans="5:14" x14ac:dyDescent="0.35">
      <c r="F18" s="29" t="s">
        <v>222</v>
      </c>
      <c r="G18" s="29" t="s">
        <v>243</v>
      </c>
      <c r="H18" s="29" t="s">
        <v>222</v>
      </c>
      <c r="I18" s="29" t="s">
        <v>243</v>
      </c>
      <c r="J18" s="29" t="s">
        <v>222</v>
      </c>
      <c r="K18" s="29" t="s">
        <v>243</v>
      </c>
    </row>
    <row r="19" spans="5:14" x14ac:dyDescent="0.35">
      <c r="E19" s="7" t="s">
        <v>381</v>
      </c>
      <c r="F19" s="3">
        <f>F12</f>
        <v>324</v>
      </c>
      <c r="G19" s="3">
        <f ca="1">G12</f>
        <v>189</v>
      </c>
      <c r="H19" s="3">
        <f>H12</f>
        <v>184</v>
      </c>
      <c r="I19" s="3">
        <f ca="1">I12</f>
        <v>92</v>
      </c>
      <c r="J19" s="10">
        <f>F19-H19</f>
        <v>140</v>
      </c>
      <c r="K19" s="10">
        <f ca="1">G19-I19</f>
        <v>97</v>
      </c>
    </row>
    <row r="20" spans="5:14" x14ac:dyDescent="0.35">
      <c r="E20" s="7" t="s">
        <v>225</v>
      </c>
      <c r="F20" s="31">
        <f ca="1">(F19-G19)/F19</f>
        <v>0.41666666666666669</v>
      </c>
      <c r="G20" s="31"/>
      <c r="H20" s="31">
        <f ca="1">(H19-I19)/H19</f>
        <v>0.5</v>
      </c>
      <c r="I20" s="31"/>
      <c r="J20" s="32">
        <f ca="1">(J19-K19)/J19</f>
        <v>0.30714285714285716</v>
      </c>
      <c r="K20" s="32"/>
    </row>
    <row r="21" spans="5:14" ht="15.5" customHeight="1" x14ac:dyDescent="0.35"/>
    <row r="24" spans="5:14" x14ac:dyDescent="0.35">
      <c r="F24" s="9" t="s">
        <v>380</v>
      </c>
      <c r="G24" s="9" t="s">
        <v>257</v>
      </c>
    </row>
    <row r="25" spans="5:14" x14ac:dyDescent="0.35">
      <c r="F25" s="22">
        <f ca="1">K12-J12</f>
        <v>16343.269999999997</v>
      </c>
      <c r="G25" s="21">
        <f ca="1">(K12-J12)/J12</f>
        <v>0.65373079999999983</v>
      </c>
    </row>
    <row r="30" spans="5:14" ht="14.5" customHeight="1" x14ac:dyDescent="0.35"/>
  </sheetData>
  <mergeCells count="11">
    <mergeCell ref="F13:G13"/>
    <mergeCell ref="H13:I13"/>
    <mergeCell ref="D2:L7"/>
    <mergeCell ref="H10:I10"/>
    <mergeCell ref="F10:G10"/>
    <mergeCell ref="F17:G17"/>
    <mergeCell ref="H17:I17"/>
    <mergeCell ref="F20:G20"/>
    <mergeCell ref="H20:I20"/>
    <mergeCell ref="J17:K17"/>
    <mergeCell ref="J20:K20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87CC4C-7ECE-4567-B57F-75FF1330E066}">
          <x14:formula1>
            <xm:f>'DF03-02'!$B$17:$W$17</xm:f>
          </x14:formula1>
          <xm:sqref>L12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12DD-69C1-4575-9390-3FEF6A06F835}">
  <sheetPr>
    <tabColor theme="6" tint="0.79998168889431442"/>
  </sheetPr>
  <dimension ref="B2:G12"/>
  <sheetViews>
    <sheetView showGridLines="0" zoomScale="85" zoomScaleNormal="85" workbookViewId="0">
      <selection activeCell="C18" sqref="C18"/>
    </sheetView>
  </sheetViews>
  <sheetFormatPr defaultRowHeight="14.5" x14ac:dyDescent="0.35"/>
  <cols>
    <col min="1" max="1" width="16.26953125" bestFit="1" customWidth="1"/>
    <col min="2" max="2" width="48.453125" bestFit="1" customWidth="1"/>
    <col min="3" max="3" width="11.54296875" bestFit="1" customWidth="1"/>
    <col min="4" max="4" width="12.08984375" bestFit="1" customWidth="1"/>
    <col min="5" max="5" width="13.1796875" bestFit="1" customWidth="1"/>
    <col min="6" max="6" width="15.36328125" bestFit="1" customWidth="1"/>
  </cols>
  <sheetData>
    <row r="2" spans="2:7" x14ac:dyDescent="0.35">
      <c r="B2" s="39" t="s">
        <v>379</v>
      </c>
      <c r="C2" s="39"/>
      <c r="D2" s="39"/>
      <c r="E2" s="39"/>
      <c r="F2" s="39"/>
      <c r="G2" s="39"/>
    </row>
    <row r="3" spans="2:7" x14ac:dyDescent="0.35">
      <c r="B3" s="39"/>
      <c r="C3" s="39"/>
      <c r="D3" s="39"/>
      <c r="E3" s="39"/>
      <c r="F3" s="39"/>
      <c r="G3" s="39"/>
    </row>
    <row r="4" spans="2:7" x14ac:dyDescent="0.35">
      <c r="B4" s="39"/>
      <c r="C4" s="39"/>
      <c r="D4" s="39"/>
      <c r="E4" s="39"/>
      <c r="F4" s="39"/>
      <c r="G4" s="39"/>
    </row>
    <row r="6" spans="2:7" x14ac:dyDescent="0.35">
      <c r="B6" s="24" t="s">
        <v>36</v>
      </c>
      <c r="C6" s="25">
        <v>0</v>
      </c>
    </row>
    <row r="8" spans="2:7" x14ac:dyDescent="0.35">
      <c r="B8" s="24" t="s">
        <v>368</v>
      </c>
      <c r="C8" s="3" t="s">
        <v>369</v>
      </c>
      <c r="D8" s="3" t="s">
        <v>370</v>
      </c>
      <c r="E8" s="3" t="s">
        <v>376</v>
      </c>
      <c r="F8" s="3" t="s">
        <v>377</v>
      </c>
    </row>
    <row r="9" spans="2:7" x14ac:dyDescent="0.35">
      <c r="B9" s="25" t="s">
        <v>263</v>
      </c>
      <c r="C9" s="46">
        <v>167</v>
      </c>
      <c r="D9" s="26">
        <v>0.90760869565217395</v>
      </c>
      <c r="E9" s="6">
        <v>25045.55</v>
      </c>
      <c r="F9" s="6">
        <v>130359.5929341318</v>
      </c>
    </row>
    <row r="10" spans="2:7" x14ac:dyDescent="0.35">
      <c r="B10" s="25" t="s">
        <v>279</v>
      </c>
      <c r="C10" s="46">
        <v>14</v>
      </c>
      <c r="D10" s="26">
        <v>7.6086956521739135E-2</v>
      </c>
      <c r="E10" s="6">
        <v>25126.83</v>
      </c>
      <c r="F10" s="6">
        <v>56611.709285714292</v>
      </c>
    </row>
    <row r="11" spans="2:7" x14ac:dyDescent="0.35">
      <c r="B11" s="25" t="s">
        <v>287</v>
      </c>
      <c r="C11" s="46">
        <v>3</v>
      </c>
      <c r="D11" s="26">
        <v>1.6304347826086956E-2</v>
      </c>
      <c r="E11" s="6">
        <v>25636.55</v>
      </c>
      <c r="F11" s="6">
        <v>60923.886666666658</v>
      </c>
    </row>
    <row r="12" spans="2:7" x14ac:dyDescent="0.35">
      <c r="B12" s="25" t="s">
        <v>95</v>
      </c>
      <c r="C12" s="46">
        <v>184</v>
      </c>
      <c r="D12" s="26">
        <v>1</v>
      </c>
      <c r="E12" s="46">
        <v>25045.55</v>
      </c>
      <c r="F12" s="46">
        <v>123616.23701086965</v>
      </c>
    </row>
  </sheetData>
  <mergeCells count="1">
    <mergeCell ref="B2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18CD-AC61-491C-9C39-D3C8E83DA358}">
  <dimension ref="A1:X25"/>
  <sheetViews>
    <sheetView zoomScale="55" zoomScaleNormal="55" workbookViewId="0">
      <selection activeCell="A18" sqref="A18:A25"/>
    </sheetView>
  </sheetViews>
  <sheetFormatPr defaultRowHeight="14.5" x14ac:dyDescent="0.35"/>
  <cols>
    <col min="1" max="2" width="13.453125" bestFit="1" customWidth="1"/>
    <col min="3" max="3" width="17.08984375" bestFit="1" customWidth="1"/>
    <col min="4" max="23" width="23.08984375" bestFit="1" customWidth="1"/>
    <col min="24" max="25" width="24.08984375" bestFit="1" customWidth="1"/>
  </cols>
  <sheetData>
    <row r="1" spans="1:24" ht="14.5" customHeight="1" x14ac:dyDescent="0.35">
      <c r="A1" s="45" t="s">
        <v>367</v>
      </c>
      <c r="B1" s="45"/>
      <c r="C1" s="45"/>
      <c r="D1" s="45"/>
      <c r="E1" s="45"/>
      <c r="F1" s="45"/>
    </row>
    <row r="2" spans="1:24" ht="14.5" customHeight="1" x14ac:dyDescent="0.35">
      <c r="A2" s="45"/>
      <c r="B2" s="45"/>
      <c r="C2" s="45"/>
      <c r="D2" s="45"/>
      <c r="E2" s="45"/>
      <c r="F2" s="45"/>
    </row>
    <row r="3" spans="1:24" ht="14.5" customHeight="1" x14ac:dyDescent="0.35">
      <c r="A3" s="45"/>
      <c r="B3" s="45"/>
      <c r="C3" s="45"/>
      <c r="D3" s="45"/>
      <c r="E3" s="45"/>
      <c r="F3" s="45"/>
    </row>
    <row r="4" spans="1:24" x14ac:dyDescent="0.35">
      <c r="A4" s="2"/>
    </row>
    <row r="5" spans="1:24" x14ac:dyDescent="0.35">
      <c r="A5" t="s">
        <v>2</v>
      </c>
      <c r="B5" t="s">
        <v>178</v>
      </c>
      <c r="C5" t="s">
        <v>179</v>
      </c>
      <c r="D5" t="s">
        <v>180</v>
      </c>
      <c r="E5" t="s">
        <v>181</v>
      </c>
      <c r="F5" t="s">
        <v>182</v>
      </c>
      <c r="G5" t="s">
        <v>183</v>
      </c>
      <c r="H5" t="s">
        <v>184</v>
      </c>
      <c r="I5" t="s">
        <v>185</v>
      </c>
      <c r="J5" t="s">
        <v>186</v>
      </c>
      <c r="K5" t="s">
        <v>187</v>
      </c>
      <c r="L5" t="s">
        <v>188</v>
      </c>
      <c r="M5" t="s">
        <v>189</v>
      </c>
      <c r="N5" t="s">
        <v>190</v>
      </c>
      <c r="O5" t="s">
        <v>191</v>
      </c>
      <c r="P5" t="s">
        <v>192</v>
      </c>
      <c r="Q5" t="s">
        <v>193</v>
      </c>
      <c r="R5" t="s">
        <v>194</v>
      </c>
      <c r="S5" t="s">
        <v>195</v>
      </c>
      <c r="T5" t="s">
        <v>196</v>
      </c>
      <c r="U5" t="s">
        <v>197</v>
      </c>
      <c r="V5" t="s">
        <v>198</v>
      </c>
    </row>
    <row r="6" spans="1:24" x14ac:dyDescent="0.35">
      <c r="A6" t="s">
        <v>260</v>
      </c>
      <c r="B6" s="23">
        <v>25045.55</v>
      </c>
      <c r="C6" s="23">
        <v>26010.331999999999</v>
      </c>
      <c r="D6" s="23">
        <v>27041.058000000001</v>
      </c>
      <c r="E6" s="23">
        <v>28420.708999999999</v>
      </c>
      <c r="F6" s="23">
        <v>29962.351999999999</v>
      </c>
      <c r="G6" s="23">
        <v>31788.16</v>
      </c>
      <c r="H6" s="23">
        <v>34027.07</v>
      </c>
      <c r="I6" s="23">
        <v>36641.5795</v>
      </c>
      <c r="J6" s="23">
        <v>39840.642</v>
      </c>
      <c r="K6" s="23">
        <v>40000</v>
      </c>
      <c r="L6" s="23">
        <v>41343.269999999997</v>
      </c>
      <c r="M6" s="23">
        <v>44702.324999999997</v>
      </c>
      <c r="N6" s="23">
        <v>49392.076000000001</v>
      </c>
      <c r="O6" s="23">
        <v>58375.907500000008</v>
      </c>
      <c r="P6" s="23">
        <v>70239.999999999985</v>
      </c>
      <c r="Q6" s="23">
        <v>81597.5</v>
      </c>
      <c r="R6" s="23">
        <v>118941.322</v>
      </c>
      <c r="S6" s="23">
        <v>163981.24299999949</v>
      </c>
      <c r="T6" s="23">
        <v>270486.4050000002</v>
      </c>
      <c r="U6" s="23">
        <v>446888.37399999989</v>
      </c>
      <c r="V6" s="23">
        <v>2814221.66</v>
      </c>
    </row>
    <row r="7" spans="1:24" x14ac:dyDescent="0.35">
      <c r="A7" t="s">
        <v>95</v>
      </c>
      <c r="B7">
        <v>25045.55</v>
      </c>
      <c r="C7">
        <v>26010.331999999999</v>
      </c>
      <c r="D7">
        <v>27041.058000000001</v>
      </c>
      <c r="E7">
        <v>28420.708999999999</v>
      </c>
      <c r="F7">
        <v>29962.351999999999</v>
      </c>
      <c r="G7">
        <v>31788.16</v>
      </c>
      <c r="H7">
        <v>34027.07</v>
      </c>
      <c r="I7">
        <v>36641.5795</v>
      </c>
      <c r="J7">
        <v>39840.642</v>
      </c>
      <c r="K7">
        <v>40000</v>
      </c>
      <c r="L7">
        <v>41343.269999999997</v>
      </c>
      <c r="M7">
        <v>44702.324999999997</v>
      </c>
      <c r="N7">
        <v>49392.076000000001</v>
      </c>
      <c r="O7">
        <v>58375.907500000008</v>
      </c>
      <c r="P7">
        <v>70239.999999999985</v>
      </c>
      <c r="Q7">
        <v>81597.5</v>
      </c>
      <c r="R7">
        <v>118941.322</v>
      </c>
      <c r="S7">
        <v>163981.24299999949</v>
      </c>
      <c r="T7">
        <v>270486.4050000002</v>
      </c>
      <c r="U7">
        <v>446888.37399999989</v>
      </c>
      <c r="V7">
        <v>2814221.66</v>
      </c>
    </row>
    <row r="8" spans="1:24" x14ac:dyDescent="0.35">
      <c r="A8" s="2"/>
    </row>
    <row r="10" spans="1:24" x14ac:dyDescent="0.35">
      <c r="A10" t="s">
        <v>2</v>
      </c>
      <c r="B10" t="s">
        <v>36</v>
      </c>
      <c r="C10" t="s">
        <v>227</v>
      </c>
      <c r="D10" t="s">
        <v>200</v>
      </c>
      <c r="E10" t="s">
        <v>199</v>
      </c>
      <c r="F10" t="s">
        <v>201</v>
      </c>
      <c r="G10" t="s">
        <v>202</v>
      </c>
      <c r="H10" t="s">
        <v>203</v>
      </c>
      <c r="I10" t="s">
        <v>204</v>
      </c>
      <c r="J10" t="s">
        <v>205</v>
      </c>
      <c r="K10" t="s">
        <v>206</v>
      </c>
      <c r="L10" t="s">
        <v>207</v>
      </c>
      <c r="M10" t="s">
        <v>208</v>
      </c>
      <c r="N10" t="s">
        <v>209</v>
      </c>
      <c r="O10" t="s">
        <v>210</v>
      </c>
      <c r="P10" t="s">
        <v>211</v>
      </c>
      <c r="Q10" t="s">
        <v>212</v>
      </c>
      <c r="R10" t="s">
        <v>213</v>
      </c>
      <c r="S10" t="s">
        <v>214</v>
      </c>
      <c r="T10" t="s">
        <v>215</v>
      </c>
      <c r="U10" t="s">
        <v>216</v>
      </c>
      <c r="V10" t="s">
        <v>217</v>
      </c>
      <c r="W10" t="s">
        <v>218</v>
      </c>
      <c r="X10" t="s">
        <v>219</v>
      </c>
    </row>
    <row r="11" spans="1:24" x14ac:dyDescent="0.35">
      <c r="A11" t="s">
        <v>260</v>
      </c>
      <c r="B11">
        <v>0</v>
      </c>
      <c r="C11">
        <v>184</v>
      </c>
      <c r="D11">
        <v>184</v>
      </c>
      <c r="E11">
        <v>174</v>
      </c>
      <c r="F11">
        <v>165</v>
      </c>
      <c r="G11">
        <v>156</v>
      </c>
      <c r="H11">
        <v>147</v>
      </c>
      <c r="I11">
        <v>138</v>
      </c>
      <c r="J11">
        <v>129</v>
      </c>
      <c r="K11">
        <v>119</v>
      </c>
      <c r="L11">
        <v>110</v>
      </c>
      <c r="M11">
        <v>109</v>
      </c>
      <c r="N11">
        <v>92</v>
      </c>
      <c r="O11">
        <v>83</v>
      </c>
      <c r="P11">
        <v>74</v>
      </c>
      <c r="Q11">
        <v>65</v>
      </c>
      <c r="R11">
        <v>55</v>
      </c>
      <c r="S11">
        <v>46</v>
      </c>
      <c r="T11">
        <v>37</v>
      </c>
      <c r="U11">
        <v>28</v>
      </c>
      <c r="V11">
        <v>19</v>
      </c>
      <c r="W11">
        <v>10</v>
      </c>
      <c r="X11">
        <v>1</v>
      </c>
    </row>
    <row r="12" spans="1:24" x14ac:dyDescent="0.35">
      <c r="A12" t="s">
        <v>260</v>
      </c>
      <c r="B12">
        <v>1</v>
      </c>
      <c r="C12">
        <v>140</v>
      </c>
      <c r="D12">
        <v>140</v>
      </c>
      <c r="E12">
        <v>135</v>
      </c>
      <c r="F12">
        <v>132</v>
      </c>
      <c r="G12">
        <v>131</v>
      </c>
      <c r="H12">
        <v>126</v>
      </c>
      <c r="I12">
        <v>123</v>
      </c>
      <c r="J12">
        <v>118</v>
      </c>
      <c r="K12">
        <v>112</v>
      </c>
      <c r="L12">
        <v>103</v>
      </c>
      <c r="M12">
        <v>102</v>
      </c>
      <c r="N12">
        <v>97</v>
      </c>
      <c r="O12">
        <v>93</v>
      </c>
      <c r="P12">
        <v>88</v>
      </c>
      <c r="Q12">
        <v>71</v>
      </c>
      <c r="R12">
        <v>64</v>
      </c>
      <c r="S12">
        <v>59</v>
      </c>
      <c r="T12">
        <v>47</v>
      </c>
      <c r="U12">
        <v>36</v>
      </c>
      <c r="V12">
        <v>27</v>
      </c>
      <c r="W12">
        <v>17</v>
      </c>
      <c r="X12">
        <v>5</v>
      </c>
    </row>
    <row r="13" spans="1:24" x14ac:dyDescent="0.35">
      <c r="A13" t="s">
        <v>95</v>
      </c>
      <c r="C13">
        <v>324</v>
      </c>
      <c r="D13">
        <v>324</v>
      </c>
      <c r="E13">
        <v>309</v>
      </c>
      <c r="F13">
        <v>297</v>
      </c>
      <c r="G13">
        <v>287</v>
      </c>
      <c r="H13">
        <v>273</v>
      </c>
      <c r="I13">
        <v>261</v>
      </c>
      <c r="J13">
        <v>247</v>
      </c>
      <c r="K13">
        <v>231</v>
      </c>
      <c r="L13">
        <v>213</v>
      </c>
      <c r="M13">
        <v>211</v>
      </c>
      <c r="N13">
        <v>189</v>
      </c>
      <c r="O13">
        <v>176</v>
      </c>
      <c r="P13">
        <v>162</v>
      </c>
      <c r="Q13">
        <v>136</v>
      </c>
      <c r="R13">
        <v>119</v>
      </c>
      <c r="S13">
        <v>105</v>
      </c>
      <c r="T13">
        <v>84</v>
      </c>
      <c r="U13">
        <v>64</v>
      </c>
      <c r="V13">
        <v>46</v>
      </c>
      <c r="W13">
        <v>27</v>
      </c>
      <c r="X13">
        <v>6</v>
      </c>
    </row>
    <row r="16" spans="1:24" x14ac:dyDescent="0.35">
      <c r="G16" t="s">
        <v>221</v>
      </c>
    </row>
    <row r="17" spans="1:23" x14ac:dyDescent="0.35">
      <c r="A17" s="7" t="s">
        <v>117</v>
      </c>
      <c r="B17" s="7" t="s">
        <v>228</v>
      </c>
      <c r="C17" s="7" t="s">
        <v>96</v>
      </c>
      <c r="D17" s="7" t="s">
        <v>97</v>
      </c>
      <c r="E17" s="7" t="s">
        <v>98</v>
      </c>
      <c r="F17" s="7" t="s">
        <v>99</v>
      </c>
      <c r="G17" s="7" t="s">
        <v>100</v>
      </c>
      <c r="H17" s="7" t="s">
        <v>101</v>
      </c>
      <c r="I17" s="7" t="s">
        <v>102</v>
      </c>
      <c r="J17" s="7" t="s">
        <v>103</v>
      </c>
      <c r="K17" s="7" t="s">
        <v>104</v>
      </c>
      <c r="L17" s="7" t="s">
        <v>105</v>
      </c>
      <c r="M17" s="7" t="s">
        <v>106</v>
      </c>
      <c r="N17" s="7" t="s">
        <v>107</v>
      </c>
      <c r="O17" s="7" t="s">
        <v>108</v>
      </c>
      <c r="P17" s="7" t="s">
        <v>109</v>
      </c>
      <c r="Q17" s="7" t="s">
        <v>110</v>
      </c>
      <c r="R17" s="7" t="s">
        <v>111</v>
      </c>
      <c r="S17" s="7" t="s">
        <v>112</v>
      </c>
      <c r="T17" s="7" t="s">
        <v>113</v>
      </c>
      <c r="U17" s="7" t="s">
        <v>114</v>
      </c>
      <c r="V17" s="7" t="s">
        <v>115</v>
      </c>
      <c r="W17" s="7" t="s">
        <v>116</v>
      </c>
    </row>
    <row r="18" spans="1:23" x14ac:dyDescent="0.35">
      <c r="A18" s="7" t="s">
        <v>371</v>
      </c>
      <c r="B18" s="3">
        <f t="shared" ref="B18" si="0">C11</f>
        <v>184</v>
      </c>
      <c r="C18" s="3">
        <f t="shared" ref="C18:C19" si="1">D11</f>
        <v>184</v>
      </c>
      <c r="D18" s="3">
        <f t="shared" ref="D18:D19" si="2">E11</f>
        <v>174</v>
      </c>
      <c r="E18" s="3">
        <f t="shared" ref="E18:E19" si="3">F11</f>
        <v>165</v>
      </c>
      <c r="F18" s="3">
        <f t="shared" ref="F18:F19" si="4">G11</f>
        <v>156</v>
      </c>
      <c r="G18" s="3">
        <f t="shared" ref="G18:G19" si="5">H11</f>
        <v>147</v>
      </c>
      <c r="H18" s="3">
        <f t="shared" ref="H18:H19" si="6">I11</f>
        <v>138</v>
      </c>
      <c r="I18" s="3">
        <f t="shared" ref="I18:I19" si="7">J11</f>
        <v>129</v>
      </c>
      <c r="J18" s="3">
        <f t="shared" ref="J18:J19" si="8">K11</f>
        <v>119</v>
      </c>
      <c r="K18" s="3">
        <f t="shared" ref="K18:K19" si="9">L11</f>
        <v>110</v>
      </c>
      <c r="L18" s="3">
        <f t="shared" ref="L18:L19" si="10">M11</f>
        <v>109</v>
      </c>
      <c r="M18" s="3">
        <f t="shared" ref="M18:M19" si="11">N11</f>
        <v>92</v>
      </c>
      <c r="N18" s="3">
        <f t="shared" ref="N18:N19" si="12">O11</f>
        <v>83</v>
      </c>
      <c r="O18" s="3">
        <f t="shared" ref="O18:O19" si="13">P11</f>
        <v>74</v>
      </c>
      <c r="P18" s="3">
        <f t="shared" ref="P18:P19" si="14">Q11</f>
        <v>65</v>
      </c>
      <c r="Q18" s="3">
        <f t="shared" ref="Q18:Q19" si="15">R11</f>
        <v>55</v>
      </c>
      <c r="R18" s="3">
        <f t="shared" ref="R18:R19" si="16">S11</f>
        <v>46</v>
      </c>
      <c r="S18" s="3">
        <f t="shared" ref="S18:S19" si="17">T11</f>
        <v>37</v>
      </c>
      <c r="T18" s="3">
        <f t="shared" ref="T18:T19" si="18">U11</f>
        <v>28</v>
      </c>
      <c r="U18" s="3">
        <f t="shared" ref="U18:U19" si="19">V11</f>
        <v>19</v>
      </c>
      <c r="V18" s="3">
        <f t="shared" ref="V18:V19" si="20">W11</f>
        <v>10</v>
      </c>
      <c r="W18" s="3">
        <f t="shared" ref="W18:W19" si="21">X11</f>
        <v>1</v>
      </c>
    </row>
    <row r="19" spans="1:23" x14ac:dyDescent="0.35">
      <c r="A19" s="7" t="s">
        <v>220</v>
      </c>
      <c r="B19" s="3">
        <f t="shared" ref="B19" si="22">C12</f>
        <v>140</v>
      </c>
      <c r="C19" s="3">
        <f t="shared" si="1"/>
        <v>140</v>
      </c>
      <c r="D19" s="3">
        <f t="shared" si="2"/>
        <v>135</v>
      </c>
      <c r="E19" s="3">
        <f t="shared" si="3"/>
        <v>132</v>
      </c>
      <c r="F19" s="3">
        <f t="shared" si="4"/>
        <v>131</v>
      </c>
      <c r="G19" s="3">
        <f t="shared" si="5"/>
        <v>126</v>
      </c>
      <c r="H19" s="3">
        <f t="shared" si="6"/>
        <v>123</v>
      </c>
      <c r="I19" s="3">
        <f t="shared" si="7"/>
        <v>118</v>
      </c>
      <c r="J19" s="3">
        <f t="shared" si="8"/>
        <v>112</v>
      </c>
      <c r="K19" s="3">
        <f t="shared" si="9"/>
        <v>103</v>
      </c>
      <c r="L19" s="3">
        <f t="shared" si="10"/>
        <v>102</v>
      </c>
      <c r="M19" s="3">
        <f t="shared" si="11"/>
        <v>97</v>
      </c>
      <c r="N19" s="3">
        <f t="shared" si="12"/>
        <v>93</v>
      </c>
      <c r="O19" s="3">
        <f t="shared" si="13"/>
        <v>88</v>
      </c>
      <c r="P19" s="3">
        <f t="shared" si="14"/>
        <v>71</v>
      </c>
      <c r="Q19" s="3">
        <f t="shared" si="15"/>
        <v>64</v>
      </c>
      <c r="R19" s="3">
        <f t="shared" si="16"/>
        <v>59</v>
      </c>
      <c r="S19" s="3">
        <f t="shared" si="17"/>
        <v>47</v>
      </c>
      <c r="T19" s="3">
        <f t="shared" si="18"/>
        <v>36</v>
      </c>
      <c r="U19" s="3">
        <f t="shared" si="19"/>
        <v>27</v>
      </c>
      <c r="V19" s="3">
        <f t="shared" si="20"/>
        <v>17</v>
      </c>
      <c r="W19" s="3">
        <f t="shared" si="21"/>
        <v>5</v>
      </c>
    </row>
    <row r="20" spans="1:23" x14ac:dyDescent="0.35">
      <c r="A20" s="7" t="s">
        <v>372</v>
      </c>
      <c r="B20" s="3">
        <f t="shared" ref="B20:W20" si="23">SUM(B18:B19)</f>
        <v>324</v>
      </c>
      <c r="C20" s="3">
        <f t="shared" si="23"/>
        <v>324</v>
      </c>
      <c r="D20" s="3">
        <f t="shared" si="23"/>
        <v>309</v>
      </c>
      <c r="E20" s="3">
        <f t="shared" si="23"/>
        <v>297</v>
      </c>
      <c r="F20" s="3">
        <f t="shared" si="23"/>
        <v>287</v>
      </c>
      <c r="G20" s="3">
        <f t="shared" si="23"/>
        <v>273</v>
      </c>
      <c r="H20" s="3">
        <f t="shared" si="23"/>
        <v>261</v>
      </c>
      <c r="I20" s="3">
        <f t="shared" si="23"/>
        <v>247</v>
      </c>
      <c r="J20" s="3">
        <f t="shared" si="23"/>
        <v>231</v>
      </c>
      <c r="K20" s="3">
        <f t="shared" si="23"/>
        <v>213</v>
      </c>
      <c r="L20" s="3">
        <f t="shared" si="23"/>
        <v>211</v>
      </c>
      <c r="M20" s="3">
        <f t="shared" si="23"/>
        <v>189</v>
      </c>
      <c r="N20" s="3">
        <f t="shared" si="23"/>
        <v>176</v>
      </c>
      <c r="O20" s="3">
        <f t="shared" si="23"/>
        <v>162</v>
      </c>
      <c r="P20" s="3">
        <f t="shared" si="23"/>
        <v>136</v>
      </c>
      <c r="Q20" s="3">
        <f t="shared" si="23"/>
        <v>119</v>
      </c>
      <c r="R20" s="3">
        <f t="shared" si="23"/>
        <v>105</v>
      </c>
      <c r="S20" s="3">
        <f t="shared" si="23"/>
        <v>84</v>
      </c>
      <c r="T20" s="3">
        <f t="shared" si="23"/>
        <v>64</v>
      </c>
      <c r="U20" s="3">
        <f t="shared" si="23"/>
        <v>46</v>
      </c>
      <c r="V20" s="3">
        <f t="shared" si="23"/>
        <v>27</v>
      </c>
      <c r="W20" s="3">
        <f t="shared" si="23"/>
        <v>6</v>
      </c>
    </row>
    <row r="21" spans="1:23" x14ac:dyDescent="0.35">
      <c r="A21" s="7" t="s">
        <v>226</v>
      </c>
      <c r="B21" s="4">
        <f t="shared" ref="B21:W21" si="24">B19/$B$19</f>
        <v>1</v>
      </c>
      <c r="C21" s="4">
        <f t="shared" si="24"/>
        <v>1</v>
      </c>
      <c r="D21" s="4">
        <f t="shared" si="24"/>
        <v>0.9642857142857143</v>
      </c>
      <c r="E21" s="4">
        <f t="shared" si="24"/>
        <v>0.94285714285714284</v>
      </c>
      <c r="F21" s="4">
        <f t="shared" si="24"/>
        <v>0.93571428571428572</v>
      </c>
      <c r="G21" s="4">
        <f t="shared" si="24"/>
        <v>0.9</v>
      </c>
      <c r="H21" s="4">
        <f t="shared" si="24"/>
        <v>0.87857142857142856</v>
      </c>
      <c r="I21" s="4">
        <f t="shared" si="24"/>
        <v>0.84285714285714286</v>
      </c>
      <c r="J21" s="4">
        <f t="shared" si="24"/>
        <v>0.8</v>
      </c>
      <c r="K21" s="4">
        <f t="shared" si="24"/>
        <v>0.73571428571428577</v>
      </c>
      <c r="L21" s="4">
        <f t="shared" si="24"/>
        <v>0.72857142857142854</v>
      </c>
      <c r="M21" s="4">
        <f t="shared" si="24"/>
        <v>0.69285714285714284</v>
      </c>
      <c r="N21" s="4">
        <f t="shared" si="24"/>
        <v>0.66428571428571426</v>
      </c>
      <c r="O21" s="4">
        <f t="shared" si="24"/>
        <v>0.62857142857142856</v>
      </c>
      <c r="P21" s="4">
        <f t="shared" si="24"/>
        <v>0.50714285714285712</v>
      </c>
      <c r="Q21" s="4">
        <f t="shared" si="24"/>
        <v>0.45714285714285713</v>
      </c>
      <c r="R21" s="4">
        <f t="shared" si="24"/>
        <v>0.42142857142857143</v>
      </c>
      <c r="S21" s="4">
        <f t="shared" si="24"/>
        <v>0.33571428571428569</v>
      </c>
      <c r="T21" s="4">
        <f t="shared" si="24"/>
        <v>0.25714285714285712</v>
      </c>
      <c r="U21" s="4">
        <f t="shared" si="24"/>
        <v>0.19285714285714287</v>
      </c>
      <c r="V21" s="4">
        <f t="shared" si="24"/>
        <v>0.12142857142857143</v>
      </c>
      <c r="W21" s="4">
        <f t="shared" si="24"/>
        <v>3.5714285714285712E-2</v>
      </c>
    </row>
    <row r="22" spans="1:23" x14ac:dyDescent="0.35">
      <c r="A22" s="7" t="s">
        <v>373</v>
      </c>
      <c r="B22" s="4">
        <f t="shared" ref="B22:W22" si="25">B18/B20</f>
        <v>0.5679012345679012</v>
      </c>
      <c r="C22" s="4">
        <f t="shared" si="25"/>
        <v>0.5679012345679012</v>
      </c>
      <c r="D22" s="4">
        <f t="shared" si="25"/>
        <v>0.56310679611650483</v>
      </c>
      <c r="E22" s="4">
        <f t="shared" si="25"/>
        <v>0.55555555555555558</v>
      </c>
      <c r="F22" s="4">
        <f t="shared" si="25"/>
        <v>0.54355400696864109</v>
      </c>
      <c r="G22" s="4">
        <f t="shared" si="25"/>
        <v>0.53846153846153844</v>
      </c>
      <c r="H22" s="4">
        <f t="shared" si="25"/>
        <v>0.52873563218390807</v>
      </c>
      <c r="I22" s="4">
        <f t="shared" si="25"/>
        <v>0.52226720647773284</v>
      </c>
      <c r="J22" s="4">
        <f t="shared" si="25"/>
        <v>0.51515151515151514</v>
      </c>
      <c r="K22" s="4">
        <f t="shared" si="25"/>
        <v>0.51643192488262912</v>
      </c>
      <c r="L22" s="4">
        <f t="shared" si="25"/>
        <v>0.51658767772511849</v>
      </c>
      <c r="M22" s="4">
        <f t="shared" si="25"/>
        <v>0.48677248677248675</v>
      </c>
      <c r="N22" s="4">
        <f t="shared" si="25"/>
        <v>0.47159090909090912</v>
      </c>
      <c r="O22" s="4">
        <f t="shared" si="25"/>
        <v>0.4567901234567901</v>
      </c>
      <c r="P22" s="4">
        <f t="shared" si="25"/>
        <v>0.47794117647058826</v>
      </c>
      <c r="Q22" s="4">
        <f t="shared" si="25"/>
        <v>0.46218487394957986</v>
      </c>
      <c r="R22" s="4">
        <f t="shared" si="25"/>
        <v>0.43809523809523809</v>
      </c>
      <c r="S22" s="4">
        <f t="shared" si="25"/>
        <v>0.44047619047619047</v>
      </c>
      <c r="T22" s="4">
        <f t="shared" si="25"/>
        <v>0.4375</v>
      </c>
      <c r="U22" s="4">
        <f t="shared" si="25"/>
        <v>0.41304347826086957</v>
      </c>
      <c r="V22" s="4">
        <f t="shared" si="25"/>
        <v>0.37037037037037035</v>
      </c>
      <c r="W22" s="4">
        <f t="shared" si="25"/>
        <v>0.16666666666666666</v>
      </c>
    </row>
    <row r="23" spans="1:23" x14ac:dyDescent="0.35">
      <c r="A23" s="7" t="s">
        <v>374</v>
      </c>
      <c r="B23" s="7"/>
      <c r="C23" s="6">
        <f t="shared" ref="C23" si="26">B7</f>
        <v>25045.55</v>
      </c>
      <c r="D23" s="6">
        <f t="shared" ref="D23" si="27">C7</f>
        <v>26010.331999999999</v>
      </c>
      <c r="E23" s="6">
        <f t="shared" ref="E23" si="28">D7</f>
        <v>27041.058000000001</v>
      </c>
      <c r="F23" s="6">
        <f t="shared" ref="F23" si="29">E7</f>
        <v>28420.708999999999</v>
      </c>
      <c r="G23" s="6">
        <f t="shared" ref="G23" si="30">F7</f>
        <v>29962.351999999999</v>
      </c>
      <c r="H23" s="6">
        <f t="shared" ref="H23" si="31">G7</f>
        <v>31788.16</v>
      </c>
      <c r="I23" s="6">
        <f t="shared" ref="I23" si="32">H7</f>
        <v>34027.07</v>
      </c>
      <c r="J23" s="6">
        <f t="shared" ref="J23" si="33">I7</f>
        <v>36641.5795</v>
      </c>
      <c r="K23" s="6">
        <f t="shared" ref="K23" si="34">J7</f>
        <v>39840.642</v>
      </c>
      <c r="L23" s="6">
        <f t="shared" ref="L23" si="35">K7</f>
        <v>40000</v>
      </c>
      <c r="M23" s="6">
        <f t="shared" ref="M23" si="36">L7</f>
        <v>41343.269999999997</v>
      </c>
      <c r="N23" s="6">
        <f t="shared" ref="N23" si="37">M7</f>
        <v>44702.324999999997</v>
      </c>
      <c r="O23" s="6">
        <f t="shared" ref="O23" si="38">N7</f>
        <v>49392.076000000001</v>
      </c>
      <c r="P23" s="6">
        <f t="shared" ref="P23" si="39">O7</f>
        <v>58375.907500000008</v>
      </c>
      <c r="Q23" s="6">
        <f t="shared" ref="Q23" si="40">P7</f>
        <v>70239.999999999985</v>
      </c>
      <c r="R23" s="6">
        <f t="shared" ref="R23" si="41">Q7</f>
        <v>81597.5</v>
      </c>
      <c r="S23" s="6">
        <f t="shared" ref="S23" si="42">R7</f>
        <v>118941.322</v>
      </c>
      <c r="T23" s="6">
        <f t="shared" ref="T23" si="43">S7</f>
        <v>163981.24299999949</v>
      </c>
      <c r="U23" s="6">
        <f t="shared" ref="U23" si="44">T7</f>
        <v>270486.4050000002</v>
      </c>
      <c r="V23" s="6">
        <f t="shared" ref="V23" si="45">U7</f>
        <v>446888.37399999989</v>
      </c>
      <c r="W23" s="6">
        <f t="shared" ref="W23" si="46">V7</f>
        <v>2814221.66</v>
      </c>
    </row>
    <row r="24" spans="1:23" x14ac:dyDescent="0.35">
      <c r="A24" s="7" t="s">
        <v>375</v>
      </c>
      <c r="B24" s="19">
        <f>$B$18-B18</f>
        <v>0</v>
      </c>
      <c r="C24" s="19">
        <f>$B$18-C18</f>
        <v>0</v>
      </c>
      <c r="D24" s="19">
        <f t="shared" ref="D24:W24" si="47">$B$18-D18</f>
        <v>10</v>
      </c>
      <c r="E24" s="19">
        <f t="shared" si="47"/>
        <v>19</v>
      </c>
      <c r="F24" s="19">
        <f t="shared" si="47"/>
        <v>28</v>
      </c>
      <c r="G24" s="19">
        <f t="shared" si="47"/>
        <v>37</v>
      </c>
      <c r="H24" s="19">
        <f t="shared" si="47"/>
        <v>46</v>
      </c>
      <c r="I24" s="19">
        <f t="shared" si="47"/>
        <v>55</v>
      </c>
      <c r="J24" s="19">
        <f t="shared" si="47"/>
        <v>65</v>
      </c>
      <c r="K24" s="19">
        <f t="shared" si="47"/>
        <v>74</v>
      </c>
      <c r="L24" s="19">
        <f t="shared" si="47"/>
        <v>75</v>
      </c>
      <c r="M24" s="19">
        <f t="shared" si="47"/>
        <v>92</v>
      </c>
      <c r="N24" s="19">
        <f t="shared" si="47"/>
        <v>101</v>
      </c>
      <c r="O24" s="19">
        <f t="shared" si="47"/>
        <v>110</v>
      </c>
      <c r="P24" s="19">
        <f t="shared" si="47"/>
        <v>119</v>
      </c>
      <c r="Q24" s="19">
        <f t="shared" si="47"/>
        <v>129</v>
      </c>
      <c r="R24" s="19">
        <f t="shared" si="47"/>
        <v>138</v>
      </c>
      <c r="S24" s="19">
        <f t="shared" si="47"/>
        <v>147</v>
      </c>
      <c r="T24" s="19">
        <f t="shared" si="47"/>
        <v>156</v>
      </c>
      <c r="U24" s="19">
        <f t="shared" si="47"/>
        <v>165</v>
      </c>
      <c r="V24" s="19">
        <f t="shared" si="47"/>
        <v>174</v>
      </c>
      <c r="W24" s="19">
        <f t="shared" si="47"/>
        <v>183</v>
      </c>
    </row>
    <row r="25" spans="1:23" x14ac:dyDescent="0.35">
      <c r="A25" s="7" t="s">
        <v>255</v>
      </c>
      <c r="B25" s="19">
        <f>$B$19-B19</f>
        <v>0</v>
      </c>
      <c r="C25" s="19">
        <f>$B$19-C19</f>
        <v>0</v>
      </c>
      <c r="D25" s="19">
        <f t="shared" ref="D25:W25" si="48">$B$19-D19</f>
        <v>5</v>
      </c>
      <c r="E25" s="19">
        <f t="shared" si="48"/>
        <v>8</v>
      </c>
      <c r="F25" s="19">
        <f t="shared" si="48"/>
        <v>9</v>
      </c>
      <c r="G25" s="19">
        <f t="shared" si="48"/>
        <v>14</v>
      </c>
      <c r="H25" s="19">
        <f t="shared" si="48"/>
        <v>17</v>
      </c>
      <c r="I25" s="19">
        <f t="shared" si="48"/>
        <v>22</v>
      </c>
      <c r="J25" s="19">
        <f t="shared" si="48"/>
        <v>28</v>
      </c>
      <c r="K25" s="19">
        <f t="shared" si="48"/>
        <v>37</v>
      </c>
      <c r="L25" s="19">
        <f t="shared" si="48"/>
        <v>38</v>
      </c>
      <c r="M25" s="19">
        <f t="shared" si="48"/>
        <v>43</v>
      </c>
      <c r="N25" s="19">
        <f t="shared" si="48"/>
        <v>47</v>
      </c>
      <c r="O25" s="19">
        <f t="shared" si="48"/>
        <v>52</v>
      </c>
      <c r="P25" s="19">
        <f t="shared" si="48"/>
        <v>69</v>
      </c>
      <c r="Q25" s="19">
        <f t="shared" si="48"/>
        <v>76</v>
      </c>
      <c r="R25" s="19">
        <f t="shared" si="48"/>
        <v>81</v>
      </c>
      <c r="S25" s="19">
        <f t="shared" si="48"/>
        <v>93</v>
      </c>
      <c r="T25" s="19">
        <f t="shared" si="48"/>
        <v>104</v>
      </c>
      <c r="U25" s="19">
        <f t="shared" si="48"/>
        <v>113</v>
      </c>
      <c r="V25" s="19">
        <f t="shared" si="48"/>
        <v>123</v>
      </c>
      <c r="W25" s="19">
        <f t="shared" si="48"/>
        <v>135</v>
      </c>
    </row>
  </sheetData>
  <mergeCells count="1">
    <mergeCell ref="A1:F3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968"/>
  <sheetViews>
    <sheetView workbookViewId="0">
      <selection activeCell="R13" sqref="R13"/>
    </sheetView>
  </sheetViews>
  <sheetFormatPr defaultRowHeight="14.5" x14ac:dyDescent="0.35"/>
  <sheetData>
    <row r="1" spans="1:89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118</v>
      </c>
      <c r="AW1" s="18" t="s">
        <v>119</v>
      </c>
      <c r="AX1" s="18" t="s">
        <v>120</v>
      </c>
      <c r="AY1" s="18" t="s">
        <v>121</v>
      </c>
      <c r="AZ1" s="18" t="s">
        <v>122</v>
      </c>
      <c r="BA1" s="18" t="s">
        <v>123</v>
      </c>
      <c r="BB1" s="18" t="s">
        <v>124</v>
      </c>
      <c r="BC1" s="18" t="s">
        <v>125</v>
      </c>
      <c r="BD1" s="18" t="s">
        <v>126</v>
      </c>
      <c r="BE1" s="18" t="s">
        <v>127</v>
      </c>
      <c r="BF1" s="18" t="s">
        <v>128</v>
      </c>
      <c r="BG1" s="18" t="s">
        <v>129</v>
      </c>
      <c r="BH1" s="18" t="s">
        <v>130</v>
      </c>
      <c r="BI1" s="18" t="s">
        <v>131</v>
      </c>
      <c r="BJ1" s="18" t="s">
        <v>132</v>
      </c>
      <c r="BK1" s="18" t="s">
        <v>133</v>
      </c>
      <c r="BL1" s="18" t="s">
        <v>134</v>
      </c>
      <c r="BM1" s="18" t="s">
        <v>135</v>
      </c>
      <c r="BN1" s="18" t="s">
        <v>136</v>
      </c>
      <c r="BO1" s="18" t="s">
        <v>137</v>
      </c>
      <c r="BP1" s="18" t="s">
        <v>138</v>
      </c>
      <c r="BQ1" s="18" t="s">
        <v>139</v>
      </c>
      <c r="BR1" s="18" t="s">
        <v>140</v>
      </c>
      <c r="BS1" s="18" t="s">
        <v>141</v>
      </c>
      <c r="BT1" s="18" t="s">
        <v>142</v>
      </c>
      <c r="BU1" s="18" t="s">
        <v>143</v>
      </c>
      <c r="BV1" s="18" t="s">
        <v>144</v>
      </c>
      <c r="BW1" s="18" t="s">
        <v>145</v>
      </c>
      <c r="BX1" s="18" t="s">
        <v>146</v>
      </c>
      <c r="BY1" s="18" t="s">
        <v>147</v>
      </c>
      <c r="BZ1" s="18" t="s">
        <v>148</v>
      </c>
      <c r="CA1" s="18" t="s">
        <v>149</v>
      </c>
      <c r="CB1" s="18" t="s">
        <v>150</v>
      </c>
      <c r="CC1" s="18" t="s">
        <v>151</v>
      </c>
      <c r="CD1" s="18" t="s">
        <v>152</v>
      </c>
      <c r="CE1" s="18" t="s">
        <v>153</v>
      </c>
      <c r="CF1" s="18" t="s">
        <v>154</v>
      </c>
      <c r="CG1" s="18" t="s">
        <v>155</v>
      </c>
      <c r="CH1" s="18" t="s">
        <v>156</v>
      </c>
      <c r="CI1" s="18" t="s">
        <v>157</v>
      </c>
      <c r="CJ1" s="18" t="s">
        <v>158</v>
      </c>
      <c r="CK1" s="18" t="s">
        <v>159</v>
      </c>
    </row>
    <row r="2" spans="1:89" x14ac:dyDescent="0.35">
      <c r="A2">
        <v>341994</v>
      </c>
      <c r="B2" t="s">
        <v>259</v>
      </c>
      <c r="C2" t="s">
        <v>260</v>
      </c>
      <c r="D2" s="1">
        <v>45787</v>
      </c>
      <c r="E2">
        <v>53850</v>
      </c>
      <c r="F2">
        <v>122</v>
      </c>
      <c r="G2" t="s">
        <v>261</v>
      </c>
      <c r="H2" t="s">
        <v>262</v>
      </c>
      <c r="I2" t="s">
        <v>48</v>
      </c>
      <c r="L2">
        <v>1223300002128</v>
      </c>
      <c r="M2">
        <v>20250409</v>
      </c>
      <c r="N2" t="s">
        <v>263</v>
      </c>
      <c r="Q2" t="s">
        <v>55</v>
      </c>
      <c r="R2">
        <v>39500</v>
      </c>
      <c r="T2">
        <v>3711207</v>
      </c>
      <c r="U2">
        <v>8825020723</v>
      </c>
      <c r="V2" t="s">
        <v>264</v>
      </c>
      <c r="W2" t="s">
        <v>53</v>
      </c>
      <c r="X2" t="s">
        <v>57</v>
      </c>
      <c r="Y2" t="s">
        <v>49</v>
      </c>
      <c r="Z2">
        <v>1696</v>
      </c>
      <c r="AH2">
        <v>0</v>
      </c>
      <c r="AI2">
        <v>202504</v>
      </c>
      <c r="AJ2" t="s">
        <v>51</v>
      </c>
      <c r="AK2">
        <v>0</v>
      </c>
      <c r="AL2">
        <v>1</v>
      </c>
      <c r="AO2">
        <v>0</v>
      </c>
      <c r="AP2">
        <v>620</v>
      </c>
      <c r="AQ2">
        <v>430</v>
      </c>
      <c r="AR2">
        <v>430620</v>
      </c>
      <c r="AS2" t="s">
        <v>58</v>
      </c>
      <c r="AU2" t="s">
        <v>58</v>
      </c>
      <c r="AV2">
        <v>25045.55</v>
      </c>
      <c r="AW2">
        <v>26010.331999999999</v>
      </c>
      <c r="AX2">
        <v>27041.058000000001</v>
      </c>
      <c r="AY2">
        <v>28420.708999999999</v>
      </c>
      <c r="AZ2">
        <v>29962.351999999999</v>
      </c>
      <c r="BA2">
        <v>31788.16</v>
      </c>
      <c r="BB2">
        <v>34027.07</v>
      </c>
      <c r="BC2">
        <v>36641.5795</v>
      </c>
      <c r="BD2">
        <v>39840.642</v>
      </c>
      <c r="BE2">
        <v>40000</v>
      </c>
      <c r="BF2">
        <v>41343.269999999997</v>
      </c>
      <c r="BG2">
        <v>44702.324999999997</v>
      </c>
      <c r="BH2">
        <v>49392.076000000001</v>
      </c>
      <c r="BI2">
        <v>58375.907500000008</v>
      </c>
      <c r="BJ2">
        <v>70239.999999999985</v>
      </c>
      <c r="BK2">
        <v>81597.5</v>
      </c>
      <c r="BL2">
        <v>118941.322</v>
      </c>
      <c r="BM2">
        <v>163981.24299999949</v>
      </c>
      <c r="BN2">
        <v>270486.4050000002</v>
      </c>
      <c r="BO2">
        <v>446888.37399999989</v>
      </c>
      <c r="BP2">
        <v>2814221.66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 x14ac:dyDescent="0.35">
      <c r="A3">
        <v>341991</v>
      </c>
      <c r="B3" t="s">
        <v>259</v>
      </c>
      <c r="C3" t="s">
        <v>260</v>
      </c>
      <c r="D3" s="1">
        <v>45787</v>
      </c>
      <c r="E3">
        <v>53850</v>
      </c>
      <c r="F3">
        <v>154</v>
      </c>
      <c r="G3" t="s">
        <v>235</v>
      </c>
      <c r="H3" t="s">
        <v>262</v>
      </c>
      <c r="I3" t="s">
        <v>48</v>
      </c>
      <c r="L3">
        <v>1543300004860</v>
      </c>
      <c r="M3">
        <v>20250408</v>
      </c>
      <c r="N3" t="s">
        <v>263</v>
      </c>
      <c r="Q3" t="s">
        <v>55</v>
      </c>
      <c r="R3">
        <v>30000</v>
      </c>
      <c r="T3">
        <v>3715569</v>
      </c>
      <c r="U3">
        <v>5424970654</v>
      </c>
      <c r="V3" t="s">
        <v>265</v>
      </c>
      <c r="W3" t="s">
        <v>53</v>
      </c>
      <c r="X3" t="s">
        <v>266</v>
      </c>
      <c r="Y3" t="s">
        <v>49</v>
      </c>
      <c r="Z3">
        <v>741</v>
      </c>
      <c r="AH3">
        <v>0</v>
      </c>
      <c r="AI3">
        <v>202504</v>
      </c>
      <c r="AJ3" t="s">
        <v>61</v>
      </c>
      <c r="AK3">
        <v>0</v>
      </c>
      <c r="AL3">
        <v>1</v>
      </c>
      <c r="AM3">
        <v>3715569</v>
      </c>
      <c r="AN3">
        <v>1</v>
      </c>
      <c r="AO3">
        <v>0</v>
      </c>
      <c r="AP3">
        <v>999</v>
      </c>
      <c r="AQ3">
        <v>430</v>
      </c>
      <c r="AR3">
        <v>430999</v>
      </c>
      <c r="AT3">
        <v>1</v>
      </c>
      <c r="AU3" t="s">
        <v>54</v>
      </c>
      <c r="AV3">
        <v>25045.55</v>
      </c>
      <c r="AW3">
        <v>26010.331999999999</v>
      </c>
      <c r="AX3">
        <v>27041.058000000001</v>
      </c>
      <c r="AY3">
        <v>28420.708999999999</v>
      </c>
      <c r="AZ3">
        <v>29962.351999999999</v>
      </c>
      <c r="BA3">
        <v>31788.16</v>
      </c>
      <c r="BB3">
        <v>34027.07</v>
      </c>
      <c r="BC3">
        <v>36641.5795</v>
      </c>
      <c r="BD3">
        <v>39840.642</v>
      </c>
      <c r="BE3">
        <v>40000</v>
      </c>
      <c r="BF3">
        <v>41343.269999999997</v>
      </c>
      <c r="BG3">
        <v>44702.324999999997</v>
      </c>
      <c r="BH3">
        <v>49392.076000000001</v>
      </c>
      <c r="BI3">
        <v>58375.907500000008</v>
      </c>
      <c r="BJ3">
        <v>70239.999999999985</v>
      </c>
      <c r="BK3">
        <v>81597.5</v>
      </c>
      <c r="BL3">
        <v>118941.322</v>
      </c>
      <c r="BM3">
        <v>163981.24299999949</v>
      </c>
      <c r="BN3">
        <v>270486.4050000002</v>
      </c>
      <c r="BO3">
        <v>446888.37399999989</v>
      </c>
      <c r="BP3">
        <v>2814221.66</v>
      </c>
      <c r="BQ3">
        <v>1</v>
      </c>
      <c r="BR3">
        <v>1</v>
      </c>
      <c r="BS3">
        <v>1</v>
      </c>
      <c r="BT3">
        <v>1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 x14ac:dyDescent="0.35">
      <c r="A4">
        <v>341990</v>
      </c>
      <c r="B4" t="s">
        <v>259</v>
      </c>
      <c r="C4" t="s">
        <v>260</v>
      </c>
      <c r="D4" s="1">
        <v>45787</v>
      </c>
      <c r="E4">
        <v>53850</v>
      </c>
      <c r="F4">
        <v>154</v>
      </c>
      <c r="G4" t="s">
        <v>235</v>
      </c>
      <c r="H4" t="s">
        <v>262</v>
      </c>
      <c r="I4" t="s">
        <v>48</v>
      </c>
      <c r="L4">
        <v>1543300004860</v>
      </c>
      <c r="M4">
        <v>20250409</v>
      </c>
      <c r="N4" t="s">
        <v>263</v>
      </c>
      <c r="Q4" t="s">
        <v>55</v>
      </c>
      <c r="R4">
        <v>33250</v>
      </c>
      <c r="T4">
        <v>3715569</v>
      </c>
      <c r="U4">
        <v>5424970654</v>
      </c>
      <c r="V4" t="s">
        <v>265</v>
      </c>
      <c r="W4" t="s">
        <v>53</v>
      </c>
      <c r="X4" t="s">
        <v>266</v>
      </c>
      <c r="Y4" t="s">
        <v>49</v>
      </c>
      <c r="Z4">
        <v>741</v>
      </c>
      <c r="AH4">
        <v>0</v>
      </c>
      <c r="AI4">
        <v>202504</v>
      </c>
      <c r="AJ4" t="s">
        <v>61</v>
      </c>
      <c r="AK4">
        <v>0</v>
      </c>
      <c r="AL4">
        <v>1</v>
      </c>
      <c r="AM4">
        <v>3715569</v>
      </c>
      <c r="AN4">
        <v>1</v>
      </c>
      <c r="AO4">
        <v>0</v>
      </c>
      <c r="AP4">
        <v>999</v>
      </c>
      <c r="AQ4">
        <v>430</v>
      </c>
      <c r="AR4">
        <v>430999</v>
      </c>
      <c r="AT4">
        <v>1</v>
      </c>
      <c r="AU4" t="s">
        <v>54</v>
      </c>
      <c r="AV4">
        <v>25045.55</v>
      </c>
      <c r="AW4">
        <v>26010.331999999999</v>
      </c>
      <c r="AX4">
        <v>27041.058000000001</v>
      </c>
      <c r="AY4">
        <v>28420.708999999999</v>
      </c>
      <c r="AZ4">
        <v>29962.351999999999</v>
      </c>
      <c r="BA4">
        <v>31788.16</v>
      </c>
      <c r="BB4">
        <v>34027.07</v>
      </c>
      <c r="BC4">
        <v>36641.5795</v>
      </c>
      <c r="BD4">
        <v>39840.642</v>
      </c>
      <c r="BE4">
        <v>40000</v>
      </c>
      <c r="BF4">
        <v>41343.269999999997</v>
      </c>
      <c r="BG4">
        <v>44702.324999999997</v>
      </c>
      <c r="BH4">
        <v>49392.076000000001</v>
      </c>
      <c r="BI4">
        <v>58375.907500000008</v>
      </c>
      <c r="BJ4">
        <v>70239.999999999985</v>
      </c>
      <c r="BK4">
        <v>81597.5</v>
      </c>
      <c r="BL4">
        <v>118941.322</v>
      </c>
      <c r="BM4">
        <v>163981.24299999949</v>
      </c>
      <c r="BN4">
        <v>270486.4050000002</v>
      </c>
      <c r="BO4">
        <v>446888.37399999989</v>
      </c>
      <c r="BP4">
        <v>2814221.66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 x14ac:dyDescent="0.35">
      <c r="A5">
        <v>341985</v>
      </c>
      <c r="B5" t="s">
        <v>259</v>
      </c>
      <c r="C5" t="s">
        <v>260</v>
      </c>
      <c r="D5" s="1">
        <v>45787</v>
      </c>
      <c r="E5">
        <v>53850</v>
      </c>
      <c r="F5">
        <v>169</v>
      </c>
      <c r="G5" t="s">
        <v>166</v>
      </c>
      <c r="H5" t="s">
        <v>262</v>
      </c>
      <c r="I5" t="s">
        <v>48</v>
      </c>
      <c r="L5">
        <v>1693302222377</v>
      </c>
      <c r="M5">
        <v>20250402</v>
      </c>
      <c r="N5" t="s">
        <v>263</v>
      </c>
      <c r="Q5" t="s">
        <v>55</v>
      </c>
      <c r="R5">
        <v>147538.19</v>
      </c>
      <c r="T5">
        <v>4036414</v>
      </c>
      <c r="U5">
        <v>296820723</v>
      </c>
      <c r="V5" t="s">
        <v>267</v>
      </c>
      <c r="W5" t="s">
        <v>53</v>
      </c>
      <c r="X5" t="s">
        <v>231</v>
      </c>
      <c r="Y5" t="s">
        <v>49</v>
      </c>
      <c r="Z5">
        <v>1920</v>
      </c>
      <c r="AH5">
        <v>0</v>
      </c>
      <c r="AI5">
        <v>202504</v>
      </c>
      <c r="AJ5" t="s">
        <v>61</v>
      </c>
      <c r="AK5">
        <v>0</v>
      </c>
      <c r="AL5">
        <v>1</v>
      </c>
      <c r="AM5">
        <v>4036414</v>
      </c>
      <c r="AN5">
        <v>1</v>
      </c>
      <c r="AO5">
        <v>0</v>
      </c>
      <c r="AP5">
        <v>999</v>
      </c>
      <c r="AQ5">
        <v>430</v>
      </c>
      <c r="AR5">
        <v>430999</v>
      </c>
      <c r="AT5">
        <v>1</v>
      </c>
      <c r="AU5" t="s">
        <v>54</v>
      </c>
      <c r="AV5">
        <v>25045.55</v>
      </c>
      <c r="AW5">
        <v>26010.331999999999</v>
      </c>
      <c r="AX5">
        <v>27041.058000000001</v>
      </c>
      <c r="AY5">
        <v>28420.708999999999</v>
      </c>
      <c r="AZ5">
        <v>29962.351999999999</v>
      </c>
      <c r="BA5">
        <v>31788.16</v>
      </c>
      <c r="BB5">
        <v>34027.07</v>
      </c>
      <c r="BC5">
        <v>36641.5795</v>
      </c>
      <c r="BD5">
        <v>39840.642</v>
      </c>
      <c r="BE5">
        <v>40000</v>
      </c>
      <c r="BF5">
        <v>41343.269999999997</v>
      </c>
      <c r="BG5">
        <v>44702.324999999997</v>
      </c>
      <c r="BH5">
        <v>49392.076000000001</v>
      </c>
      <c r="BI5">
        <v>58375.907500000008</v>
      </c>
      <c r="BJ5">
        <v>70239.999999999985</v>
      </c>
      <c r="BK5">
        <v>81597.5</v>
      </c>
      <c r="BL5">
        <v>118941.322</v>
      </c>
      <c r="BM5">
        <v>163981.24299999949</v>
      </c>
      <c r="BN5">
        <v>270486.4050000002</v>
      </c>
      <c r="BO5">
        <v>446888.37399999989</v>
      </c>
      <c r="BP5">
        <v>2814221.66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0</v>
      </c>
      <c r="CI5">
        <v>0</v>
      </c>
      <c r="CJ5">
        <v>0</v>
      </c>
      <c r="CK5">
        <v>0</v>
      </c>
    </row>
    <row r="6" spans="1:89" x14ac:dyDescent="0.35">
      <c r="A6">
        <v>341984</v>
      </c>
      <c r="B6" t="s">
        <v>259</v>
      </c>
      <c r="C6" t="s">
        <v>260</v>
      </c>
      <c r="D6" s="1">
        <v>45787</v>
      </c>
      <c r="E6">
        <v>53850</v>
      </c>
      <c r="F6">
        <v>105</v>
      </c>
      <c r="G6" t="s">
        <v>47</v>
      </c>
      <c r="H6" t="s">
        <v>262</v>
      </c>
      <c r="I6" t="s">
        <v>48</v>
      </c>
      <c r="L6">
        <v>1053306287103</v>
      </c>
      <c r="M6">
        <v>20250423</v>
      </c>
      <c r="N6" t="s">
        <v>263</v>
      </c>
      <c r="Q6" t="s">
        <v>55</v>
      </c>
      <c r="R6">
        <v>1572927.57</v>
      </c>
      <c r="T6">
        <v>4263360</v>
      </c>
      <c r="U6">
        <v>5982300724</v>
      </c>
      <c r="V6" t="s">
        <v>268</v>
      </c>
      <c r="W6" t="s">
        <v>53</v>
      </c>
      <c r="X6" t="s">
        <v>269</v>
      </c>
      <c r="Y6" t="s">
        <v>49</v>
      </c>
      <c r="Z6">
        <v>1058</v>
      </c>
      <c r="AH6">
        <v>0</v>
      </c>
      <c r="AI6">
        <v>202504</v>
      </c>
      <c r="AJ6" t="s">
        <v>61</v>
      </c>
      <c r="AK6">
        <v>0</v>
      </c>
      <c r="AL6">
        <v>1</v>
      </c>
      <c r="AO6">
        <v>0</v>
      </c>
      <c r="AP6">
        <v>999</v>
      </c>
      <c r="AQ6">
        <v>430</v>
      </c>
      <c r="AR6">
        <v>430999</v>
      </c>
      <c r="AT6">
        <v>1</v>
      </c>
      <c r="AU6" t="s">
        <v>54</v>
      </c>
      <c r="AV6">
        <v>25045.55</v>
      </c>
      <c r="AW6">
        <v>26010.331999999999</v>
      </c>
      <c r="AX6">
        <v>27041.058000000001</v>
      </c>
      <c r="AY6">
        <v>28420.708999999999</v>
      </c>
      <c r="AZ6">
        <v>29962.351999999999</v>
      </c>
      <c r="BA6">
        <v>31788.16</v>
      </c>
      <c r="BB6">
        <v>34027.07</v>
      </c>
      <c r="BC6">
        <v>36641.5795</v>
      </c>
      <c r="BD6">
        <v>39840.642</v>
      </c>
      <c r="BE6">
        <v>40000</v>
      </c>
      <c r="BF6">
        <v>41343.269999999997</v>
      </c>
      <c r="BG6">
        <v>44702.324999999997</v>
      </c>
      <c r="BH6">
        <v>49392.076000000001</v>
      </c>
      <c r="BI6">
        <v>58375.907500000008</v>
      </c>
      <c r="BJ6">
        <v>70239.999999999985</v>
      </c>
      <c r="BK6">
        <v>81597.5</v>
      </c>
      <c r="BL6">
        <v>118941.322</v>
      </c>
      <c r="BM6">
        <v>163981.24299999949</v>
      </c>
      <c r="BN6">
        <v>270486.4050000002</v>
      </c>
      <c r="BO6">
        <v>446888.37399999989</v>
      </c>
      <c r="BP6">
        <v>2814221.66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0</v>
      </c>
    </row>
    <row r="7" spans="1:89" x14ac:dyDescent="0.35">
      <c r="A7">
        <v>341982</v>
      </c>
      <c r="B7" t="s">
        <v>259</v>
      </c>
      <c r="C7" t="s">
        <v>260</v>
      </c>
      <c r="D7" s="1">
        <v>45787</v>
      </c>
      <c r="E7">
        <v>53850</v>
      </c>
      <c r="F7">
        <v>153</v>
      </c>
      <c r="G7" t="s">
        <v>81</v>
      </c>
      <c r="H7" t="s">
        <v>262</v>
      </c>
      <c r="I7" t="s">
        <v>48</v>
      </c>
      <c r="L7">
        <v>1533300663959</v>
      </c>
      <c r="M7">
        <v>20250422</v>
      </c>
      <c r="N7" t="s">
        <v>263</v>
      </c>
      <c r="Q7" t="s">
        <v>55</v>
      </c>
      <c r="R7">
        <v>26730</v>
      </c>
      <c r="T7">
        <v>3721097</v>
      </c>
      <c r="U7">
        <v>10391641213</v>
      </c>
      <c r="V7" t="s">
        <v>270</v>
      </c>
      <c r="W7" t="s">
        <v>53</v>
      </c>
      <c r="X7" t="s">
        <v>83</v>
      </c>
      <c r="Y7" t="s">
        <v>49</v>
      </c>
      <c r="Z7">
        <v>1237</v>
      </c>
      <c r="AH7">
        <v>0</v>
      </c>
      <c r="AI7">
        <v>202504</v>
      </c>
      <c r="AJ7" t="s">
        <v>61</v>
      </c>
      <c r="AK7">
        <v>0</v>
      </c>
      <c r="AL7">
        <v>1</v>
      </c>
      <c r="AO7">
        <v>0</v>
      </c>
      <c r="AP7">
        <v>462</v>
      </c>
      <c r="AQ7">
        <v>430</v>
      </c>
      <c r="AR7">
        <v>430462</v>
      </c>
      <c r="AS7" t="s">
        <v>58</v>
      </c>
      <c r="AU7" t="s">
        <v>58</v>
      </c>
      <c r="AV7">
        <v>25045.55</v>
      </c>
      <c r="AW7">
        <v>26010.331999999999</v>
      </c>
      <c r="AX7">
        <v>27041.058000000001</v>
      </c>
      <c r="AY7">
        <v>28420.708999999999</v>
      </c>
      <c r="AZ7">
        <v>29962.351999999999</v>
      </c>
      <c r="BA7">
        <v>31788.16</v>
      </c>
      <c r="BB7">
        <v>34027.07</v>
      </c>
      <c r="BC7">
        <v>36641.5795</v>
      </c>
      <c r="BD7">
        <v>39840.642</v>
      </c>
      <c r="BE7">
        <v>40000</v>
      </c>
      <c r="BF7">
        <v>41343.269999999997</v>
      </c>
      <c r="BG7">
        <v>44702.324999999997</v>
      </c>
      <c r="BH7">
        <v>49392.076000000001</v>
      </c>
      <c r="BI7">
        <v>58375.907500000008</v>
      </c>
      <c r="BJ7">
        <v>70239.999999999985</v>
      </c>
      <c r="BK7">
        <v>81597.5</v>
      </c>
      <c r="BL7">
        <v>118941.322</v>
      </c>
      <c r="BM7">
        <v>163981.24299999949</v>
      </c>
      <c r="BN7">
        <v>270486.4050000002</v>
      </c>
      <c r="BO7">
        <v>446888.37399999989</v>
      </c>
      <c r="BP7">
        <v>2814221.66</v>
      </c>
      <c r="BQ7">
        <v>1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 x14ac:dyDescent="0.35">
      <c r="A8">
        <v>341980</v>
      </c>
      <c r="B8" t="s">
        <v>259</v>
      </c>
      <c r="C8" t="s">
        <v>260</v>
      </c>
      <c r="D8" s="1">
        <v>45787</v>
      </c>
      <c r="E8">
        <v>53850</v>
      </c>
      <c r="F8">
        <v>192</v>
      </c>
      <c r="G8" t="s">
        <v>75</v>
      </c>
      <c r="H8" t="s">
        <v>262</v>
      </c>
      <c r="I8" t="s">
        <v>48</v>
      </c>
      <c r="L8">
        <v>1923300183163</v>
      </c>
      <c r="M8">
        <v>20250422</v>
      </c>
      <c r="N8" t="s">
        <v>263</v>
      </c>
      <c r="Q8" t="s">
        <v>55</v>
      </c>
      <c r="R8">
        <v>28000</v>
      </c>
      <c r="T8">
        <v>4695944</v>
      </c>
      <c r="U8" t="s">
        <v>271</v>
      </c>
      <c r="V8" t="s">
        <v>272</v>
      </c>
      <c r="W8" t="s">
        <v>64</v>
      </c>
      <c r="X8" t="s">
        <v>94</v>
      </c>
      <c r="Y8" t="s">
        <v>49</v>
      </c>
      <c r="Z8">
        <v>481</v>
      </c>
      <c r="AH8">
        <v>0</v>
      </c>
      <c r="AI8">
        <v>202504</v>
      </c>
      <c r="AJ8" t="s">
        <v>61</v>
      </c>
      <c r="AK8">
        <v>0</v>
      </c>
      <c r="AL8">
        <v>1</v>
      </c>
      <c r="AM8">
        <v>4695944</v>
      </c>
      <c r="AN8">
        <v>1</v>
      </c>
      <c r="AO8">
        <v>0</v>
      </c>
      <c r="AP8">
        <v>999</v>
      </c>
      <c r="AQ8">
        <v>615</v>
      </c>
      <c r="AR8">
        <v>615999</v>
      </c>
      <c r="AT8">
        <v>1</v>
      </c>
      <c r="AU8" t="s">
        <v>58</v>
      </c>
      <c r="AV8">
        <v>25045.55</v>
      </c>
      <c r="AW8">
        <v>26010.331999999999</v>
      </c>
      <c r="AX8">
        <v>27041.058000000001</v>
      </c>
      <c r="AY8">
        <v>28420.708999999999</v>
      </c>
      <c r="AZ8">
        <v>29962.351999999999</v>
      </c>
      <c r="BA8">
        <v>31788.16</v>
      </c>
      <c r="BB8">
        <v>34027.07</v>
      </c>
      <c r="BC8">
        <v>36641.5795</v>
      </c>
      <c r="BD8">
        <v>39840.642</v>
      </c>
      <c r="BE8">
        <v>40000</v>
      </c>
      <c r="BF8">
        <v>41343.269999999997</v>
      </c>
      <c r="BG8">
        <v>44702.324999999997</v>
      </c>
      <c r="BH8">
        <v>49392.076000000001</v>
      </c>
      <c r="BI8">
        <v>58375.907500000008</v>
      </c>
      <c r="BJ8">
        <v>70239.999999999985</v>
      </c>
      <c r="BK8">
        <v>81597.5</v>
      </c>
      <c r="BL8">
        <v>118941.322</v>
      </c>
      <c r="BM8">
        <v>163981.24299999949</v>
      </c>
      <c r="BN8">
        <v>270486.4050000002</v>
      </c>
      <c r="BO8">
        <v>446888.37399999989</v>
      </c>
      <c r="BP8">
        <v>2814221.66</v>
      </c>
      <c r="BQ8">
        <v>1</v>
      </c>
      <c r="BR8">
        <v>1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 x14ac:dyDescent="0.35">
      <c r="A9">
        <v>341976</v>
      </c>
      <c r="B9" t="s">
        <v>259</v>
      </c>
      <c r="C9" t="s">
        <v>260</v>
      </c>
      <c r="D9" s="1">
        <v>45787</v>
      </c>
      <c r="E9">
        <v>53850</v>
      </c>
      <c r="F9">
        <v>153</v>
      </c>
      <c r="G9" t="s">
        <v>81</v>
      </c>
      <c r="H9" t="s">
        <v>262</v>
      </c>
      <c r="I9" t="s">
        <v>48</v>
      </c>
      <c r="L9">
        <v>1533300663959</v>
      </c>
      <c r="M9">
        <v>20250414</v>
      </c>
      <c r="N9" t="s">
        <v>263</v>
      </c>
      <c r="Q9" t="s">
        <v>55</v>
      </c>
      <c r="R9">
        <v>30891.3</v>
      </c>
      <c r="T9">
        <v>3721097</v>
      </c>
      <c r="U9">
        <v>10391641213</v>
      </c>
      <c r="V9" t="s">
        <v>270</v>
      </c>
      <c r="W9" t="s">
        <v>53</v>
      </c>
      <c r="X9" t="s">
        <v>83</v>
      </c>
      <c r="Y9" t="s">
        <v>49</v>
      </c>
      <c r="Z9">
        <v>1237</v>
      </c>
      <c r="AH9">
        <v>0</v>
      </c>
      <c r="AI9">
        <v>202504</v>
      </c>
      <c r="AJ9" t="s">
        <v>61</v>
      </c>
      <c r="AK9">
        <v>0</v>
      </c>
      <c r="AL9">
        <v>1</v>
      </c>
      <c r="AO9">
        <v>0</v>
      </c>
      <c r="AP9">
        <v>462</v>
      </c>
      <c r="AQ9">
        <v>430</v>
      </c>
      <c r="AR9">
        <v>430462</v>
      </c>
      <c r="AS9" t="s">
        <v>58</v>
      </c>
      <c r="AU9" t="s">
        <v>58</v>
      </c>
      <c r="AV9">
        <v>25045.55</v>
      </c>
      <c r="AW9">
        <v>26010.331999999999</v>
      </c>
      <c r="AX9">
        <v>27041.058000000001</v>
      </c>
      <c r="AY9">
        <v>28420.708999999999</v>
      </c>
      <c r="AZ9">
        <v>29962.351999999999</v>
      </c>
      <c r="BA9">
        <v>31788.16</v>
      </c>
      <c r="BB9">
        <v>34027.07</v>
      </c>
      <c r="BC9">
        <v>36641.5795</v>
      </c>
      <c r="BD9">
        <v>39840.642</v>
      </c>
      <c r="BE9">
        <v>40000</v>
      </c>
      <c r="BF9">
        <v>41343.269999999997</v>
      </c>
      <c r="BG9">
        <v>44702.324999999997</v>
      </c>
      <c r="BH9">
        <v>49392.076000000001</v>
      </c>
      <c r="BI9">
        <v>58375.907500000008</v>
      </c>
      <c r="BJ9">
        <v>70239.999999999985</v>
      </c>
      <c r="BK9">
        <v>81597.5</v>
      </c>
      <c r="BL9">
        <v>118941.322</v>
      </c>
      <c r="BM9">
        <v>163981.24299999949</v>
      </c>
      <c r="BN9">
        <v>270486.4050000002</v>
      </c>
      <c r="BO9">
        <v>446888.37399999989</v>
      </c>
      <c r="BP9">
        <v>2814221.66</v>
      </c>
      <c r="BQ9">
        <v>1</v>
      </c>
      <c r="BR9">
        <v>1</v>
      </c>
      <c r="BS9">
        <v>1</v>
      </c>
      <c r="BT9">
        <v>1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 x14ac:dyDescent="0.35">
      <c r="A10">
        <v>341974</v>
      </c>
      <c r="B10" t="s">
        <v>259</v>
      </c>
      <c r="C10" t="s">
        <v>260</v>
      </c>
      <c r="D10" s="1">
        <v>45787</v>
      </c>
      <c r="E10">
        <v>53850</v>
      </c>
      <c r="F10">
        <v>264</v>
      </c>
      <c r="G10" t="s">
        <v>273</v>
      </c>
      <c r="H10" t="s">
        <v>262</v>
      </c>
      <c r="I10" t="s">
        <v>48</v>
      </c>
      <c r="L10">
        <v>2643300001866</v>
      </c>
      <c r="M10">
        <v>20250415</v>
      </c>
      <c r="N10" t="s">
        <v>263</v>
      </c>
      <c r="Q10" t="s">
        <v>55</v>
      </c>
      <c r="R10">
        <v>100000</v>
      </c>
      <c r="T10">
        <v>1700310</v>
      </c>
      <c r="U10" t="s">
        <v>274</v>
      </c>
      <c r="V10" t="s">
        <v>275</v>
      </c>
      <c r="W10" t="s">
        <v>64</v>
      </c>
      <c r="X10" t="s">
        <v>276</v>
      </c>
      <c r="Y10" t="s">
        <v>49</v>
      </c>
      <c r="Z10">
        <v>1851</v>
      </c>
      <c r="AH10">
        <v>0</v>
      </c>
      <c r="AI10">
        <v>202504</v>
      </c>
      <c r="AJ10" t="s">
        <v>61</v>
      </c>
      <c r="AK10">
        <v>0</v>
      </c>
      <c r="AL10">
        <v>1</v>
      </c>
      <c r="AO10">
        <v>0</v>
      </c>
      <c r="AP10">
        <v>999</v>
      </c>
      <c r="AQ10">
        <v>615</v>
      </c>
      <c r="AR10">
        <v>615999</v>
      </c>
      <c r="AT10">
        <v>1</v>
      </c>
      <c r="AU10" t="s">
        <v>58</v>
      </c>
      <c r="AV10">
        <v>25045.55</v>
      </c>
      <c r="AW10">
        <v>26010.331999999999</v>
      </c>
      <c r="AX10">
        <v>27041.058000000001</v>
      </c>
      <c r="AY10">
        <v>28420.708999999999</v>
      </c>
      <c r="AZ10">
        <v>29962.351999999999</v>
      </c>
      <c r="BA10">
        <v>31788.16</v>
      </c>
      <c r="BB10">
        <v>34027.07</v>
      </c>
      <c r="BC10">
        <v>36641.5795</v>
      </c>
      <c r="BD10">
        <v>39840.642</v>
      </c>
      <c r="BE10">
        <v>40000</v>
      </c>
      <c r="BF10">
        <v>41343.269999999997</v>
      </c>
      <c r="BG10">
        <v>44702.324999999997</v>
      </c>
      <c r="BH10">
        <v>49392.076000000001</v>
      </c>
      <c r="BI10">
        <v>58375.907500000008</v>
      </c>
      <c r="BJ10">
        <v>70239.999999999985</v>
      </c>
      <c r="BK10">
        <v>81597.5</v>
      </c>
      <c r="BL10">
        <v>118941.322</v>
      </c>
      <c r="BM10">
        <v>163981.24299999949</v>
      </c>
      <c r="BN10">
        <v>270486.4050000002</v>
      </c>
      <c r="BO10">
        <v>446888.37399999989</v>
      </c>
      <c r="BP10">
        <v>2814221.66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 x14ac:dyDescent="0.35">
      <c r="A11">
        <v>341971</v>
      </c>
      <c r="B11" t="s">
        <v>259</v>
      </c>
      <c r="C11" t="s">
        <v>260</v>
      </c>
      <c r="D11" s="1">
        <v>45787</v>
      </c>
      <c r="E11">
        <v>53850</v>
      </c>
      <c r="F11">
        <v>125</v>
      </c>
      <c r="G11" t="s">
        <v>277</v>
      </c>
      <c r="H11" t="s">
        <v>262</v>
      </c>
      <c r="I11" t="s">
        <v>48</v>
      </c>
      <c r="L11">
        <v>1253309512895</v>
      </c>
      <c r="M11">
        <v>20250407</v>
      </c>
      <c r="N11" t="s">
        <v>263</v>
      </c>
      <c r="Q11" t="s">
        <v>55</v>
      </c>
      <c r="R11">
        <v>55652.61</v>
      </c>
      <c r="T11">
        <v>4795279</v>
      </c>
      <c r="U11">
        <v>1020090658</v>
      </c>
      <c r="V11" t="s">
        <v>278</v>
      </c>
      <c r="W11" t="s">
        <v>53</v>
      </c>
      <c r="X11" t="s">
        <v>237</v>
      </c>
      <c r="Y11" t="s">
        <v>49</v>
      </c>
      <c r="Z11">
        <v>982</v>
      </c>
      <c r="AH11">
        <v>0</v>
      </c>
      <c r="AI11">
        <v>202504</v>
      </c>
      <c r="AJ11" t="s">
        <v>51</v>
      </c>
      <c r="AK11">
        <v>0</v>
      </c>
      <c r="AL11">
        <v>1</v>
      </c>
      <c r="AO11">
        <v>0</v>
      </c>
      <c r="AP11">
        <v>999</v>
      </c>
      <c r="AQ11">
        <v>430</v>
      </c>
      <c r="AR11">
        <v>430999</v>
      </c>
      <c r="AT11">
        <v>1</v>
      </c>
      <c r="AU11" t="s">
        <v>54</v>
      </c>
      <c r="AV11">
        <v>25045.55</v>
      </c>
      <c r="AW11">
        <v>26010.331999999999</v>
      </c>
      <c r="AX11">
        <v>27041.058000000001</v>
      </c>
      <c r="AY11">
        <v>28420.708999999999</v>
      </c>
      <c r="AZ11">
        <v>29962.351999999999</v>
      </c>
      <c r="BA11">
        <v>31788.16</v>
      </c>
      <c r="BB11">
        <v>34027.07</v>
      </c>
      <c r="BC11">
        <v>36641.5795</v>
      </c>
      <c r="BD11">
        <v>39840.642</v>
      </c>
      <c r="BE11">
        <v>40000</v>
      </c>
      <c r="BF11">
        <v>41343.269999999997</v>
      </c>
      <c r="BG11">
        <v>44702.324999999997</v>
      </c>
      <c r="BH11">
        <v>49392.076000000001</v>
      </c>
      <c r="BI11">
        <v>58375.907500000008</v>
      </c>
      <c r="BJ11">
        <v>70239.999999999985</v>
      </c>
      <c r="BK11">
        <v>81597.5</v>
      </c>
      <c r="BL11">
        <v>118941.322</v>
      </c>
      <c r="BM11">
        <v>163981.24299999949</v>
      </c>
      <c r="BN11">
        <v>270486.4050000002</v>
      </c>
      <c r="BO11">
        <v>446888.37399999989</v>
      </c>
      <c r="BP11">
        <v>2814221.66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 x14ac:dyDescent="0.35">
      <c r="A12">
        <v>341961</v>
      </c>
      <c r="B12" t="s">
        <v>259</v>
      </c>
      <c r="C12" t="s">
        <v>260</v>
      </c>
      <c r="D12" s="1">
        <v>45787</v>
      </c>
      <c r="E12">
        <v>53850</v>
      </c>
      <c r="F12">
        <v>153</v>
      </c>
      <c r="G12" t="s">
        <v>81</v>
      </c>
      <c r="H12" t="s">
        <v>262</v>
      </c>
      <c r="I12" t="s">
        <v>48</v>
      </c>
      <c r="L12">
        <v>1533300663959</v>
      </c>
      <c r="M12">
        <v>20250422</v>
      </c>
      <c r="N12" t="s">
        <v>263</v>
      </c>
      <c r="Q12" t="s">
        <v>55</v>
      </c>
      <c r="R12">
        <v>28600.02</v>
      </c>
      <c r="T12">
        <v>3721097</v>
      </c>
      <c r="U12">
        <v>10391641213</v>
      </c>
      <c r="V12" t="s">
        <v>270</v>
      </c>
      <c r="W12" t="s">
        <v>53</v>
      </c>
      <c r="X12" t="s">
        <v>83</v>
      </c>
      <c r="Y12" t="s">
        <v>49</v>
      </c>
      <c r="Z12">
        <v>1237</v>
      </c>
      <c r="AH12">
        <v>0</v>
      </c>
      <c r="AI12">
        <v>202504</v>
      </c>
      <c r="AJ12" t="s">
        <v>61</v>
      </c>
      <c r="AK12">
        <v>0</v>
      </c>
      <c r="AL12">
        <v>1</v>
      </c>
      <c r="AO12">
        <v>0</v>
      </c>
      <c r="AP12">
        <v>462</v>
      </c>
      <c r="AQ12">
        <v>430</v>
      </c>
      <c r="AR12">
        <v>430462</v>
      </c>
      <c r="AS12" t="s">
        <v>58</v>
      </c>
      <c r="AU12" t="s">
        <v>58</v>
      </c>
      <c r="AV12">
        <v>25045.55</v>
      </c>
      <c r="AW12">
        <v>26010.331999999999</v>
      </c>
      <c r="AX12">
        <v>27041.058000000001</v>
      </c>
      <c r="AY12">
        <v>28420.708999999999</v>
      </c>
      <c r="AZ12">
        <v>29962.351999999999</v>
      </c>
      <c r="BA12">
        <v>31788.16</v>
      </c>
      <c r="BB12">
        <v>34027.07</v>
      </c>
      <c r="BC12">
        <v>36641.5795</v>
      </c>
      <c r="BD12">
        <v>39840.642</v>
      </c>
      <c r="BE12">
        <v>40000</v>
      </c>
      <c r="BF12">
        <v>41343.269999999997</v>
      </c>
      <c r="BG12">
        <v>44702.324999999997</v>
      </c>
      <c r="BH12">
        <v>49392.076000000001</v>
      </c>
      <c r="BI12">
        <v>58375.907500000008</v>
      </c>
      <c r="BJ12">
        <v>70239.999999999985</v>
      </c>
      <c r="BK12">
        <v>81597.5</v>
      </c>
      <c r="BL12">
        <v>118941.322</v>
      </c>
      <c r="BM12">
        <v>163981.24299999949</v>
      </c>
      <c r="BN12">
        <v>270486.4050000002</v>
      </c>
      <c r="BO12">
        <v>446888.37399999989</v>
      </c>
      <c r="BP12">
        <v>2814221.66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 x14ac:dyDescent="0.35">
      <c r="A13">
        <v>341957</v>
      </c>
      <c r="B13" t="s">
        <v>259</v>
      </c>
      <c r="C13" t="s">
        <v>260</v>
      </c>
      <c r="D13" s="1">
        <v>45787</v>
      </c>
      <c r="E13">
        <v>53850</v>
      </c>
      <c r="F13">
        <v>154</v>
      </c>
      <c r="G13" t="s">
        <v>235</v>
      </c>
      <c r="H13" t="s">
        <v>262</v>
      </c>
      <c r="I13" t="s">
        <v>48</v>
      </c>
      <c r="L13">
        <v>1543300004860</v>
      </c>
      <c r="M13">
        <v>20250402</v>
      </c>
      <c r="N13" t="s">
        <v>263</v>
      </c>
      <c r="Q13" t="s">
        <v>55</v>
      </c>
      <c r="R13">
        <v>55660</v>
      </c>
      <c r="T13">
        <v>3715569</v>
      </c>
      <c r="U13">
        <v>5424970654</v>
      </c>
      <c r="V13" t="s">
        <v>265</v>
      </c>
      <c r="W13" t="s">
        <v>53</v>
      </c>
      <c r="X13" t="s">
        <v>266</v>
      </c>
      <c r="Y13" t="s">
        <v>49</v>
      </c>
      <c r="Z13">
        <v>741</v>
      </c>
      <c r="AH13">
        <v>0</v>
      </c>
      <c r="AI13">
        <v>202504</v>
      </c>
      <c r="AJ13" t="s">
        <v>61</v>
      </c>
      <c r="AK13">
        <v>0</v>
      </c>
      <c r="AL13">
        <v>1</v>
      </c>
      <c r="AM13">
        <v>3715569</v>
      </c>
      <c r="AN13">
        <v>1</v>
      </c>
      <c r="AO13">
        <v>0</v>
      </c>
      <c r="AP13">
        <v>999</v>
      </c>
      <c r="AQ13">
        <v>430</v>
      </c>
      <c r="AR13">
        <v>430999</v>
      </c>
      <c r="AT13">
        <v>1</v>
      </c>
      <c r="AU13" t="s">
        <v>54</v>
      </c>
      <c r="AV13">
        <v>25045.55</v>
      </c>
      <c r="AW13">
        <v>26010.331999999999</v>
      </c>
      <c r="AX13">
        <v>27041.058000000001</v>
      </c>
      <c r="AY13">
        <v>28420.708999999999</v>
      </c>
      <c r="AZ13">
        <v>29962.351999999999</v>
      </c>
      <c r="BA13">
        <v>31788.16</v>
      </c>
      <c r="BB13">
        <v>34027.07</v>
      </c>
      <c r="BC13">
        <v>36641.5795</v>
      </c>
      <c r="BD13">
        <v>39840.642</v>
      </c>
      <c r="BE13">
        <v>40000</v>
      </c>
      <c r="BF13">
        <v>41343.269999999997</v>
      </c>
      <c r="BG13">
        <v>44702.324999999997</v>
      </c>
      <c r="BH13">
        <v>49392.076000000001</v>
      </c>
      <c r="BI13">
        <v>58375.907500000008</v>
      </c>
      <c r="BJ13">
        <v>70239.999999999985</v>
      </c>
      <c r="BK13">
        <v>81597.5</v>
      </c>
      <c r="BL13">
        <v>118941.322</v>
      </c>
      <c r="BM13">
        <v>163981.24299999949</v>
      </c>
      <c r="BN13">
        <v>270486.4050000002</v>
      </c>
      <c r="BO13">
        <v>446888.37399999989</v>
      </c>
      <c r="BP13">
        <v>2814221.66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 x14ac:dyDescent="0.35">
      <c r="A14">
        <v>341946</v>
      </c>
      <c r="B14" t="s">
        <v>259</v>
      </c>
      <c r="C14" t="s">
        <v>260</v>
      </c>
      <c r="D14" s="1">
        <v>45787</v>
      </c>
      <c r="E14">
        <v>53850</v>
      </c>
      <c r="F14">
        <v>153</v>
      </c>
      <c r="G14" t="s">
        <v>81</v>
      </c>
      <c r="H14" t="s">
        <v>262</v>
      </c>
      <c r="I14" t="s">
        <v>48</v>
      </c>
      <c r="L14">
        <v>1533300663959</v>
      </c>
      <c r="M14">
        <v>20250414</v>
      </c>
      <c r="N14" t="s">
        <v>263</v>
      </c>
      <c r="Q14" t="s">
        <v>55</v>
      </c>
      <c r="R14">
        <v>25045.55</v>
      </c>
      <c r="T14">
        <v>3721097</v>
      </c>
      <c r="U14">
        <v>10391641213</v>
      </c>
      <c r="V14" t="s">
        <v>270</v>
      </c>
      <c r="W14" t="s">
        <v>53</v>
      </c>
      <c r="X14" t="s">
        <v>83</v>
      </c>
      <c r="Y14" t="s">
        <v>49</v>
      </c>
      <c r="Z14">
        <v>1237</v>
      </c>
      <c r="AH14">
        <v>0</v>
      </c>
      <c r="AI14">
        <v>202504</v>
      </c>
      <c r="AJ14" t="s">
        <v>61</v>
      </c>
      <c r="AK14">
        <v>0</v>
      </c>
      <c r="AL14">
        <v>1</v>
      </c>
      <c r="AO14">
        <v>0</v>
      </c>
      <c r="AP14">
        <v>462</v>
      </c>
      <c r="AQ14">
        <v>430</v>
      </c>
      <c r="AR14">
        <v>430462</v>
      </c>
      <c r="AS14" t="s">
        <v>58</v>
      </c>
      <c r="AU14" t="s">
        <v>58</v>
      </c>
      <c r="AV14">
        <v>25045.55</v>
      </c>
      <c r="AW14">
        <v>26010.331999999999</v>
      </c>
      <c r="AX14">
        <v>27041.058000000001</v>
      </c>
      <c r="AY14">
        <v>28420.708999999999</v>
      </c>
      <c r="AZ14">
        <v>29962.351999999999</v>
      </c>
      <c r="BA14">
        <v>31788.16</v>
      </c>
      <c r="BB14">
        <v>34027.07</v>
      </c>
      <c r="BC14">
        <v>36641.5795</v>
      </c>
      <c r="BD14">
        <v>39840.642</v>
      </c>
      <c r="BE14">
        <v>40000</v>
      </c>
      <c r="BF14">
        <v>41343.269999999997</v>
      </c>
      <c r="BG14">
        <v>44702.324999999997</v>
      </c>
      <c r="BH14">
        <v>49392.076000000001</v>
      </c>
      <c r="BI14">
        <v>58375.907500000008</v>
      </c>
      <c r="BJ14">
        <v>70239.999999999985</v>
      </c>
      <c r="BK14">
        <v>81597.5</v>
      </c>
      <c r="BL14">
        <v>118941.322</v>
      </c>
      <c r="BM14">
        <v>163981.24299999949</v>
      </c>
      <c r="BN14">
        <v>270486.4050000002</v>
      </c>
      <c r="BO14">
        <v>446888.37399999989</v>
      </c>
      <c r="BP14">
        <v>2814221.66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 x14ac:dyDescent="0.35">
      <c r="A15">
        <v>341945</v>
      </c>
      <c r="B15" t="s">
        <v>259</v>
      </c>
      <c r="C15" t="s">
        <v>260</v>
      </c>
      <c r="D15" s="1">
        <v>45787</v>
      </c>
      <c r="E15">
        <v>53850</v>
      </c>
      <c r="F15">
        <v>148</v>
      </c>
      <c r="G15" t="s">
        <v>90</v>
      </c>
      <c r="H15" t="s">
        <v>262</v>
      </c>
      <c r="I15" t="s">
        <v>48</v>
      </c>
      <c r="L15">
        <v>1483300004308</v>
      </c>
      <c r="M15">
        <v>20250401</v>
      </c>
      <c r="N15" t="s">
        <v>263</v>
      </c>
      <c r="Q15" t="s">
        <v>55</v>
      </c>
      <c r="R15">
        <v>41685</v>
      </c>
      <c r="T15">
        <v>4898674</v>
      </c>
      <c r="U15">
        <v>2936580642</v>
      </c>
      <c r="V15" t="s">
        <v>230</v>
      </c>
      <c r="W15" t="s">
        <v>53</v>
      </c>
      <c r="X15" t="s">
        <v>231</v>
      </c>
      <c r="Y15" t="s">
        <v>49</v>
      </c>
      <c r="Z15">
        <v>1063</v>
      </c>
      <c r="AH15">
        <v>0</v>
      </c>
      <c r="AI15">
        <v>202504</v>
      </c>
      <c r="AJ15" t="s">
        <v>61</v>
      </c>
      <c r="AK15">
        <v>0</v>
      </c>
      <c r="AL15">
        <v>1</v>
      </c>
      <c r="AO15">
        <v>0</v>
      </c>
      <c r="AP15">
        <v>999</v>
      </c>
      <c r="AQ15">
        <v>430</v>
      </c>
      <c r="AR15">
        <v>430999</v>
      </c>
      <c r="AT15">
        <v>1</v>
      </c>
      <c r="AU15" t="s">
        <v>54</v>
      </c>
      <c r="AV15">
        <v>25045.55</v>
      </c>
      <c r="AW15">
        <v>26010.331999999999</v>
      </c>
      <c r="AX15">
        <v>27041.058000000001</v>
      </c>
      <c r="AY15">
        <v>28420.708999999999</v>
      </c>
      <c r="AZ15">
        <v>29962.351999999999</v>
      </c>
      <c r="BA15">
        <v>31788.16</v>
      </c>
      <c r="BB15">
        <v>34027.07</v>
      </c>
      <c r="BC15">
        <v>36641.5795</v>
      </c>
      <c r="BD15">
        <v>39840.642</v>
      </c>
      <c r="BE15">
        <v>40000</v>
      </c>
      <c r="BF15">
        <v>41343.269999999997</v>
      </c>
      <c r="BG15">
        <v>44702.324999999997</v>
      </c>
      <c r="BH15">
        <v>49392.076000000001</v>
      </c>
      <c r="BI15">
        <v>58375.907500000008</v>
      </c>
      <c r="BJ15">
        <v>70239.999999999985</v>
      </c>
      <c r="BK15">
        <v>81597.5</v>
      </c>
      <c r="BL15">
        <v>118941.322</v>
      </c>
      <c r="BM15">
        <v>163981.24299999949</v>
      </c>
      <c r="BN15">
        <v>270486.4050000002</v>
      </c>
      <c r="BO15">
        <v>446888.37399999989</v>
      </c>
      <c r="BP15">
        <v>2814221.66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 x14ac:dyDescent="0.35">
      <c r="A16">
        <v>341944</v>
      </c>
      <c r="B16" t="s">
        <v>259</v>
      </c>
      <c r="C16" t="s">
        <v>260</v>
      </c>
      <c r="D16" s="1">
        <v>45787</v>
      </c>
      <c r="E16">
        <v>53850</v>
      </c>
      <c r="F16">
        <v>103</v>
      </c>
      <c r="G16" t="s">
        <v>56</v>
      </c>
      <c r="H16" t="s">
        <v>262</v>
      </c>
      <c r="I16" t="s">
        <v>48</v>
      </c>
      <c r="L16">
        <v>1033306967935</v>
      </c>
      <c r="M16">
        <v>20250403</v>
      </c>
      <c r="N16" t="s">
        <v>279</v>
      </c>
      <c r="Q16" t="s">
        <v>55</v>
      </c>
      <c r="R16">
        <v>25126.83</v>
      </c>
      <c r="T16">
        <v>155052</v>
      </c>
      <c r="U16">
        <v>2563580725</v>
      </c>
      <c r="V16" t="s">
        <v>280</v>
      </c>
      <c r="W16" t="s">
        <v>53</v>
      </c>
      <c r="X16" t="s">
        <v>231</v>
      </c>
      <c r="Y16" t="s">
        <v>49</v>
      </c>
      <c r="Z16">
        <v>1926</v>
      </c>
      <c r="AH16">
        <v>0</v>
      </c>
      <c r="AI16">
        <v>202504</v>
      </c>
      <c r="AJ16" t="s">
        <v>61</v>
      </c>
      <c r="AK16">
        <v>0</v>
      </c>
      <c r="AL16">
        <v>1</v>
      </c>
      <c r="AM16">
        <v>155052</v>
      </c>
      <c r="AN16">
        <v>1</v>
      </c>
      <c r="AO16">
        <v>0</v>
      </c>
      <c r="AP16">
        <v>999</v>
      </c>
      <c r="AQ16">
        <v>430</v>
      </c>
      <c r="AR16">
        <v>430999</v>
      </c>
      <c r="AT16">
        <v>1</v>
      </c>
      <c r="AU16" t="s">
        <v>54</v>
      </c>
      <c r="AV16">
        <v>25045.55</v>
      </c>
      <c r="AW16">
        <v>26010.331999999999</v>
      </c>
      <c r="AX16">
        <v>27041.058000000001</v>
      </c>
      <c r="AY16">
        <v>28420.708999999999</v>
      </c>
      <c r="AZ16">
        <v>29962.351999999999</v>
      </c>
      <c r="BA16">
        <v>31788.16</v>
      </c>
      <c r="BB16">
        <v>34027.07</v>
      </c>
      <c r="BC16">
        <v>36641.5795</v>
      </c>
      <c r="BD16">
        <v>39840.642</v>
      </c>
      <c r="BE16">
        <v>40000</v>
      </c>
      <c r="BF16">
        <v>41343.269999999997</v>
      </c>
      <c r="BG16">
        <v>44702.324999999997</v>
      </c>
      <c r="BH16">
        <v>49392.076000000001</v>
      </c>
      <c r="BI16">
        <v>58375.907500000008</v>
      </c>
      <c r="BJ16">
        <v>70239.999999999985</v>
      </c>
      <c r="BK16">
        <v>81597.5</v>
      </c>
      <c r="BL16">
        <v>118941.322</v>
      </c>
      <c r="BM16">
        <v>163981.24299999949</v>
      </c>
      <c r="BN16">
        <v>270486.4050000002</v>
      </c>
      <c r="BO16">
        <v>446888.37399999989</v>
      </c>
      <c r="BP16">
        <v>2814221.66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 x14ac:dyDescent="0.35">
      <c r="A17">
        <v>341941</v>
      </c>
      <c r="B17" t="s">
        <v>259</v>
      </c>
      <c r="C17" t="s">
        <v>260</v>
      </c>
      <c r="D17" s="1">
        <v>45787</v>
      </c>
      <c r="E17">
        <v>53850</v>
      </c>
      <c r="F17">
        <v>125</v>
      </c>
      <c r="G17" t="s">
        <v>277</v>
      </c>
      <c r="H17" t="s">
        <v>262</v>
      </c>
      <c r="I17" t="s">
        <v>48</v>
      </c>
      <c r="L17">
        <v>1253309512895</v>
      </c>
      <c r="M17">
        <v>20250402</v>
      </c>
      <c r="N17" t="s">
        <v>263</v>
      </c>
      <c r="Q17" t="s">
        <v>55</v>
      </c>
      <c r="R17">
        <v>178429.19</v>
      </c>
      <c r="T17">
        <v>4795279</v>
      </c>
      <c r="U17">
        <v>1020090658</v>
      </c>
      <c r="V17" t="s">
        <v>278</v>
      </c>
      <c r="W17" t="s">
        <v>53</v>
      </c>
      <c r="X17" t="s">
        <v>237</v>
      </c>
      <c r="Y17" t="s">
        <v>49</v>
      </c>
      <c r="Z17">
        <v>982</v>
      </c>
      <c r="AH17">
        <v>0</v>
      </c>
      <c r="AI17">
        <v>202504</v>
      </c>
      <c r="AJ17" t="s">
        <v>51</v>
      </c>
      <c r="AK17">
        <v>0</v>
      </c>
      <c r="AL17">
        <v>1</v>
      </c>
      <c r="AO17">
        <v>0</v>
      </c>
      <c r="AP17">
        <v>999</v>
      </c>
      <c r="AQ17">
        <v>430</v>
      </c>
      <c r="AR17">
        <v>430999</v>
      </c>
      <c r="AT17">
        <v>1</v>
      </c>
      <c r="AU17" t="s">
        <v>54</v>
      </c>
      <c r="AV17">
        <v>25045.55</v>
      </c>
      <c r="AW17">
        <v>26010.331999999999</v>
      </c>
      <c r="AX17">
        <v>27041.058000000001</v>
      </c>
      <c r="AY17">
        <v>28420.708999999999</v>
      </c>
      <c r="AZ17">
        <v>29962.351999999999</v>
      </c>
      <c r="BA17">
        <v>31788.16</v>
      </c>
      <c r="BB17">
        <v>34027.07</v>
      </c>
      <c r="BC17">
        <v>36641.5795</v>
      </c>
      <c r="BD17">
        <v>39840.642</v>
      </c>
      <c r="BE17">
        <v>40000</v>
      </c>
      <c r="BF17">
        <v>41343.269999999997</v>
      </c>
      <c r="BG17">
        <v>44702.324999999997</v>
      </c>
      <c r="BH17">
        <v>49392.076000000001</v>
      </c>
      <c r="BI17">
        <v>58375.907500000008</v>
      </c>
      <c r="BJ17">
        <v>70239.999999999985</v>
      </c>
      <c r="BK17">
        <v>81597.5</v>
      </c>
      <c r="BL17">
        <v>118941.322</v>
      </c>
      <c r="BM17">
        <v>163981.24299999949</v>
      </c>
      <c r="BN17">
        <v>270486.4050000002</v>
      </c>
      <c r="BO17">
        <v>446888.37399999989</v>
      </c>
      <c r="BP17">
        <v>2814221.66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0</v>
      </c>
      <c r="CJ17">
        <v>0</v>
      </c>
      <c r="CK17">
        <v>0</v>
      </c>
    </row>
    <row r="18" spans="1:89" x14ac:dyDescent="0.35">
      <c r="A18">
        <v>341937</v>
      </c>
      <c r="B18" t="s">
        <v>259</v>
      </c>
      <c r="C18" t="s">
        <v>260</v>
      </c>
      <c r="D18" s="1">
        <v>45787</v>
      </c>
      <c r="E18">
        <v>53850</v>
      </c>
      <c r="F18">
        <v>122</v>
      </c>
      <c r="G18" t="s">
        <v>261</v>
      </c>
      <c r="H18" t="s">
        <v>262</v>
      </c>
      <c r="I18" t="s">
        <v>48</v>
      </c>
      <c r="L18">
        <v>1223300001682</v>
      </c>
      <c r="M18">
        <v>20250429</v>
      </c>
      <c r="N18" t="s">
        <v>263</v>
      </c>
      <c r="Q18" t="s">
        <v>55</v>
      </c>
      <c r="R18">
        <v>350419.46</v>
      </c>
      <c r="T18">
        <v>3711207</v>
      </c>
      <c r="U18">
        <v>8825020723</v>
      </c>
      <c r="V18" t="s">
        <v>264</v>
      </c>
      <c r="W18" t="s">
        <v>53</v>
      </c>
      <c r="X18" t="s">
        <v>57</v>
      </c>
      <c r="Y18" t="s">
        <v>49</v>
      </c>
      <c r="Z18">
        <v>1696</v>
      </c>
      <c r="AH18">
        <v>0</v>
      </c>
      <c r="AI18">
        <v>202504</v>
      </c>
      <c r="AJ18" t="s">
        <v>51</v>
      </c>
      <c r="AK18">
        <v>0</v>
      </c>
      <c r="AL18">
        <v>1</v>
      </c>
      <c r="AO18">
        <v>0</v>
      </c>
      <c r="AP18">
        <v>620</v>
      </c>
      <c r="AQ18">
        <v>430</v>
      </c>
      <c r="AR18">
        <v>430620</v>
      </c>
      <c r="AS18" t="s">
        <v>58</v>
      </c>
      <c r="AU18" t="s">
        <v>58</v>
      </c>
      <c r="AV18">
        <v>25045.55</v>
      </c>
      <c r="AW18">
        <v>26010.331999999999</v>
      </c>
      <c r="AX18">
        <v>27041.058000000001</v>
      </c>
      <c r="AY18">
        <v>28420.708999999999</v>
      </c>
      <c r="AZ18">
        <v>29962.351999999999</v>
      </c>
      <c r="BA18">
        <v>31788.16</v>
      </c>
      <c r="BB18">
        <v>34027.07</v>
      </c>
      <c r="BC18">
        <v>36641.5795</v>
      </c>
      <c r="BD18">
        <v>39840.642</v>
      </c>
      <c r="BE18">
        <v>40000</v>
      </c>
      <c r="BF18">
        <v>41343.269999999997</v>
      </c>
      <c r="BG18">
        <v>44702.324999999997</v>
      </c>
      <c r="BH18">
        <v>49392.076000000001</v>
      </c>
      <c r="BI18">
        <v>58375.907500000008</v>
      </c>
      <c r="BJ18">
        <v>70239.999999999985</v>
      </c>
      <c r="BK18">
        <v>81597.5</v>
      </c>
      <c r="BL18">
        <v>118941.322</v>
      </c>
      <c r="BM18">
        <v>163981.24299999949</v>
      </c>
      <c r="BN18">
        <v>270486.4050000002</v>
      </c>
      <c r="BO18">
        <v>446888.37399999989</v>
      </c>
      <c r="BP18">
        <v>2814221.66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0</v>
      </c>
      <c r="CK18">
        <v>0</v>
      </c>
    </row>
    <row r="19" spans="1:89" x14ac:dyDescent="0.35">
      <c r="A19">
        <v>341931</v>
      </c>
      <c r="B19" t="s">
        <v>259</v>
      </c>
      <c r="C19" t="s">
        <v>260</v>
      </c>
      <c r="D19" s="1">
        <v>45787</v>
      </c>
      <c r="E19">
        <v>53850</v>
      </c>
      <c r="F19">
        <v>105</v>
      </c>
      <c r="G19" t="s">
        <v>47</v>
      </c>
      <c r="H19" t="s">
        <v>262</v>
      </c>
      <c r="I19" t="s">
        <v>48</v>
      </c>
      <c r="L19">
        <v>1053306287103</v>
      </c>
      <c r="M19">
        <v>20250424</v>
      </c>
      <c r="N19" t="s">
        <v>263</v>
      </c>
      <c r="Q19" t="s">
        <v>55</v>
      </c>
      <c r="R19">
        <v>208134.89</v>
      </c>
      <c r="T19">
        <v>4263360</v>
      </c>
      <c r="U19">
        <v>5982300724</v>
      </c>
      <c r="V19" t="s">
        <v>268</v>
      </c>
      <c r="W19" t="s">
        <v>53</v>
      </c>
      <c r="X19" t="s">
        <v>269</v>
      </c>
      <c r="Y19" t="s">
        <v>49</v>
      </c>
      <c r="Z19">
        <v>1058</v>
      </c>
      <c r="AH19">
        <v>0</v>
      </c>
      <c r="AI19">
        <v>202504</v>
      </c>
      <c r="AJ19" t="s">
        <v>61</v>
      </c>
      <c r="AK19">
        <v>0</v>
      </c>
      <c r="AL19">
        <v>1</v>
      </c>
      <c r="AO19">
        <v>0</v>
      </c>
      <c r="AP19">
        <v>999</v>
      </c>
      <c r="AQ19">
        <v>430</v>
      </c>
      <c r="AR19">
        <v>430999</v>
      </c>
      <c r="AT19">
        <v>1</v>
      </c>
      <c r="AU19" t="s">
        <v>54</v>
      </c>
      <c r="AV19">
        <v>25045.55</v>
      </c>
      <c r="AW19">
        <v>26010.331999999999</v>
      </c>
      <c r="AX19">
        <v>27041.058000000001</v>
      </c>
      <c r="AY19">
        <v>28420.708999999999</v>
      </c>
      <c r="AZ19">
        <v>29962.351999999999</v>
      </c>
      <c r="BA19">
        <v>31788.16</v>
      </c>
      <c r="BB19">
        <v>34027.07</v>
      </c>
      <c r="BC19">
        <v>36641.5795</v>
      </c>
      <c r="BD19">
        <v>39840.642</v>
      </c>
      <c r="BE19">
        <v>40000</v>
      </c>
      <c r="BF19">
        <v>41343.269999999997</v>
      </c>
      <c r="BG19">
        <v>44702.324999999997</v>
      </c>
      <c r="BH19">
        <v>49392.076000000001</v>
      </c>
      <c r="BI19">
        <v>58375.907500000008</v>
      </c>
      <c r="BJ19">
        <v>70239.999999999985</v>
      </c>
      <c r="BK19">
        <v>81597.5</v>
      </c>
      <c r="BL19">
        <v>118941.322</v>
      </c>
      <c r="BM19">
        <v>163981.24299999949</v>
      </c>
      <c r="BN19">
        <v>270486.4050000002</v>
      </c>
      <c r="BO19">
        <v>446888.37399999989</v>
      </c>
      <c r="BP19">
        <v>2814221.66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0</v>
      </c>
      <c r="CJ19">
        <v>0</v>
      </c>
      <c r="CK19">
        <v>0</v>
      </c>
    </row>
    <row r="20" spans="1:89" x14ac:dyDescent="0.35">
      <c r="A20">
        <v>341927</v>
      </c>
      <c r="B20" t="s">
        <v>259</v>
      </c>
      <c r="C20" t="s">
        <v>260</v>
      </c>
      <c r="D20" s="1">
        <v>45787</v>
      </c>
      <c r="E20">
        <v>53850</v>
      </c>
      <c r="F20">
        <v>268</v>
      </c>
      <c r="G20" t="s">
        <v>168</v>
      </c>
      <c r="H20" t="s">
        <v>262</v>
      </c>
      <c r="I20" t="s">
        <v>48</v>
      </c>
      <c r="L20">
        <v>2683300010038</v>
      </c>
      <c r="M20">
        <v>20250402</v>
      </c>
      <c r="N20" t="s">
        <v>263</v>
      </c>
      <c r="Q20" t="s">
        <v>55</v>
      </c>
      <c r="R20">
        <v>120007.67999999999</v>
      </c>
      <c r="T20">
        <v>1604219</v>
      </c>
      <c r="U20">
        <v>952850790</v>
      </c>
      <c r="V20" t="s">
        <v>281</v>
      </c>
      <c r="W20" t="s">
        <v>53</v>
      </c>
      <c r="X20" t="s">
        <v>232</v>
      </c>
      <c r="Y20" t="s">
        <v>49</v>
      </c>
      <c r="Z20">
        <v>1627</v>
      </c>
      <c r="AH20">
        <v>0</v>
      </c>
      <c r="AI20">
        <v>202504</v>
      </c>
      <c r="AJ20" t="s">
        <v>160</v>
      </c>
      <c r="AK20">
        <v>1</v>
      </c>
      <c r="AL20">
        <v>1</v>
      </c>
      <c r="AO20">
        <v>0</v>
      </c>
      <c r="AP20">
        <v>999</v>
      </c>
      <c r="AQ20">
        <v>430</v>
      </c>
      <c r="AR20">
        <v>430999</v>
      </c>
      <c r="AT20">
        <v>1</v>
      </c>
      <c r="AU20" t="s">
        <v>54</v>
      </c>
      <c r="AV20">
        <v>25045.55</v>
      </c>
      <c r="AW20">
        <v>26010.331999999999</v>
      </c>
      <c r="AX20">
        <v>27041.058000000001</v>
      </c>
      <c r="AY20">
        <v>28420.708999999999</v>
      </c>
      <c r="AZ20">
        <v>29962.351999999999</v>
      </c>
      <c r="BA20">
        <v>31788.16</v>
      </c>
      <c r="BB20">
        <v>34027.07</v>
      </c>
      <c r="BC20">
        <v>36641.5795</v>
      </c>
      <c r="BD20">
        <v>39840.642</v>
      </c>
      <c r="BE20">
        <v>40000</v>
      </c>
      <c r="BF20">
        <v>41343.269999999997</v>
      </c>
      <c r="BG20">
        <v>44702.324999999997</v>
      </c>
      <c r="BH20">
        <v>49392.076000000001</v>
      </c>
      <c r="BI20">
        <v>58375.907500000008</v>
      </c>
      <c r="BJ20">
        <v>70239.999999999985</v>
      </c>
      <c r="BK20">
        <v>81597.5</v>
      </c>
      <c r="BL20">
        <v>118941.322</v>
      </c>
      <c r="BM20">
        <v>163981.24299999949</v>
      </c>
      <c r="BN20">
        <v>270486.4050000002</v>
      </c>
      <c r="BO20">
        <v>446888.37399999989</v>
      </c>
      <c r="BP20">
        <v>2814221.66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0</v>
      </c>
      <c r="CI20">
        <v>0</v>
      </c>
      <c r="CJ20">
        <v>0</v>
      </c>
      <c r="CK20">
        <v>0</v>
      </c>
    </row>
    <row r="21" spans="1:89" x14ac:dyDescent="0.35">
      <c r="A21">
        <v>341924</v>
      </c>
      <c r="B21" t="s">
        <v>259</v>
      </c>
      <c r="C21" t="s">
        <v>260</v>
      </c>
      <c r="D21" s="1">
        <v>45787</v>
      </c>
      <c r="E21">
        <v>53850</v>
      </c>
      <c r="F21">
        <v>122</v>
      </c>
      <c r="G21" t="s">
        <v>261</v>
      </c>
      <c r="H21" t="s">
        <v>262</v>
      </c>
      <c r="I21" t="s">
        <v>48</v>
      </c>
      <c r="L21">
        <v>1223300001682</v>
      </c>
      <c r="M21">
        <v>20250429</v>
      </c>
      <c r="N21" t="s">
        <v>263</v>
      </c>
      <c r="Q21" t="s">
        <v>55</v>
      </c>
      <c r="R21">
        <v>87840</v>
      </c>
      <c r="T21">
        <v>3711207</v>
      </c>
      <c r="U21">
        <v>8825020723</v>
      </c>
      <c r="V21" t="s">
        <v>264</v>
      </c>
      <c r="W21" t="s">
        <v>53</v>
      </c>
      <c r="X21" t="s">
        <v>57</v>
      </c>
      <c r="Y21" t="s">
        <v>49</v>
      </c>
      <c r="Z21">
        <v>1696</v>
      </c>
      <c r="AH21">
        <v>0</v>
      </c>
      <c r="AI21">
        <v>202504</v>
      </c>
      <c r="AJ21" t="s">
        <v>51</v>
      </c>
      <c r="AK21">
        <v>0</v>
      </c>
      <c r="AL21">
        <v>1</v>
      </c>
      <c r="AO21">
        <v>0</v>
      </c>
      <c r="AP21">
        <v>620</v>
      </c>
      <c r="AQ21">
        <v>430</v>
      </c>
      <c r="AR21">
        <v>430620</v>
      </c>
      <c r="AS21" t="s">
        <v>58</v>
      </c>
      <c r="AU21" t="s">
        <v>58</v>
      </c>
      <c r="AV21">
        <v>25045.55</v>
      </c>
      <c r="AW21">
        <v>26010.331999999999</v>
      </c>
      <c r="AX21">
        <v>27041.058000000001</v>
      </c>
      <c r="AY21">
        <v>28420.708999999999</v>
      </c>
      <c r="AZ21">
        <v>29962.351999999999</v>
      </c>
      <c r="BA21">
        <v>31788.16</v>
      </c>
      <c r="BB21">
        <v>34027.07</v>
      </c>
      <c r="BC21">
        <v>36641.5795</v>
      </c>
      <c r="BD21">
        <v>39840.642</v>
      </c>
      <c r="BE21">
        <v>40000</v>
      </c>
      <c r="BF21">
        <v>41343.269999999997</v>
      </c>
      <c r="BG21">
        <v>44702.324999999997</v>
      </c>
      <c r="BH21">
        <v>49392.076000000001</v>
      </c>
      <c r="BI21">
        <v>58375.907500000008</v>
      </c>
      <c r="BJ21">
        <v>70239.999999999985</v>
      </c>
      <c r="BK21">
        <v>81597.5</v>
      </c>
      <c r="BL21">
        <v>118941.322</v>
      </c>
      <c r="BM21">
        <v>163981.24299999949</v>
      </c>
      <c r="BN21">
        <v>270486.4050000002</v>
      </c>
      <c r="BO21">
        <v>446888.37399999989</v>
      </c>
      <c r="BP21">
        <v>2814221.66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 x14ac:dyDescent="0.35">
      <c r="A22">
        <v>341919</v>
      </c>
      <c r="B22" t="s">
        <v>259</v>
      </c>
      <c r="C22" t="s">
        <v>260</v>
      </c>
      <c r="D22" s="1">
        <v>45787</v>
      </c>
      <c r="E22">
        <v>53850</v>
      </c>
      <c r="F22">
        <v>153</v>
      </c>
      <c r="G22" t="s">
        <v>81</v>
      </c>
      <c r="H22" t="s">
        <v>262</v>
      </c>
      <c r="I22" t="s">
        <v>48</v>
      </c>
      <c r="L22">
        <v>1533300663959</v>
      </c>
      <c r="M22">
        <v>20250428</v>
      </c>
      <c r="N22" t="s">
        <v>263</v>
      </c>
      <c r="Q22" t="s">
        <v>55</v>
      </c>
      <c r="R22">
        <v>28809</v>
      </c>
      <c r="T22">
        <v>3721097</v>
      </c>
      <c r="U22">
        <v>10391641213</v>
      </c>
      <c r="V22" t="s">
        <v>270</v>
      </c>
      <c r="W22" t="s">
        <v>53</v>
      </c>
      <c r="X22" t="s">
        <v>83</v>
      </c>
      <c r="Y22" t="s">
        <v>49</v>
      </c>
      <c r="Z22">
        <v>1237</v>
      </c>
      <c r="AH22">
        <v>0</v>
      </c>
      <c r="AI22">
        <v>202504</v>
      </c>
      <c r="AJ22" t="s">
        <v>61</v>
      </c>
      <c r="AK22">
        <v>0</v>
      </c>
      <c r="AL22">
        <v>1</v>
      </c>
      <c r="AO22">
        <v>0</v>
      </c>
      <c r="AP22">
        <v>462</v>
      </c>
      <c r="AQ22">
        <v>430</v>
      </c>
      <c r="AR22">
        <v>430462</v>
      </c>
      <c r="AS22" t="s">
        <v>58</v>
      </c>
      <c r="AU22" t="s">
        <v>58</v>
      </c>
      <c r="AV22">
        <v>25045.55</v>
      </c>
      <c r="AW22">
        <v>26010.331999999999</v>
      </c>
      <c r="AX22">
        <v>27041.058000000001</v>
      </c>
      <c r="AY22">
        <v>28420.708999999999</v>
      </c>
      <c r="AZ22">
        <v>29962.351999999999</v>
      </c>
      <c r="BA22">
        <v>31788.16</v>
      </c>
      <c r="BB22">
        <v>34027.07</v>
      </c>
      <c r="BC22">
        <v>36641.5795</v>
      </c>
      <c r="BD22">
        <v>39840.642</v>
      </c>
      <c r="BE22">
        <v>40000</v>
      </c>
      <c r="BF22">
        <v>41343.269999999997</v>
      </c>
      <c r="BG22">
        <v>44702.324999999997</v>
      </c>
      <c r="BH22">
        <v>49392.076000000001</v>
      </c>
      <c r="BI22">
        <v>58375.907500000008</v>
      </c>
      <c r="BJ22">
        <v>70239.999999999985</v>
      </c>
      <c r="BK22">
        <v>81597.5</v>
      </c>
      <c r="BL22">
        <v>118941.322</v>
      </c>
      <c r="BM22">
        <v>163981.24299999949</v>
      </c>
      <c r="BN22">
        <v>270486.4050000002</v>
      </c>
      <c r="BO22">
        <v>446888.37399999989</v>
      </c>
      <c r="BP22">
        <v>2814221.66</v>
      </c>
      <c r="BQ22">
        <v>1</v>
      </c>
      <c r="BR22">
        <v>1</v>
      </c>
      <c r="BS22">
        <v>1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 x14ac:dyDescent="0.35">
      <c r="A23">
        <v>341912</v>
      </c>
      <c r="B23" t="s">
        <v>259</v>
      </c>
      <c r="C23" t="s">
        <v>260</v>
      </c>
      <c r="D23" s="1">
        <v>45787</v>
      </c>
      <c r="E23">
        <v>53850</v>
      </c>
      <c r="F23">
        <v>122</v>
      </c>
      <c r="G23" t="s">
        <v>261</v>
      </c>
      <c r="H23" t="s">
        <v>262</v>
      </c>
      <c r="I23" t="s">
        <v>48</v>
      </c>
      <c r="L23">
        <v>1223300001682</v>
      </c>
      <c r="M23">
        <v>20250429</v>
      </c>
      <c r="N23" t="s">
        <v>263</v>
      </c>
      <c r="Q23" t="s">
        <v>55</v>
      </c>
      <c r="R23">
        <v>99430</v>
      </c>
      <c r="T23">
        <v>3711207</v>
      </c>
      <c r="U23">
        <v>8825020723</v>
      </c>
      <c r="V23" t="s">
        <v>264</v>
      </c>
      <c r="W23" t="s">
        <v>53</v>
      </c>
      <c r="X23" t="s">
        <v>57</v>
      </c>
      <c r="Y23" t="s">
        <v>49</v>
      </c>
      <c r="Z23">
        <v>1696</v>
      </c>
      <c r="AH23">
        <v>0</v>
      </c>
      <c r="AI23">
        <v>202504</v>
      </c>
      <c r="AJ23" t="s">
        <v>51</v>
      </c>
      <c r="AK23">
        <v>0</v>
      </c>
      <c r="AL23">
        <v>1</v>
      </c>
      <c r="AO23">
        <v>0</v>
      </c>
      <c r="AP23">
        <v>620</v>
      </c>
      <c r="AQ23">
        <v>430</v>
      </c>
      <c r="AR23">
        <v>430620</v>
      </c>
      <c r="AS23" t="s">
        <v>58</v>
      </c>
      <c r="AU23" t="s">
        <v>58</v>
      </c>
      <c r="AV23">
        <v>25045.55</v>
      </c>
      <c r="AW23">
        <v>26010.331999999999</v>
      </c>
      <c r="AX23">
        <v>27041.058000000001</v>
      </c>
      <c r="AY23">
        <v>28420.708999999999</v>
      </c>
      <c r="AZ23">
        <v>29962.351999999999</v>
      </c>
      <c r="BA23">
        <v>31788.16</v>
      </c>
      <c r="BB23">
        <v>34027.07</v>
      </c>
      <c r="BC23">
        <v>36641.5795</v>
      </c>
      <c r="BD23">
        <v>39840.642</v>
      </c>
      <c r="BE23">
        <v>40000</v>
      </c>
      <c r="BF23">
        <v>41343.269999999997</v>
      </c>
      <c r="BG23">
        <v>44702.324999999997</v>
      </c>
      <c r="BH23">
        <v>49392.076000000001</v>
      </c>
      <c r="BI23">
        <v>58375.907500000008</v>
      </c>
      <c r="BJ23">
        <v>70239.999999999985</v>
      </c>
      <c r="BK23">
        <v>81597.5</v>
      </c>
      <c r="BL23">
        <v>118941.322</v>
      </c>
      <c r="BM23">
        <v>163981.24299999949</v>
      </c>
      <c r="BN23">
        <v>270486.4050000002</v>
      </c>
      <c r="BO23">
        <v>446888.37399999989</v>
      </c>
      <c r="BP23">
        <v>2814221.66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 x14ac:dyDescent="0.35">
      <c r="A24">
        <v>341910</v>
      </c>
      <c r="B24" t="s">
        <v>259</v>
      </c>
      <c r="C24" t="s">
        <v>260</v>
      </c>
      <c r="D24" s="1">
        <v>45787</v>
      </c>
      <c r="E24">
        <v>53850</v>
      </c>
      <c r="F24">
        <v>148</v>
      </c>
      <c r="G24" t="s">
        <v>90</v>
      </c>
      <c r="H24" t="s">
        <v>262</v>
      </c>
      <c r="I24" t="s">
        <v>48</v>
      </c>
      <c r="L24">
        <v>1483300006067</v>
      </c>
      <c r="M24">
        <v>20250414</v>
      </c>
      <c r="N24" t="s">
        <v>263</v>
      </c>
      <c r="Q24" t="s">
        <v>55</v>
      </c>
      <c r="R24">
        <v>40000</v>
      </c>
      <c r="T24">
        <v>3737044</v>
      </c>
      <c r="U24">
        <v>15554071009</v>
      </c>
      <c r="V24" t="s">
        <v>282</v>
      </c>
      <c r="W24" t="s">
        <v>53</v>
      </c>
      <c r="X24" t="s">
        <v>283</v>
      </c>
      <c r="Y24" t="s">
        <v>49</v>
      </c>
      <c r="Z24">
        <v>1196</v>
      </c>
      <c r="AH24">
        <v>0</v>
      </c>
      <c r="AI24">
        <v>202504</v>
      </c>
      <c r="AJ24" t="s">
        <v>61</v>
      </c>
      <c r="AK24">
        <v>0</v>
      </c>
      <c r="AL24">
        <v>1</v>
      </c>
      <c r="AO24">
        <v>0</v>
      </c>
      <c r="AP24">
        <v>999</v>
      </c>
      <c r="AQ24">
        <v>430</v>
      </c>
      <c r="AR24">
        <v>430999</v>
      </c>
      <c r="AT24">
        <v>1</v>
      </c>
      <c r="AU24" t="s">
        <v>54</v>
      </c>
      <c r="AV24">
        <v>25045.55</v>
      </c>
      <c r="AW24">
        <v>26010.331999999999</v>
      </c>
      <c r="AX24">
        <v>27041.058000000001</v>
      </c>
      <c r="AY24">
        <v>28420.708999999999</v>
      </c>
      <c r="AZ24">
        <v>29962.351999999999</v>
      </c>
      <c r="BA24">
        <v>31788.16</v>
      </c>
      <c r="BB24">
        <v>34027.07</v>
      </c>
      <c r="BC24">
        <v>36641.5795</v>
      </c>
      <c r="BD24">
        <v>39840.642</v>
      </c>
      <c r="BE24">
        <v>40000</v>
      </c>
      <c r="BF24">
        <v>41343.269999999997</v>
      </c>
      <c r="BG24">
        <v>44702.324999999997</v>
      </c>
      <c r="BH24">
        <v>49392.076000000001</v>
      </c>
      <c r="BI24">
        <v>58375.907500000008</v>
      </c>
      <c r="BJ24">
        <v>70239.999999999985</v>
      </c>
      <c r="BK24">
        <v>81597.5</v>
      </c>
      <c r="BL24">
        <v>118941.322</v>
      </c>
      <c r="BM24">
        <v>163981.24299999949</v>
      </c>
      <c r="BN24">
        <v>270486.4050000002</v>
      </c>
      <c r="BO24">
        <v>446888.37399999989</v>
      </c>
      <c r="BP24">
        <v>2814221.66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 x14ac:dyDescent="0.35">
      <c r="A25">
        <v>341904</v>
      </c>
      <c r="B25" t="s">
        <v>259</v>
      </c>
      <c r="C25" t="s">
        <v>260</v>
      </c>
      <c r="D25" s="1">
        <v>45787</v>
      </c>
      <c r="E25">
        <v>53850</v>
      </c>
      <c r="F25">
        <v>122</v>
      </c>
      <c r="G25" t="s">
        <v>261</v>
      </c>
      <c r="H25" t="s">
        <v>262</v>
      </c>
      <c r="I25" t="s">
        <v>48</v>
      </c>
      <c r="L25">
        <v>1223300002128</v>
      </c>
      <c r="M25">
        <v>20250409</v>
      </c>
      <c r="N25" t="s">
        <v>263</v>
      </c>
      <c r="Q25" t="s">
        <v>55</v>
      </c>
      <c r="R25">
        <v>77996.14</v>
      </c>
      <c r="T25">
        <v>3711207</v>
      </c>
      <c r="U25">
        <v>8825020723</v>
      </c>
      <c r="V25" t="s">
        <v>264</v>
      </c>
      <c r="W25" t="s">
        <v>53</v>
      </c>
      <c r="X25" t="s">
        <v>57</v>
      </c>
      <c r="Y25" t="s">
        <v>49</v>
      </c>
      <c r="Z25">
        <v>1696</v>
      </c>
      <c r="AH25">
        <v>0</v>
      </c>
      <c r="AI25">
        <v>202504</v>
      </c>
      <c r="AJ25" t="s">
        <v>51</v>
      </c>
      <c r="AK25">
        <v>0</v>
      </c>
      <c r="AL25">
        <v>1</v>
      </c>
      <c r="AO25">
        <v>0</v>
      </c>
      <c r="AP25">
        <v>620</v>
      </c>
      <c r="AQ25">
        <v>430</v>
      </c>
      <c r="AR25">
        <v>430620</v>
      </c>
      <c r="AS25" t="s">
        <v>58</v>
      </c>
      <c r="AU25" t="s">
        <v>58</v>
      </c>
      <c r="AV25">
        <v>25045.55</v>
      </c>
      <c r="AW25">
        <v>26010.331999999999</v>
      </c>
      <c r="AX25">
        <v>27041.058000000001</v>
      </c>
      <c r="AY25">
        <v>28420.708999999999</v>
      </c>
      <c r="AZ25">
        <v>29962.351999999999</v>
      </c>
      <c r="BA25">
        <v>31788.16</v>
      </c>
      <c r="BB25">
        <v>34027.07</v>
      </c>
      <c r="BC25">
        <v>36641.5795</v>
      </c>
      <c r="BD25">
        <v>39840.642</v>
      </c>
      <c r="BE25">
        <v>40000</v>
      </c>
      <c r="BF25">
        <v>41343.269999999997</v>
      </c>
      <c r="BG25">
        <v>44702.324999999997</v>
      </c>
      <c r="BH25">
        <v>49392.076000000001</v>
      </c>
      <c r="BI25">
        <v>58375.907500000008</v>
      </c>
      <c r="BJ25">
        <v>70239.999999999985</v>
      </c>
      <c r="BK25">
        <v>81597.5</v>
      </c>
      <c r="BL25">
        <v>118941.322</v>
      </c>
      <c r="BM25">
        <v>163981.24299999949</v>
      </c>
      <c r="BN25">
        <v>270486.4050000002</v>
      </c>
      <c r="BO25">
        <v>446888.37399999989</v>
      </c>
      <c r="BP25">
        <v>2814221.66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 x14ac:dyDescent="0.35">
      <c r="A26">
        <v>341896</v>
      </c>
      <c r="B26" t="s">
        <v>259</v>
      </c>
      <c r="C26" t="s">
        <v>260</v>
      </c>
      <c r="D26" s="1">
        <v>45787</v>
      </c>
      <c r="E26">
        <v>53850</v>
      </c>
      <c r="F26">
        <v>109</v>
      </c>
      <c r="G26" t="s">
        <v>65</v>
      </c>
      <c r="H26" t="s">
        <v>262</v>
      </c>
      <c r="I26" t="s">
        <v>48</v>
      </c>
      <c r="L26">
        <v>1093306672844</v>
      </c>
      <c r="M26">
        <v>20250416</v>
      </c>
      <c r="N26" t="s">
        <v>263</v>
      </c>
      <c r="Q26" t="s">
        <v>55</v>
      </c>
      <c r="R26">
        <v>800000</v>
      </c>
      <c r="T26">
        <v>440311</v>
      </c>
      <c r="U26">
        <v>3550290724</v>
      </c>
      <c r="V26" t="s">
        <v>245</v>
      </c>
      <c r="W26" t="s">
        <v>53</v>
      </c>
      <c r="X26" t="s">
        <v>177</v>
      </c>
      <c r="Y26" t="s">
        <v>49</v>
      </c>
      <c r="Z26">
        <v>1903</v>
      </c>
      <c r="AH26">
        <v>0</v>
      </c>
      <c r="AI26">
        <v>202504</v>
      </c>
      <c r="AJ26" t="s">
        <v>61</v>
      </c>
      <c r="AK26">
        <v>0</v>
      </c>
      <c r="AL26">
        <v>1</v>
      </c>
      <c r="AM26">
        <v>440311</v>
      </c>
      <c r="AN26">
        <v>1</v>
      </c>
      <c r="AO26">
        <v>0</v>
      </c>
      <c r="AP26">
        <v>451</v>
      </c>
      <c r="AQ26">
        <v>430</v>
      </c>
      <c r="AR26">
        <v>430451</v>
      </c>
      <c r="AS26" t="s">
        <v>58</v>
      </c>
      <c r="AU26" t="s">
        <v>58</v>
      </c>
      <c r="AV26">
        <v>25045.55</v>
      </c>
      <c r="AW26">
        <v>26010.331999999999</v>
      </c>
      <c r="AX26">
        <v>27041.058000000001</v>
      </c>
      <c r="AY26">
        <v>28420.708999999999</v>
      </c>
      <c r="AZ26">
        <v>29962.351999999999</v>
      </c>
      <c r="BA26">
        <v>31788.16</v>
      </c>
      <c r="BB26">
        <v>34027.07</v>
      </c>
      <c r="BC26">
        <v>36641.5795</v>
      </c>
      <c r="BD26">
        <v>39840.642</v>
      </c>
      <c r="BE26">
        <v>40000</v>
      </c>
      <c r="BF26">
        <v>41343.269999999997</v>
      </c>
      <c r="BG26">
        <v>44702.324999999997</v>
      </c>
      <c r="BH26">
        <v>49392.076000000001</v>
      </c>
      <c r="BI26">
        <v>58375.907500000008</v>
      </c>
      <c r="BJ26">
        <v>70239.999999999985</v>
      </c>
      <c r="BK26">
        <v>81597.5</v>
      </c>
      <c r="BL26">
        <v>118941.322</v>
      </c>
      <c r="BM26">
        <v>163981.24299999949</v>
      </c>
      <c r="BN26">
        <v>270486.4050000002</v>
      </c>
      <c r="BO26">
        <v>446888.37399999989</v>
      </c>
      <c r="BP26">
        <v>2814221.66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0</v>
      </c>
    </row>
    <row r="27" spans="1:89" x14ac:dyDescent="0.35">
      <c r="A27">
        <v>341890</v>
      </c>
      <c r="B27" t="s">
        <v>259</v>
      </c>
      <c r="C27" t="s">
        <v>260</v>
      </c>
      <c r="D27" s="1">
        <v>45787</v>
      </c>
      <c r="E27">
        <v>53850</v>
      </c>
      <c r="F27">
        <v>122</v>
      </c>
      <c r="G27" t="s">
        <v>261</v>
      </c>
      <c r="H27" t="s">
        <v>262</v>
      </c>
      <c r="I27" t="s">
        <v>48</v>
      </c>
      <c r="L27">
        <v>1223300002128</v>
      </c>
      <c r="M27">
        <v>20250428</v>
      </c>
      <c r="N27" t="s">
        <v>263</v>
      </c>
      <c r="Q27" t="s">
        <v>55</v>
      </c>
      <c r="R27">
        <v>32860</v>
      </c>
      <c r="T27">
        <v>3711207</v>
      </c>
      <c r="U27">
        <v>8825020723</v>
      </c>
      <c r="V27" t="s">
        <v>264</v>
      </c>
      <c r="W27" t="s">
        <v>53</v>
      </c>
      <c r="X27" t="s">
        <v>57</v>
      </c>
      <c r="Y27" t="s">
        <v>49</v>
      </c>
      <c r="Z27">
        <v>1696</v>
      </c>
      <c r="AH27">
        <v>0</v>
      </c>
      <c r="AI27">
        <v>202504</v>
      </c>
      <c r="AJ27" t="s">
        <v>51</v>
      </c>
      <c r="AK27">
        <v>0</v>
      </c>
      <c r="AL27">
        <v>1</v>
      </c>
      <c r="AO27">
        <v>0</v>
      </c>
      <c r="AP27">
        <v>620</v>
      </c>
      <c r="AQ27">
        <v>430</v>
      </c>
      <c r="AR27">
        <v>430620</v>
      </c>
      <c r="AS27" t="s">
        <v>58</v>
      </c>
      <c r="AU27" t="s">
        <v>58</v>
      </c>
      <c r="AV27">
        <v>25045.55</v>
      </c>
      <c r="AW27">
        <v>26010.331999999999</v>
      </c>
      <c r="AX27">
        <v>27041.058000000001</v>
      </c>
      <c r="AY27">
        <v>28420.708999999999</v>
      </c>
      <c r="AZ27">
        <v>29962.351999999999</v>
      </c>
      <c r="BA27">
        <v>31788.16</v>
      </c>
      <c r="BB27">
        <v>34027.07</v>
      </c>
      <c r="BC27">
        <v>36641.5795</v>
      </c>
      <c r="BD27">
        <v>39840.642</v>
      </c>
      <c r="BE27">
        <v>40000</v>
      </c>
      <c r="BF27">
        <v>41343.269999999997</v>
      </c>
      <c r="BG27">
        <v>44702.324999999997</v>
      </c>
      <c r="BH27">
        <v>49392.076000000001</v>
      </c>
      <c r="BI27">
        <v>58375.907500000008</v>
      </c>
      <c r="BJ27">
        <v>70239.999999999985</v>
      </c>
      <c r="BK27">
        <v>81597.5</v>
      </c>
      <c r="BL27">
        <v>118941.322</v>
      </c>
      <c r="BM27">
        <v>163981.24299999949</v>
      </c>
      <c r="BN27">
        <v>270486.4050000002</v>
      </c>
      <c r="BO27">
        <v>446888.37399999989</v>
      </c>
      <c r="BP27">
        <v>2814221.66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 x14ac:dyDescent="0.35">
      <c r="A28">
        <v>341888</v>
      </c>
      <c r="B28" t="s">
        <v>259</v>
      </c>
      <c r="C28" t="s">
        <v>260</v>
      </c>
      <c r="D28" s="1">
        <v>45787</v>
      </c>
      <c r="E28">
        <v>53850</v>
      </c>
      <c r="F28">
        <v>122</v>
      </c>
      <c r="G28" t="s">
        <v>261</v>
      </c>
      <c r="H28" t="s">
        <v>262</v>
      </c>
      <c r="I28" t="s">
        <v>48</v>
      </c>
      <c r="L28">
        <v>1223300002128</v>
      </c>
      <c r="M28">
        <v>20250409</v>
      </c>
      <c r="N28" t="s">
        <v>263</v>
      </c>
      <c r="Q28" t="s">
        <v>55</v>
      </c>
      <c r="R28">
        <v>34002.769999999997</v>
      </c>
      <c r="T28">
        <v>3711207</v>
      </c>
      <c r="U28">
        <v>8825020723</v>
      </c>
      <c r="V28" t="s">
        <v>264</v>
      </c>
      <c r="W28" t="s">
        <v>53</v>
      </c>
      <c r="X28" t="s">
        <v>57</v>
      </c>
      <c r="Y28" t="s">
        <v>49</v>
      </c>
      <c r="Z28">
        <v>1696</v>
      </c>
      <c r="AH28">
        <v>0</v>
      </c>
      <c r="AI28">
        <v>202504</v>
      </c>
      <c r="AJ28" t="s">
        <v>51</v>
      </c>
      <c r="AK28">
        <v>0</v>
      </c>
      <c r="AL28">
        <v>1</v>
      </c>
      <c r="AO28">
        <v>0</v>
      </c>
      <c r="AP28">
        <v>620</v>
      </c>
      <c r="AQ28">
        <v>430</v>
      </c>
      <c r="AR28">
        <v>430620</v>
      </c>
      <c r="AS28" t="s">
        <v>58</v>
      </c>
      <c r="AU28" t="s">
        <v>58</v>
      </c>
      <c r="AV28">
        <v>25045.55</v>
      </c>
      <c r="AW28">
        <v>26010.331999999999</v>
      </c>
      <c r="AX28">
        <v>27041.058000000001</v>
      </c>
      <c r="AY28">
        <v>28420.708999999999</v>
      </c>
      <c r="AZ28">
        <v>29962.351999999999</v>
      </c>
      <c r="BA28">
        <v>31788.16</v>
      </c>
      <c r="BB28">
        <v>34027.07</v>
      </c>
      <c r="BC28">
        <v>36641.5795</v>
      </c>
      <c r="BD28">
        <v>39840.642</v>
      </c>
      <c r="BE28">
        <v>40000</v>
      </c>
      <c r="BF28">
        <v>41343.269999999997</v>
      </c>
      <c r="BG28">
        <v>44702.324999999997</v>
      </c>
      <c r="BH28">
        <v>49392.076000000001</v>
      </c>
      <c r="BI28">
        <v>58375.907500000008</v>
      </c>
      <c r="BJ28">
        <v>70239.999999999985</v>
      </c>
      <c r="BK28">
        <v>81597.5</v>
      </c>
      <c r="BL28">
        <v>118941.322</v>
      </c>
      <c r="BM28">
        <v>163981.24299999949</v>
      </c>
      <c r="BN28">
        <v>270486.4050000002</v>
      </c>
      <c r="BO28">
        <v>446888.37399999989</v>
      </c>
      <c r="BP28">
        <v>2814221.66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 x14ac:dyDescent="0.35">
      <c r="A29">
        <v>341886</v>
      </c>
      <c r="B29" t="s">
        <v>259</v>
      </c>
      <c r="C29" t="s">
        <v>260</v>
      </c>
      <c r="D29" s="1">
        <v>45787</v>
      </c>
      <c r="E29">
        <v>53850</v>
      </c>
      <c r="F29">
        <v>132</v>
      </c>
      <c r="G29" t="s">
        <v>161</v>
      </c>
      <c r="H29" t="s">
        <v>262</v>
      </c>
      <c r="I29" t="s">
        <v>48</v>
      </c>
      <c r="L29">
        <v>1323300003714</v>
      </c>
      <c r="M29">
        <v>20250417</v>
      </c>
      <c r="N29" t="s">
        <v>263</v>
      </c>
      <c r="Q29" t="s">
        <v>55</v>
      </c>
      <c r="R29">
        <v>32313.599999999999</v>
      </c>
      <c r="T29">
        <v>3724103</v>
      </c>
      <c r="U29">
        <v>2178850760</v>
      </c>
      <c r="V29" t="s">
        <v>284</v>
      </c>
      <c r="W29" t="s">
        <v>53</v>
      </c>
      <c r="X29" t="s">
        <v>283</v>
      </c>
      <c r="Y29" t="s">
        <v>49</v>
      </c>
      <c r="Z29">
        <v>823</v>
      </c>
      <c r="AH29">
        <v>0</v>
      </c>
      <c r="AI29">
        <v>202504</v>
      </c>
      <c r="AJ29" t="s">
        <v>51</v>
      </c>
      <c r="AK29">
        <v>0</v>
      </c>
      <c r="AL29">
        <v>1</v>
      </c>
      <c r="AO29">
        <v>0</v>
      </c>
      <c r="AP29">
        <v>999</v>
      </c>
      <c r="AQ29">
        <v>430</v>
      </c>
      <c r="AR29">
        <v>430999</v>
      </c>
      <c r="AT29">
        <v>1</v>
      </c>
      <c r="AU29" t="s">
        <v>54</v>
      </c>
      <c r="AV29">
        <v>25045.55</v>
      </c>
      <c r="AW29">
        <v>26010.331999999999</v>
      </c>
      <c r="AX29">
        <v>27041.058000000001</v>
      </c>
      <c r="AY29">
        <v>28420.708999999999</v>
      </c>
      <c r="AZ29">
        <v>29962.351999999999</v>
      </c>
      <c r="BA29">
        <v>31788.16</v>
      </c>
      <c r="BB29">
        <v>34027.07</v>
      </c>
      <c r="BC29">
        <v>36641.5795</v>
      </c>
      <c r="BD29">
        <v>39840.642</v>
      </c>
      <c r="BE29">
        <v>40000</v>
      </c>
      <c r="BF29">
        <v>41343.269999999997</v>
      </c>
      <c r="BG29">
        <v>44702.324999999997</v>
      </c>
      <c r="BH29">
        <v>49392.076000000001</v>
      </c>
      <c r="BI29">
        <v>58375.907500000008</v>
      </c>
      <c r="BJ29">
        <v>70239.999999999985</v>
      </c>
      <c r="BK29">
        <v>81597.5</v>
      </c>
      <c r="BL29">
        <v>118941.322</v>
      </c>
      <c r="BM29">
        <v>163981.24299999949</v>
      </c>
      <c r="BN29">
        <v>270486.4050000002</v>
      </c>
      <c r="BO29">
        <v>446888.37399999989</v>
      </c>
      <c r="BP29">
        <v>2814221.66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 x14ac:dyDescent="0.35">
      <c r="A30">
        <v>341866</v>
      </c>
      <c r="B30" t="s">
        <v>259</v>
      </c>
      <c r="C30" t="s">
        <v>260</v>
      </c>
      <c r="D30" s="1">
        <v>45787</v>
      </c>
      <c r="E30">
        <v>53850</v>
      </c>
      <c r="F30">
        <v>128</v>
      </c>
      <c r="G30" t="s">
        <v>91</v>
      </c>
      <c r="H30" t="s">
        <v>262</v>
      </c>
      <c r="I30" t="s">
        <v>48</v>
      </c>
      <c r="L30">
        <v>1283300001665</v>
      </c>
      <c r="M30">
        <v>20250402</v>
      </c>
      <c r="N30" t="s">
        <v>279</v>
      </c>
      <c r="Q30" t="s">
        <v>55</v>
      </c>
      <c r="R30">
        <v>53722.17</v>
      </c>
      <c r="T30">
        <v>4254896</v>
      </c>
      <c r="U30">
        <v>6234730726</v>
      </c>
      <c r="V30" t="s">
        <v>285</v>
      </c>
      <c r="W30" t="s">
        <v>53</v>
      </c>
      <c r="X30" t="s">
        <v>286</v>
      </c>
      <c r="Y30" t="s">
        <v>49</v>
      </c>
      <c r="Z30">
        <v>1919</v>
      </c>
      <c r="AH30">
        <v>0</v>
      </c>
      <c r="AI30">
        <v>202504</v>
      </c>
      <c r="AJ30" t="s">
        <v>61</v>
      </c>
      <c r="AK30">
        <v>0</v>
      </c>
      <c r="AL30">
        <v>1</v>
      </c>
      <c r="AO30">
        <v>0</v>
      </c>
      <c r="AP30">
        <v>999</v>
      </c>
      <c r="AQ30">
        <v>430</v>
      </c>
      <c r="AR30">
        <v>430999</v>
      </c>
      <c r="AT30">
        <v>1</v>
      </c>
      <c r="AU30" t="s">
        <v>54</v>
      </c>
      <c r="AV30">
        <v>25045.55</v>
      </c>
      <c r="AW30">
        <v>26010.331999999999</v>
      </c>
      <c r="AX30">
        <v>27041.058000000001</v>
      </c>
      <c r="AY30">
        <v>28420.708999999999</v>
      </c>
      <c r="AZ30">
        <v>29962.351999999999</v>
      </c>
      <c r="BA30">
        <v>31788.16</v>
      </c>
      <c r="BB30">
        <v>34027.07</v>
      </c>
      <c r="BC30">
        <v>36641.5795</v>
      </c>
      <c r="BD30">
        <v>39840.642</v>
      </c>
      <c r="BE30">
        <v>40000</v>
      </c>
      <c r="BF30">
        <v>41343.269999999997</v>
      </c>
      <c r="BG30">
        <v>44702.324999999997</v>
      </c>
      <c r="BH30">
        <v>49392.076000000001</v>
      </c>
      <c r="BI30">
        <v>58375.907500000008</v>
      </c>
      <c r="BJ30">
        <v>70239.999999999985</v>
      </c>
      <c r="BK30">
        <v>81597.5</v>
      </c>
      <c r="BL30">
        <v>118941.322</v>
      </c>
      <c r="BM30">
        <v>163981.24299999949</v>
      </c>
      <c r="BN30">
        <v>270486.4050000002</v>
      </c>
      <c r="BO30">
        <v>446888.37399999989</v>
      </c>
      <c r="BP30">
        <v>2814221.66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 x14ac:dyDescent="0.35">
      <c r="A31">
        <v>341864</v>
      </c>
      <c r="B31" t="s">
        <v>259</v>
      </c>
      <c r="C31" t="s">
        <v>260</v>
      </c>
      <c r="D31" s="1">
        <v>45787</v>
      </c>
      <c r="E31">
        <v>53850</v>
      </c>
      <c r="F31">
        <v>109</v>
      </c>
      <c r="G31" t="s">
        <v>65</v>
      </c>
      <c r="H31" t="s">
        <v>262</v>
      </c>
      <c r="I31" t="s">
        <v>48</v>
      </c>
      <c r="L31">
        <v>1093306674353</v>
      </c>
      <c r="M31">
        <v>20250404</v>
      </c>
      <c r="N31" t="s">
        <v>287</v>
      </c>
      <c r="Q31" t="s">
        <v>55</v>
      </c>
      <c r="R31">
        <v>130000</v>
      </c>
      <c r="T31">
        <v>4916449</v>
      </c>
      <c r="U31">
        <v>8176830720</v>
      </c>
      <c r="V31" t="s">
        <v>288</v>
      </c>
      <c r="W31" t="s">
        <v>53</v>
      </c>
      <c r="X31" t="s">
        <v>177</v>
      </c>
      <c r="Y31" t="s">
        <v>49</v>
      </c>
      <c r="Z31">
        <v>1903</v>
      </c>
      <c r="AH31">
        <v>0</v>
      </c>
      <c r="AI31">
        <v>202504</v>
      </c>
      <c r="AJ31" t="s">
        <v>61</v>
      </c>
      <c r="AK31">
        <v>0</v>
      </c>
      <c r="AL31">
        <v>1</v>
      </c>
      <c r="AO31">
        <v>0</v>
      </c>
      <c r="AP31">
        <v>451</v>
      </c>
      <c r="AQ31">
        <v>430</v>
      </c>
      <c r="AR31">
        <v>430451</v>
      </c>
      <c r="AS31" t="s">
        <v>58</v>
      </c>
      <c r="AU31" t="s">
        <v>58</v>
      </c>
      <c r="AV31">
        <v>25045.55</v>
      </c>
      <c r="AW31">
        <v>26010.331999999999</v>
      </c>
      <c r="AX31">
        <v>27041.058000000001</v>
      </c>
      <c r="AY31">
        <v>28420.708999999999</v>
      </c>
      <c r="AZ31">
        <v>29962.351999999999</v>
      </c>
      <c r="BA31">
        <v>31788.16</v>
      </c>
      <c r="BB31">
        <v>34027.07</v>
      </c>
      <c r="BC31">
        <v>36641.5795</v>
      </c>
      <c r="BD31">
        <v>39840.642</v>
      </c>
      <c r="BE31">
        <v>40000</v>
      </c>
      <c r="BF31">
        <v>41343.269999999997</v>
      </c>
      <c r="BG31">
        <v>44702.324999999997</v>
      </c>
      <c r="BH31">
        <v>49392.076000000001</v>
      </c>
      <c r="BI31">
        <v>58375.907500000008</v>
      </c>
      <c r="BJ31">
        <v>70239.999999999985</v>
      </c>
      <c r="BK31">
        <v>81597.5</v>
      </c>
      <c r="BL31">
        <v>118941.322</v>
      </c>
      <c r="BM31">
        <v>163981.24299999949</v>
      </c>
      <c r="BN31">
        <v>270486.4050000002</v>
      </c>
      <c r="BO31">
        <v>446888.37399999989</v>
      </c>
      <c r="BP31">
        <v>2814221.66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0</v>
      </c>
      <c r="CI31">
        <v>0</v>
      </c>
      <c r="CJ31">
        <v>0</v>
      </c>
      <c r="CK31">
        <v>0</v>
      </c>
    </row>
    <row r="32" spans="1:89" x14ac:dyDescent="0.35">
      <c r="A32">
        <v>341861</v>
      </c>
      <c r="B32" t="s">
        <v>259</v>
      </c>
      <c r="C32" t="s">
        <v>260</v>
      </c>
      <c r="D32" s="1">
        <v>45787</v>
      </c>
      <c r="E32">
        <v>53850</v>
      </c>
      <c r="F32">
        <v>175</v>
      </c>
      <c r="G32" t="s">
        <v>63</v>
      </c>
      <c r="H32" t="s">
        <v>262</v>
      </c>
      <c r="I32" t="s">
        <v>48</v>
      </c>
      <c r="L32">
        <v>1753302203127</v>
      </c>
      <c r="M32">
        <v>20250407</v>
      </c>
      <c r="N32" t="s">
        <v>279</v>
      </c>
      <c r="Q32" t="s">
        <v>55</v>
      </c>
      <c r="R32">
        <v>29089.99</v>
      </c>
      <c r="T32">
        <v>4160138</v>
      </c>
      <c r="U32">
        <v>484200779</v>
      </c>
      <c r="V32" t="s">
        <v>289</v>
      </c>
      <c r="W32" t="s">
        <v>53</v>
      </c>
      <c r="X32" t="s">
        <v>290</v>
      </c>
      <c r="Y32" t="s">
        <v>49</v>
      </c>
      <c r="Z32">
        <v>739</v>
      </c>
      <c r="AH32">
        <v>0</v>
      </c>
      <c r="AI32">
        <v>202504</v>
      </c>
      <c r="AJ32" t="s">
        <v>160</v>
      </c>
      <c r="AK32">
        <v>1</v>
      </c>
      <c r="AL32">
        <v>1</v>
      </c>
      <c r="AM32">
        <v>4160138</v>
      </c>
      <c r="AN32">
        <v>1</v>
      </c>
      <c r="AO32">
        <v>0</v>
      </c>
      <c r="AP32">
        <v>999</v>
      </c>
      <c r="AQ32">
        <v>430</v>
      </c>
      <c r="AR32">
        <v>430999</v>
      </c>
      <c r="AT32">
        <v>1</v>
      </c>
      <c r="AU32" t="s">
        <v>54</v>
      </c>
      <c r="AV32">
        <v>25045.55</v>
      </c>
      <c r="AW32">
        <v>26010.331999999999</v>
      </c>
      <c r="AX32">
        <v>27041.058000000001</v>
      </c>
      <c r="AY32">
        <v>28420.708999999999</v>
      </c>
      <c r="AZ32">
        <v>29962.351999999999</v>
      </c>
      <c r="BA32">
        <v>31788.16</v>
      </c>
      <c r="BB32">
        <v>34027.07</v>
      </c>
      <c r="BC32">
        <v>36641.5795</v>
      </c>
      <c r="BD32">
        <v>39840.642</v>
      </c>
      <c r="BE32">
        <v>40000</v>
      </c>
      <c r="BF32">
        <v>41343.269999999997</v>
      </c>
      <c r="BG32">
        <v>44702.324999999997</v>
      </c>
      <c r="BH32">
        <v>49392.076000000001</v>
      </c>
      <c r="BI32">
        <v>58375.907500000008</v>
      </c>
      <c r="BJ32">
        <v>70239.999999999985</v>
      </c>
      <c r="BK32">
        <v>81597.5</v>
      </c>
      <c r="BL32">
        <v>118941.322</v>
      </c>
      <c r="BM32">
        <v>163981.24299999949</v>
      </c>
      <c r="BN32">
        <v>270486.4050000002</v>
      </c>
      <c r="BO32">
        <v>446888.37399999989</v>
      </c>
      <c r="BP32">
        <v>2814221.66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 x14ac:dyDescent="0.35">
      <c r="A33">
        <v>341857</v>
      </c>
      <c r="B33" t="s">
        <v>259</v>
      </c>
      <c r="C33" t="s">
        <v>260</v>
      </c>
      <c r="D33" s="1">
        <v>45787</v>
      </c>
      <c r="E33">
        <v>53850</v>
      </c>
      <c r="F33">
        <v>122</v>
      </c>
      <c r="G33" t="s">
        <v>261</v>
      </c>
      <c r="H33" t="s">
        <v>262</v>
      </c>
      <c r="I33" t="s">
        <v>48</v>
      </c>
      <c r="L33">
        <v>1223300002128</v>
      </c>
      <c r="M33">
        <v>20250409</v>
      </c>
      <c r="N33" t="s">
        <v>263</v>
      </c>
      <c r="Q33" t="s">
        <v>55</v>
      </c>
      <c r="R33">
        <v>32524.58</v>
      </c>
      <c r="T33">
        <v>3711207</v>
      </c>
      <c r="U33">
        <v>8825020723</v>
      </c>
      <c r="V33" t="s">
        <v>264</v>
      </c>
      <c r="W33" t="s">
        <v>53</v>
      </c>
      <c r="X33" t="s">
        <v>57</v>
      </c>
      <c r="Y33" t="s">
        <v>49</v>
      </c>
      <c r="Z33">
        <v>1696</v>
      </c>
      <c r="AH33">
        <v>0</v>
      </c>
      <c r="AI33">
        <v>202504</v>
      </c>
      <c r="AJ33" t="s">
        <v>51</v>
      </c>
      <c r="AK33">
        <v>0</v>
      </c>
      <c r="AL33">
        <v>1</v>
      </c>
      <c r="AO33">
        <v>0</v>
      </c>
      <c r="AP33">
        <v>620</v>
      </c>
      <c r="AQ33">
        <v>430</v>
      </c>
      <c r="AR33">
        <v>430620</v>
      </c>
      <c r="AS33" t="s">
        <v>58</v>
      </c>
      <c r="AU33" t="s">
        <v>58</v>
      </c>
      <c r="AV33">
        <v>25045.55</v>
      </c>
      <c r="AW33">
        <v>26010.331999999999</v>
      </c>
      <c r="AX33">
        <v>27041.058000000001</v>
      </c>
      <c r="AY33">
        <v>28420.708999999999</v>
      </c>
      <c r="AZ33">
        <v>29962.351999999999</v>
      </c>
      <c r="BA33">
        <v>31788.16</v>
      </c>
      <c r="BB33">
        <v>34027.07</v>
      </c>
      <c r="BC33">
        <v>36641.5795</v>
      </c>
      <c r="BD33">
        <v>39840.642</v>
      </c>
      <c r="BE33">
        <v>40000</v>
      </c>
      <c r="BF33">
        <v>41343.269999999997</v>
      </c>
      <c r="BG33">
        <v>44702.324999999997</v>
      </c>
      <c r="BH33">
        <v>49392.076000000001</v>
      </c>
      <c r="BI33">
        <v>58375.907500000008</v>
      </c>
      <c r="BJ33">
        <v>70239.999999999985</v>
      </c>
      <c r="BK33">
        <v>81597.5</v>
      </c>
      <c r="BL33">
        <v>118941.322</v>
      </c>
      <c r="BM33">
        <v>163981.24299999949</v>
      </c>
      <c r="BN33">
        <v>270486.4050000002</v>
      </c>
      <c r="BO33">
        <v>446888.37399999989</v>
      </c>
      <c r="BP33">
        <v>2814221.66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 x14ac:dyDescent="0.35">
      <c r="A34">
        <v>341856</v>
      </c>
      <c r="B34" t="s">
        <v>259</v>
      </c>
      <c r="C34" t="s">
        <v>260</v>
      </c>
      <c r="D34" s="1">
        <v>45787</v>
      </c>
      <c r="E34">
        <v>53850</v>
      </c>
      <c r="F34">
        <v>122</v>
      </c>
      <c r="G34" t="s">
        <v>261</v>
      </c>
      <c r="H34" t="s">
        <v>262</v>
      </c>
      <c r="I34" t="s">
        <v>48</v>
      </c>
      <c r="L34">
        <v>1223300002128</v>
      </c>
      <c r="M34">
        <v>20250409</v>
      </c>
      <c r="N34" t="s">
        <v>263</v>
      </c>
      <c r="Q34" t="s">
        <v>55</v>
      </c>
      <c r="R34">
        <v>125998.16</v>
      </c>
      <c r="T34">
        <v>3711207</v>
      </c>
      <c r="U34">
        <v>8825020723</v>
      </c>
      <c r="V34" t="s">
        <v>264</v>
      </c>
      <c r="W34" t="s">
        <v>53</v>
      </c>
      <c r="X34" t="s">
        <v>57</v>
      </c>
      <c r="Y34" t="s">
        <v>49</v>
      </c>
      <c r="Z34">
        <v>1696</v>
      </c>
      <c r="AH34">
        <v>0</v>
      </c>
      <c r="AI34">
        <v>202504</v>
      </c>
      <c r="AJ34" t="s">
        <v>51</v>
      </c>
      <c r="AK34">
        <v>0</v>
      </c>
      <c r="AL34">
        <v>1</v>
      </c>
      <c r="AO34">
        <v>0</v>
      </c>
      <c r="AP34">
        <v>620</v>
      </c>
      <c r="AQ34">
        <v>430</v>
      </c>
      <c r="AR34">
        <v>430620</v>
      </c>
      <c r="AS34" t="s">
        <v>58</v>
      </c>
      <c r="AU34" t="s">
        <v>58</v>
      </c>
      <c r="AV34">
        <v>25045.55</v>
      </c>
      <c r="AW34">
        <v>26010.331999999999</v>
      </c>
      <c r="AX34">
        <v>27041.058000000001</v>
      </c>
      <c r="AY34">
        <v>28420.708999999999</v>
      </c>
      <c r="AZ34">
        <v>29962.351999999999</v>
      </c>
      <c r="BA34">
        <v>31788.16</v>
      </c>
      <c r="BB34">
        <v>34027.07</v>
      </c>
      <c r="BC34">
        <v>36641.5795</v>
      </c>
      <c r="BD34">
        <v>39840.642</v>
      </c>
      <c r="BE34">
        <v>40000</v>
      </c>
      <c r="BF34">
        <v>41343.269999999997</v>
      </c>
      <c r="BG34">
        <v>44702.324999999997</v>
      </c>
      <c r="BH34">
        <v>49392.076000000001</v>
      </c>
      <c r="BI34">
        <v>58375.907500000008</v>
      </c>
      <c r="BJ34">
        <v>70239.999999999985</v>
      </c>
      <c r="BK34">
        <v>81597.5</v>
      </c>
      <c r="BL34">
        <v>118941.322</v>
      </c>
      <c r="BM34">
        <v>163981.24299999949</v>
      </c>
      <c r="BN34">
        <v>270486.4050000002</v>
      </c>
      <c r="BO34">
        <v>446888.37399999989</v>
      </c>
      <c r="BP34">
        <v>2814221.66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0</v>
      </c>
      <c r="CI34">
        <v>0</v>
      </c>
      <c r="CJ34">
        <v>0</v>
      </c>
      <c r="CK34">
        <v>0</v>
      </c>
    </row>
    <row r="35" spans="1:89" x14ac:dyDescent="0.35">
      <c r="A35">
        <v>341851</v>
      </c>
      <c r="B35" t="s">
        <v>259</v>
      </c>
      <c r="C35" t="s">
        <v>260</v>
      </c>
      <c r="D35" s="1">
        <v>45787</v>
      </c>
      <c r="E35">
        <v>53850</v>
      </c>
      <c r="F35">
        <v>191</v>
      </c>
      <c r="G35" t="s">
        <v>173</v>
      </c>
      <c r="H35" t="s">
        <v>262</v>
      </c>
      <c r="I35" t="s">
        <v>48</v>
      </c>
      <c r="L35">
        <v>1913300068122</v>
      </c>
      <c r="M35">
        <v>20250429</v>
      </c>
      <c r="N35" t="s">
        <v>263</v>
      </c>
      <c r="Q35" t="s">
        <v>55</v>
      </c>
      <c r="R35">
        <v>30000</v>
      </c>
      <c r="T35">
        <v>4918280</v>
      </c>
      <c r="U35">
        <v>3480410798</v>
      </c>
      <c r="V35" t="s">
        <v>291</v>
      </c>
      <c r="W35" t="s">
        <v>53</v>
      </c>
      <c r="X35" t="s">
        <v>232</v>
      </c>
      <c r="Y35" t="s">
        <v>49</v>
      </c>
      <c r="AH35">
        <v>0</v>
      </c>
      <c r="AI35">
        <v>202504</v>
      </c>
      <c r="AJ35" t="s">
        <v>61</v>
      </c>
      <c r="AK35">
        <v>0</v>
      </c>
      <c r="AL35">
        <v>1</v>
      </c>
      <c r="AO35">
        <v>0</v>
      </c>
      <c r="AP35">
        <v>999</v>
      </c>
      <c r="AQ35">
        <v>430</v>
      </c>
      <c r="AR35">
        <v>430999</v>
      </c>
      <c r="AT35">
        <v>1</v>
      </c>
      <c r="AU35" t="s">
        <v>54</v>
      </c>
      <c r="AV35">
        <v>25045.55</v>
      </c>
      <c r="AW35">
        <v>26010.331999999999</v>
      </c>
      <c r="AX35">
        <v>27041.058000000001</v>
      </c>
      <c r="AY35">
        <v>28420.708999999999</v>
      </c>
      <c r="AZ35">
        <v>29962.351999999999</v>
      </c>
      <c r="BA35">
        <v>31788.16</v>
      </c>
      <c r="BB35">
        <v>34027.07</v>
      </c>
      <c r="BC35">
        <v>36641.5795</v>
      </c>
      <c r="BD35">
        <v>39840.642</v>
      </c>
      <c r="BE35">
        <v>40000</v>
      </c>
      <c r="BF35">
        <v>41343.269999999997</v>
      </c>
      <c r="BG35">
        <v>44702.324999999997</v>
      </c>
      <c r="BH35">
        <v>49392.076000000001</v>
      </c>
      <c r="BI35">
        <v>58375.907500000008</v>
      </c>
      <c r="BJ35">
        <v>70239.999999999985</v>
      </c>
      <c r="BK35">
        <v>81597.5</v>
      </c>
      <c r="BL35">
        <v>118941.322</v>
      </c>
      <c r="BM35">
        <v>163981.24299999949</v>
      </c>
      <c r="BN35">
        <v>270486.4050000002</v>
      </c>
      <c r="BO35">
        <v>446888.37399999989</v>
      </c>
      <c r="BP35">
        <v>2814221.66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 x14ac:dyDescent="0.35">
      <c r="A36">
        <v>341846</v>
      </c>
      <c r="B36" t="s">
        <v>259</v>
      </c>
      <c r="C36" t="s">
        <v>260</v>
      </c>
      <c r="D36" s="1">
        <v>45787</v>
      </c>
      <c r="E36">
        <v>53850</v>
      </c>
      <c r="F36">
        <v>122</v>
      </c>
      <c r="G36" t="s">
        <v>261</v>
      </c>
      <c r="H36" t="s">
        <v>262</v>
      </c>
      <c r="I36" t="s">
        <v>48</v>
      </c>
      <c r="L36">
        <v>1223300001682</v>
      </c>
      <c r="M36">
        <v>20250409</v>
      </c>
      <c r="N36" t="s">
        <v>263</v>
      </c>
      <c r="Q36" t="s">
        <v>55</v>
      </c>
      <c r="R36">
        <v>119376.46</v>
      </c>
      <c r="T36">
        <v>3711207</v>
      </c>
      <c r="U36">
        <v>8825020723</v>
      </c>
      <c r="V36" t="s">
        <v>264</v>
      </c>
      <c r="W36" t="s">
        <v>53</v>
      </c>
      <c r="X36" t="s">
        <v>57</v>
      </c>
      <c r="Y36" t="s">
        <v>49</v>
      </c>
      <c r="Z36">
        <v>1696</v>
      </c>
      <c r="AH36">
        <v>0</v>
      </c>
      <c r="AI36">
        <v>202504</v>
      </c>
      <c r="AJ36" t="s">
        <v>51</v>
      </c>
      <c r="AK36">
        <v>0</v>
      </c>
      <c r="AL36">
        <v>1</v>
      </c>
      <c r="AO36">
        <v>0</v>
      </c>
      <c r="AP36">
        <v>620</v>
      </c>
      <c r="AQ36">
        <v>430</v>
      </c>
      <c r="AR36">
        <v>430620</v>
      </c>
      <c r="AS36" t="s">
        <v>58</v>
      </c>
      <c r="AU36" t="s">
        <v>58</v>
      </c>
      <c r="AV36">
        <v>25045.55</v>
      </c>
      <c r="AW36">
        <v>26010.331999999999</v>
      </c>
      <c r="AX36">
        <v>27041.058000000001</v>
      </c>
      <c r="AY36">
        <v>28420.708999999999</v>
      </c>
      <c r="AZ36">
        <v>29962.351999999999</v>
      </c>
      <c r="BA36">
        <v>31788.16</v>
      </c>
      <c r="BB36">
        <v>34027.07</v>
      </c>
      <c r="BC36">
        <v>36641.5795</v>
      </c>
      <c r="BD36">
        <v>39840.642</v>
      </c>
      <c r="BE36">
        <v>40000</v>
      </c>
      <c r="BF36">
        <v>41343.269999999997</v>
      </c>
      <c r="BG36">
        <v>44702.324999999997</v>
      </c>
      <c r="BH36">
        <v>49392.076000000001</v>
      </c>
      <c r="BI36">
        <v>58375.907500000008</v>
      </c>
      <c r="BJ36">
        <v>70239.999999999985</v>
      </c>
      <c r="BK36">
        <v>81597.5</v>
      </c>
      <c r="BL36">
        <v>118941.322</v>
      </c>
      <c r="BM36">
        <v>163981.24299999949</v>
      </c>
      <c r="BN36">
        <v>270486.4050000002</v>
      </c>
      <c r="BO36">
        <v>446888.37399999989</v>
      </c>
      <c r="BP36">
        <v>2814221.66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0</v>
      </c>
      <c r="CI36">
        <v>0</v>
      </c>
      <c r="CJ36">
        <v>0</v>
      </c>
      <c r="CK36">
        <v>0</v>
      </c>
    </row>
    <row r="37" spans="1:89" x14ac:dyDescent="0.35">
      <c r="A37">
        <v>341837</v>
      </c>
      <c r="B37" t="s">
        <v>259</v>
      </c>
      <c r="C37" t="s">
        <v>260</v>
      </c>
      <c r="D37" s="1">
        <v>45787</v>
      </c>
      <c r="E37">
        <v>53850</v>
      </c>
      <c r="F37">
        <v>132</v>
      </c>
      <c r="G37" t="s">
        <v>161</v>
      </c>
      <c r="H37" t="s">
        <v>262</v>
      </c>
      <c r="I37" t="s">
        <v>48</v>
      </c>
      <c r="L37">
        <v>1323300003714</v>
      </c>
      <c r="M37">
        <v>20250407</v>
      </c>
      <c r="N37" t="s">
        <v>263</v>
      </c>
      <c r="Q37" t="s">
        <v>55</v>
      </c>
      <c r="R37">
        <v>28274</v>
      </c>
      <c r="T37">
        <v>3724103</v>
      </c>
      <c r="U37">
        <v>2178850760</v>
      </c>
      <c r="V37" t="s">
        <v>284</v>
      </c>
      <c r="W37" t="s">
        <v>53</v>
      </c>
      <c r="X37" t="s">
        <v>283</v>
      </c>
      <c r="Y37" t="s">
        <v>49</v>
      </c>
      <c r="Z37">
        <v>823</v>
      </c>
      <c r="AH37">
        <v>0</v>
      </c>
      <c r="AI37">
        <v>202504</v>
      </c>
      <c r="AJ37" t="s">
        <v>51</v>
      </c>
      <c r="AK37">
        <v>0</v>
      </c>
      <c r="AL37">
        <v>1</v>
      </c>
      <c r="AO37">
        <v>0</v>
      </c>
      <c r="AP37">
        <v>999</v>
      </c>
      <c r="AQ37">
        <v>430</v>
      </c>
      <c r="AR37">
        <v>430999</v>
      </c>
      <c r="AT37">
        <v>1</v>
      </c>
      <c r="AU37" t="s">
        <v>54</v>
      </c>
      <c r="AV37">
        <v>25045.55</v>
      </c>
      <c r="AW37">
        <v>26010.331999999999</v>
      </c>
      <c r="AX37">
        <v>27041.058000000001</v>
      </c>
      <c r="AY37">
        <v>28420.708999999999</v>
      </c>
      <c r="AZ37">
        <v>29962.351999999999</v>
      </c>
      <c r="BA37">
        <v>31788.16</v>
      </c>
      <c r="BB37">
        <v>34027.07</v>
      </c>
      <c r="BC37">
        <v>36641.5795</v>
      </c>
      <c r="BD37">
        <v>39840.642</v>
      </c>
      <c r="BE37">
        <v>40000</v>
      </c>
      <c r="BF37">
        <v>41343.269999999997</v>
      </c>
      <c r="BG37">
        <v>44702.324999999997</v>
      </c>
      <c r="BH37">
        <v>49392.076000000001</v>
      </c>
      <c r="BI37">
        <v>58375.907500000008</v>
      </c>
      <c r="BJ37">
        <v>70239.999999999985</v>
      </c>
      <c r="BK37">
        <v>81597.5</v>
      </c>
      <c r="BL37">
        <v>118941.322</v>
      </c>
      <c r="BM37">
        <v>163981.24299999949</v>
      </c>
      <c r="BN37">
        <v>270486.4050000002</v>
      </c>
      <c r="BO37">
        <v>446888.37399999989</v>
      </c>
      <c r="BP37">
        <v>2814221.66</v>
      </c>
      <c r="BQ37">
        <v>1</v>
      </c>
      <c r="BR37">
        <v>1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 x14ac:dyDescent="0.35">
      <c r="A38">
        <v>341832</v>
      </c>
      <c r="B38" t="s">
        <v>259</v>
      </c>
      <c r="C38" t="s">
        <v>260</v>
      </c>
      <c r="D38" s="1">
        <v>45787</v>
      </c>
      <c r="E38">
        <v>53850</v>
      </c>
      <c r="F38">
        <v>122</v>
      </c>
      <c r="G38" t="s">
        <v>261</v>
      </c>
      <c r="H38" t="s">
        <v>262</v>
      </c>
      <c r="I38" t="s">
        <v>48</v>
      </c>
      <c r="L38">
        <v>1223300002128</v>
      </c>
      <c r="M38">
        <v>20250410</v>
      </c>
      <c r="N38" t="s">
        <v>263</v>
      </c>
      <c r="Q38" t="s">
        <v>55</v>
      </c>
      <c r="R38">
        <v>39297.589999999997</v>
      </c>
      <c r="T38">
        <v>3711207</v>
      </c>
      <c r="U38">
        <v>8825020723</v>
      </c>
      <c r="V38" t="s">
        <v>264</v>
      </c>
      <c r="W38" t="s">
        <v>53</v>
      </c>
      <c r="X38" t="s">
        <v>57</v>
      </c>
      <c r="Y38" t="s">
        <v>49</v>
      </c>
      <c r="Z38">
        <v>1696</v>
      </c>
      <c r="AH38">
        <v>0</v>
      </c>
      <c r="AI38">
        <v>202504</v>
      </c>
      <c r="AJ38" t="s">
        <v>51</v>
      </c>
      <c r="AK38">
        <v>0</v>
      </c>
      <c r="AL38">
        <v>1</v>
      </c>
      <c r="AO38">
        <v>0</v>
      </c>
      <c r="AP38">
        <v>620</v>
      </c>
      <c r="AQ38">
        <v>430</v>
      </c>
      <c r="AR38">
        <v>430620</v>
      </c>
      <c r="AS38" t="s">
        <v>58</v>
      </c>
      <c r="AU38" t="s">
        <v>58</v>
      </c>
      <c r="AV38">
        <v>25045.55</v>
      </c>
      <c r="AW38">
        <v>26010.331999999999</v>
      </c>
      <c r="AX38">
        <v>27041.058000000001</v>
      </c>
      <c r="AY38">
        <v>28420.708999999999</v>
      </c>
      <c r="AZ38">
        <v>29962.351999999999</v>
      </c>
      <c r="BA38">
        <v>31788.16</v>
      </c>
      <c r="BB38">
        <v>34027.07</v>
      </c>
      <c r="BC38">
        <v>36641.5795</v>
      </c>
      <c r="BD38">
        <v>39840.642</v>
      </c>
      <c r="BE38">
        <v>40000</v>
      </c>
      <c r="BF38">
        <v>41343.269999999997</v>
      </c>
      <c r="BG38">
        <v>44702.324999999997</v>
      </c>
      <c r="BH38">
        <v>49392.076000000001</v>
      </c>
      <c r="BI38">
        <v>58375.907500000008</v>
      </c>
      <c r="BJ38">
        <v>70239.999999999985</v>
      </c>
      <c r="BK38">
        <v>81597.5</v>
      </c>
      <c r="BL38">
        <v>118941.322</v>
      </c>
      <c r="BM38">
        <v>163981.24299999949</v>
      </c>
      <c r="BN38">
        <v>270486.4050000002</v>
      </c>
      <c r="BO38">
        <v>446888.37399999989</v>
      </c>
      <c r="BP38">
        <v>2814221.66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 x14ac:dyDescent="0.35">
      <c r="A39">
        <v>341819</v>
      </c>
      <c r="B39" t="s">
        <v>259</v>
      </c>
      <c r="C39" t="s">
        <v>260</v>
      </c>
      <c r="D39" s="1">
        <v>45787</v>
      </c>
      <c r="E39">
        <v>53850</v>
      </c>
      <c r="F39">
        <v>153</v>
      </c>
      <c r="G39" t="s">
        <v>81</v>
      </c>
      <c r="H39" t="s">
        <v>262</v>
      </c>
      <c r="I39" t="s">
        <v>48</v>
      </c>
      <c r="L39">
        <v>1533300663957</v>
      </c>
      <c r="M39">
        <v>20250414</v>
      </c>
      <c r="N39" t="s">
        <v>263</v>
      </c>
      <c r="Q39" t="s">
        <v>55</v>
      </c>
      <c r="R39">
        <v>48960.38</v>
      </c>
      <c r="T39">
        <v>3720623</v>
      </c>
      <c r="U39">
        <v>3067020648</v>
      </c>
      <c r="V39" t="s">
        <v>292</v>
      </c>
      <c r="W39" t="s">
        <v>53</v>
      </c>
      <c r="X39" t="s">
        <v>83</v>
      </c>
      <c r="Y39" t="s">
        <v>49</v>
      </c>
      <c r="Z39">
        <v>1055</v>
      </c>
      <c r="AH39">
        <v>0</v>
      </c>
      <c r="AI39">
        <v>202504</v>
      </c>
      <c r="AJ39" t="s">
        <v>61</v>
      </c>
      <c r="AK39">
        <v>0</v>
      </c>
      <c r="AL39">
        <v>1</v>
      </c>
      <c r="AO39">
        <v>0</v>
      </c>
      <c r="AP39">
        <v>462</v>
      </c>
      <c r="AQ39">
        <v>430</v>
      </c>
      <c r="AR39">
        <v>430462</v>
      </c>
      <c r="AS39" t="s">
        <v>58</v>
      </c>
      <c r="AU39" t="s">
        <v>58</v>
      </c>
      <c r="AV39">
        <v>25045.55</v>
      </c>
      <c r="AW39">
        <v>26010.331999999999</v>
      </c>
      <c r="AX39">
        <v>27041.058000000001</v>
      </c>
      <c r="AY39">
        <v>28420.708999999999</v>
      </c>
      <c r="AZ39">
        <v>29962.351999999999</v>
      </c>
      <c r="BA39">
        <v>31788.16</v>
      </c>
      <c r="BB39">
        <v>34027.07</v>
      </c>
      <c r="BC39">
        <v>36641.5795</v>
      </c>
      <c r="BD39">
        <v>39840.642</v>
      </c>
      <c r="BE39">
        <v>40000</v>
      </c>
      <c r="BF39">
        <v>41343.269999999997</v>
      </c>
      <c r="BG39">
        <v>44702.324999999997</v>
      </c>
      <c r="BH39">
        <v>49392.076000000001</v>
      </c>
      <c r="BI39">
        <v>58375.907500000008</v>
      </c>
      <c r="BJ39">
        <v>70239.999999999985</v>
      </c>
      <c r="BK39">
        <v>81597.5</v>
      </c>
      <c r="BL39">
        <v>118941.322</v>
      </c>
      <c r="BM39">
        <v>163981.24299999949</v>
      </c>
      <c r="BN39">
        <v>270486.4050000002</v>
      </c>
      <c r="BO39">
        <v>446888.37399999989</v>
      </c>
      <c r="BP39">
        <v>2814221.66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 x14ac:dyDescent="0.35">
      <c r="A40">
        <v>341814</v>
      </c>
      <c r="B40" t="s">
        <v>259</v>
      </c>
      <c r="C40" t="s">
        <v>260</v>
      </c>
      <c r="D40" s="1">
        <v>45787</v>
      </c>
      <c r="E40">
        <v>53850</v>
      </c>
      <c r="F40">
        <v>122</v>
      </c>
      <c r="G40" t="s">
        <v>261</v>
      </c>
      <c r="H40" t="s">
        <v>262</v>
      </c>
      <c r="I40" t="s">
        <v>48</v>
      </c>
      <c r="L40">
        <v>1223300001682</v>
      </c>
      <c r="M40">
        <v>20250428</v>
      </c>
      <c r="N40" t="s">
        <v>263</v>
      </c>
      <c r="Q40" t="s">
        <v>55</v>
      </c>
      <c r="R40">
        <v>83000</v>
      </c>
      <c r="T40">
        <v>3711207</v>
      </c>
      <c r="U40">
        <v>8825020723</v>
      </c>
      <c r="V40" t="s">
        <v>264</v>
      </c>
      <c r="W40" t="s">
        <v>53</v>
      </c>
      <c r="X40" t="s">
        <v>57</v>
      </c>
      <c r="Y40" t="s">
        <v>49</v>
      </c>
      <c r="Z40">
        <v>1696</v>
      </c>
      <c r="AH40">
        <v>0</v>
      </c>
      <c r="AI40">
        <v>202504</v>
      </c>
      <c r="AJ40" t="s">
        <v>51</v>
      </c>
      <c r="AK40">
        <v>0</v>
      </c>
      <c r="AL40">
        <v>1</v>
      </c>
      <c r="AO40">
        <v>0</v>
      </c>
      <c r="AP40">
        <v>620</v>
      </c>
      <c r="AQ40">
        <v>430</v>
      </c>
      <c r="AR40">
        <v>430620</v>
      </c>
      <c r="AS40" t="s">
        <v>58</v>
      </c>
      <c r="AU40" t="s">
        <v>58</v>
      </c>
      <c r="AV40">
        <v>25045.55</v>
      </c>
      <c r="AW40">
        <v>26010.331999999999</v>
      </c>
      <c r="AX40">
        <v>27041.058000000001</v>
      </c>
      <c r="AY40">
        <v>28420.708999999999</v>
      </c>
      <c r="AZ40">
        <v>29962.351999999999</v>
      </c>
      <c r="BA40">
        <v>31788.16</v>
      </c>
      <c r="BB40">
        <v>34027.07</v>
      </c>
      <c r="BC40">
        <v>36641.5795</v>
      </c>
      <c r="BD40">
        <v>39840.642</v>
      </c>
      <c r="BE40">
        <v>40000</v>
      </c>
      <c r="BF40">
        <v>41343.269999999997</v>
      </c>
      <c r="BG40">
        <v>44702.324999999997</v>
      </c>
      <c r="BH40">
        <v>49392.076000000001</v>
      </c>
      <c r="BI40">
        <v>58375.907500000008</v>
      </c>
      <c r="BJ40">
        <v>70239.999999999985</v>
      </c>
      <c r="BK40">
        <v>81597.5</v>
      </c>
      <c r="BL40">
        <v>118941.322</v>
      </c>
      <c r="BM40">
        <v>163981.24299999949</v>
      </c>
      <c r="BN40">
        <v>270486.4050000002</v>
      </c>
      <c r="BO40">
        <v>446888.37399999989</v>
      </c>
      <c r="BP40">
        <v>2814221.66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 x14ac:dyDescent="0.35">
      <c r="A41">
        <v>341808</v>
      </c>
      <c r="B41" t="s">
        <v>259</v>
      </c>
      <c r="C41" t="s">
        <v>260</v>
      </c>
      <c r="D41" s="1">
        <v>45787</v>
      </c>
      <c r="E41">
        <v>53850</v>
      </c>
      <c r="F41">
        <v>122</v>
      </c>
      <c r="G41" t="s">
        <v>261</v>
      </c>
      <c r="H41" t="s">
        <v>262</v>
      </c>
      <c r="I41" t="s">
        <v>48</v>
      </c>
      <c r="L41">
        <v>1223300001682</v>
      </c>
      <c r="M41">
        <v>20250410</v>
      </c>
      <c r="N41" t="s">
        <v>263</v>
      </c>
      <c r="Q41" t="s">
        <v>55</v>
      </c>
      <c r="R41">
        <v>35000</v>
      </c>
      <c r="T41">
        <v>3711207</v>
      </c>
      <c r="U41">
        <v>8825020723</v>
      </c>
      <c r="V41" t="s">
        <v>264</v>
      </c>
      <c r="W41" t="s">
        <v>53</v>
      </c>
      <c r="X41" t="s">
        <v>57</v>
      </c>
      <c r="Y41" t="s">
        <v>49</v>
      </c>
      <c r="Z41">
        <v>1696</v>
      </c>
      <c r="AH41">
        <v>0</v>
      </c>
      <c r="AI41">
        <v>202504</v>
      </c>
      <c r="AJ41" t="s">
        <v>51</v>
      </c>
      <c r="AK41">
        <v>0</v>
      </c>
      <c r="AL41">
        <v>1</v>
      </c>
      <c r="AO41">
        <v>0</v>
      </c>
      <c r="AP41">
        <v>620</v>
      </c>
      <c r="AQ41">
        <v>430</v>
      </c>
      <c r="AR41">
        <v>430620</v>
      </c>
      <c r="AS41" t="s">
        <v>58</v>
      </c>
      <c r="AU41" t="s">
        <v>58</v>
      </c>
      <c r="AV41">
        <v>25045.55</v>
      </c>
      <c r="AW41">
        <v>26010.331999999999</v>
      </c>
      <c r="AX41">
        <v>27041.058000000001</v>
      </c>
      <c r="AY41">
        <v>28420.708999999999</v>
      </c>
      <c r="AZ41">
        <v>29962.351999999999</v>
      </c>
      <c r="BA41">
        <v>31788.16</v>
      </c>
      <c r="BB41">
        <v>34027.07</v>
      </c>
      <c r="BC41">
        <v>36641.5795</v>
      </c>
      <c r="BD41">
        <v>39840.642</v>
      </c>
      <c r="BE41">
        <v>40000</v>
      </c>
      <c r="BF41">
        <v>41343.269999999997</v>
      </c>
      <c r="BG41">
        <v>44702.324999999997</v>
      </c>
      <c r="BH41">
        <v>49392.076000000001</v>
      </c>
      <c r="BI41">
        <v>58375.907500000008</v>
      </c>
      <c r="BJ41">
        <v>70239.999999999985</v>
      </c>
      <c r="BK41">
        <v>81597.5</v>
      </c>
      <c r="BL41">
        <v>118941.322</v>
      </c>
      <c r="BM41">
        <v>163981.24299999949</v>
      </c>
      <c r="BN41">
        <v>270486.4050000002</v>
      </c>
      <c r="BO41">
        <v>446888.37399999989</v>
      </c>
      <c r="BP41">
        <v>2814221.66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 x14ac:dyDescent="0.35">
      <c r="A42">
        <v>341805</v>
      </c>
      <c r="B42" t="s">
        <v>259</v>
      </c>
      <c r="C42" t="s">
        <v>260</v>
      </c>
      <c r="D42" s="1">
        <v>45787</v>
      </c>
      <c r="E42">
        <v>53850</v>
      </c>
      <c r="F42">
        <v>153</v>
      </c>
      <c r="G42" t="s">
        <v>81</v>
      </c>
      <c r="H42" t="s">
        <v>262</v>
      </c>
      <c r="I42" t="s">
        <v>48</v>
      </c>
      <c r="L42">
        <v>1533300663959</v>
      </c>
      <c r="M42">
        <v>20250428</v>
      </c>
      <c r="N42" t="s">
        <v>263</v>
      </c>
      <c r="Q42" t="s">
        <v>55</v>
      </c>
      <c r="R42">
        <v>45100</v>
      </c>
      <c r="T42">
        <v>3721097</v>
      </c>
      <c r="U42">
        <v>10391641213</v>
      </c>
      <c r="V42" t="s">
        <v>270</v>
      </c>
      <c r="W42" t="s">
        <v>53</v>
      </c>
      <c r="X42" t="s">
        <v>83</v>
      </c>
      <c r="Y42" t="s">
        <v>49</v>
      </c>
      <c r="Z42">
        <v>1237</v>
      </c>
      <c r="AH42">
        <v>0</v>
      </c>
      <c r="AI42">
        <v>202504</v>
      </c>
      <c r="AJ42" t="s">
        <v>61</v>
      </c>
      <c r="AK42">
        <v>0</v>
      </c>
      <c r="AL42">
        <v>1</v>
      </c>
      <c r="AO42">
        <v>0</v>
      </c>
      <c r="AP42">
        <v>462</v>
      </c>
      <c r="AQ42">
        <v>430</v>
      </c>
      <c r="AR42">
        <v>430462</v>
      </c>
      <c r="AS42" t="s">
        <v>58</v>
      </c>
      <c r="AU42" t="s">
        <v>58</v>
      </c>
      <c r="AV42">
        <v>25045.55</v>
      </c>
      <c r="AW42">
        <v>26010.331999999999</v>
      </c>
      <c r="AX42">
        <v>27041.058000000001</v>
      </c>
      <c r="AY42">
        <v>28420.708999999999</v>
      </c>
      <c r="AZ42">
        <v>29962.351999999999</v>
      </c>
      <c r="BA42">
        <v>31788.16</v>
      </c>
      <c r="BB42">
        <v>34027.07</v>
      </c>
      <c r="BC42">
        <v>36641.5795</v>
      </c>
      <c r="BD42">
        <v>39840.642</v>
      </c>
      <c r="BE42">
        <v>40000</v>
      </c>
      <c r="BF42">
        <v>41343.269999999997</v>
      </c>
      <c r="BG42">
        <v>44702.324999999997</v>
      </c>
      <c r="BH42">
        <v>49392.076000000001</v>
      </c>
      <c r="BI42">
        <v>58375.907500000008</v>
      </c>
      <c r="BJ42">
        <v>70239.999999999985</v>
      </c>
      <c r="BK42">
        <v>81597.5</v>
      </c>
      <c r="BL42">
        <v>118941.322</v>
      </c>
      <c r="BM42">
        <v>163981.24299999949</v>
      </c>
      <c r="BN42">
        <v>270486.4050000002</v>
      </c>
      <c r="BO42">
        <v>446888.37399999989</v>
      </c>
      <c r="BP42">
        <v>2814221.66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 x14ac:dyDescent="0.35">
      <c r="A43">
        <v>341797</v>
      </c>
      <c r="B43" t="s">
        <v>259</v>
      </c>
      <c r="C43" t="s">
        <v>260</v>
      </c>
      <c r="D43" s="1">
        <v>45787</v>
      </c>
      <c r="E43">
        <v>53850</v>
      </c>
      <c r="F43">
        <v>148</v>
      </c>
      <c r="G43" t="s">
        <v>90</v>
      </c>
      <c r="H43" t="s">
        <v>262</v>
      </c>
      <c r="I43" t="s">
        <v>48</v>
      </c>
      <c r="L43">
        <v>1483300006067</v>
      </c>
      <c r="M43">
        <v>20250414</v>
      </c>
      <c r="N43" t="s">
        <v>263</v>
      </c>
      <c r="Q43" t="s">
        <v>55</v>
      </c>
      <c r="R43">
        <v>40000</v>
      </c>
      <c r="T43">
        <v>3737044</v>
      </c>
      <c r="U43">
        <v>15554071009</v>
      </c>
      <c r="V43" t="s">
        <v>282</v>
      </c>
      <c r="W43" t="s">
        <v>53</v>
      </c>
      <c r="X43" t="s">
        <v>283</v>
      </c>
      <c r="Y43" t="s">
        <v>49</v>
      </c>
      <c r="Z43">
        <v>1196</v>
      </c>
      <c r="AH43">
        <v>0</v>
      </c>
      <c r="AI43">
        <v>202504</v>
      </c>
      <c r="AJ43" t="s">
        <v>61</v>
      </c>
      <c r="AK43">
        <v>0</v>
      </c>
      <c r="AL43">
        <v>1</v>
      </c>
      <c r="AO43">
        <v>0</v>
      </c>
      <c r="AP43">
        <v>999</v>
      </c>
      <c r="AQ43">
        <v>430</v>
      </c>
      <c r="AR43">
        <v>430999</v>
      </c>
      <c r="AT43">
        <v>1</v>
      </c>
      <c r="AU43" t="s">
        <v>54</v>
      </c>
      <c r="AV43">
        <v>25045.55</v>
      </c>
      <c r="AW43">
        <v>26010.331999999999</v>
      </c>
      <c r="AX43">
        <v>27041.058000000001</v>
      </c>
      <c r="AY43">
        <v>28420.708999999999</v>
      </c>
      <c r="AZ43">
        <v>29962.351999999999</v>
      </c>
      <c r="BA43">
        <v>31788.16</v>
      </c>
      <c r="BB43">
        <v>34027.07</v>
      </c>
      <c r="BC43">
        <v>36641.5795</v>
      </c>
      <c r="BD43">
        <v>39840.642</v>
      </c>
      <c r="BE43">
        <v>40000</v>
      </c>
      <c r="BF43">
        <v>41343.269999999997</v>
      </c>
      <c r="BG43">
        <v>44702.324999999997</v>
      </c>
      <c r="BH43">
        <v>49392.076000000001</v>
      </c>
      <c r="BI43">
        <v>58375.907500000008</v>
      </c>
      <c r="BJ43">
        <v>70239.999999999985</v>
      </c>
      <c r="BK43">
        <v>81597.5</v>
      </c>
      <c r="BL43">
        <v>118941.322</v>
      </c>
      <c r="BM43">
        <v>163981.24299999949</v>
      </c>
      <c r="BN43">
        <v>270486.4050000002</v>
      </c>
      <c r="BO43">
        <v>446888.37399999989</v>
      </c>
      <c r="BP43">
        <v>2814221.66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 x14ac:dyDescent="0.35">
      <c r="A44">
        <v>341793</v>
      </c>
      <c r="B44" t="s">
        <v>259</v>
      </c>
      <c r="C44" t="s">
        <v>260</v>
      </c>
      <c r="D44" s="1">
        <v>45787</v>
      </c>
      <c r="E44">
        <v>53850</v>
      </c>
      <c r="F44">
        <v>141</v>
      </c>
      <c r="G44" t="s">
        <v>76</v>
      </c>
      <c r="H44" t="s">
        <v>262</v>
      </c>
      <c r="I44" t="s">
        <v>48</v>
      </c>
      <c r="L44">
        <v>1413300003985</v>
      </c>
      <c r="M44">
        <v>20250403</v>
      </c>
      <c r="N44" t="s">
        <v>263</v>
      </c>
      <c r="Q44" t="s">
        <v>55</v>
      </c>
      <c r="R44">
        <v>343671.11</v>
      </c>
      <c r="T44">
        <v>4996689</v>
      </c>
      <c r="U44">
        <v>80010360750</v>
      </c>
      <c r="V44" t="s">
        <v>293</v>
      </c>
      <c r="W44" t="s">
        <v>53</v>
      </c>
      <c r="X44" t="s">
        <v>294</v>
      </c>
      <c r="Y44" t="s">
        <v>49</v>
      </c>
      <c r="Z44">
        <v>1940</v>
      </c>
      <c r="AH44">
        <v>0</v>
      </c>
      <c r="AI44">
        <v>202504</v>
      </c>
      <c r="AJ44" t="s">
        <v>61</v>
      </c>
      <c r="AK44">
        <v>0</v>
      </c>
      <c r="AL44">
        <v>1</v>
      </c>
      <c r="AO44">
        <v>0</v>
      </c>
      <c r="AP44">
        <v>931</v>
      </c>
      <c r="AQ44">
        <v>430</v>
      </c>
      <c r="AR44">
        <v>430931</v>
      </c>
      <c r="AS44" t="s">
        <v>58</v>
      </c>
      <c r="AU44" t="s">
        <v>58</v>
      </c>
      <c r="AV44">
        <v>25045.55</v>
      </c>
      <c r="AW44">
        <v>26010.331999999999</v>
      </c>
      <c r="AX44">
        <v>27041.058000000001</v>
      </c>
      <c r="AY44">
        <v>28420.708999999999</v>
      </c>
      <c r="AZ44">
        <v>29962.351999999999</v>
      </c>
      <c r="BA44">
        <v>31788.16</v>
      </c>
      <c r="BB44">
        <v>34027.07</v>
      </c>
      <c r="BC44">
        <v>36641.5795</v>
      </c>
      <c r="BD44">
        <v>39840.642</v>
      </c>
      <c r="BE44">
        <v>40000</v>
      </c>
      <c r="BF44">
        <v>41343.269999999997</v>
      </c>
      <c r="BG44">
        <v>44702.324999999997</v>
      </c>
      <c r="BH44">
        <v>49392.076000000001</v>
      </c>
      <c r="BI44">
        <v>58375.907500000008</v>
      </c>
      <c r="BJ44">
        <v>70239.999999999985</v>
      </c>
      <c r="BK44">
        <v>81597.5</v>
      </c>
      <c r="BL44">
        <v>118941.322</v>
      </c>
      <c r="BM44">
        <v>163981.24299999949</v>
      </c>
      <c r="BN44">
        <v>270486.4050000002</v>
      </c>
      <c r="BO44">
        <v>446888.37399999989</v>
      </c>
      <c r="BP44">
        <v>2814221.66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0</v>
      </c>
      <c r="CK44">
        <v>0</v>
      </c>
    </row>
    <row r="45" spans="1:89" x14ac:dyDescent="0.35">
      <c r="A45">
        <v>341792</v>
      </c>
      <c r="B45" t="s">
        <v>259</v>
      </c>
      <c r="C45" t="s">
        <v>260</v>
      </c>
      <c r="D45" s="1">
        <v>45787</v>
      </c>
      <c r="E45">
        <v>53850</v>
      </c>
      <c r="F45">
        <v>104</v>
      </c>
      <c r="G45" t="s">
        <v>50</v>
      </c>
      <c r="H45" t="s">
        <v>262</v>
      </c>
      <c r="I45" t="s">
        <v>48</v>
      </c>
      <c r="L45">
        <v>1043304173550</v>
      </c>
      <c r="M45">
        <v>20250423</v>
      </c>
      <c r="N45" t="s">
        <v>279</v>
      </c>
      <c r="Q45" t="s">
        <v>55</v>
      </c>
      <c r="R45">
        <v>26128.01</v>
      </c>
      <c r="T45">
        <v>417355</v>
      </c>
      <c r="U45">
        <v>374690725</v>
      </c>
      <c r="V45" t="s">
        <v>295</v>
      </c>
      <c r="W45" t="s">
        <v>53</v>
      </c>
      <c r="X45" t="s">
        <v>296</v>
      </c>
      <c r="Y45" t="s">
        <v>49</v>
      </c>
      <c r="Z45">
        <v>1919</v>
      </c>
      <c r="AH45">
        <v>0</v>
      </c>
      <c r="AI45">
        <v>202504</v>
      </c>
      <c r="AJ45" t="s">
        <v>51</v>
      </c>
      <c r="AK45">
        <v>0</v>
      </c>
      <c r="AL45">
        <v>1</v>
      </c>
      <c r="AM45">
        <v>417355</v>
      </c>
      <c r="AN45">
        <v>1</v>
      </c>
      <c r="AO45">
        <v>0</v>
      </c>
      <c r="AP45">
        <v>464</v>
      </c>
      <c r="AQ45">
        <v>430</v>
      </c>
      <c r="AR45">
        <v>430464</v>
      </c>
      <c r="AS45" t="s">
        <v>297</v>
      </c>
      <c r="AU45" t="s">
        <v>297</v>
      </c>
      <c r="AV45">
        <v>25045.55</v>
      </c>
      <c r="AW45">
        <v>26010.331999999999</v>
      </c>
      <c r="AX45">
        <v>27041.058000000001</v>
      </c>
      <c r="AY45">
        <v>28420.708999999999</v>
      </c>
      <c r="AZ45">
        <v>29962.351999999999</v>
      </c>
      <c r="BA45">
        <v>31788.16</v>
      </c>
      <c r="BB45">
        <v>34027.07</v>
      </c>
      <c r="BC45">
        <v>36641.5795</v>
      </c>
      <c r="BD45">
        <v>39840.642</v>
      </c>
      <c r="BE45">
        <v>40000</v>
      </c>
      <c r="BF45">
        <v>41343.269999999997</v>
      </c>
      <c r="BG45">
        <v>44702.324999999997</v>
      </c>
      <c r="BH45">
        <v>49392.076000000001</v>
      </c>
      <c r="BI45">
        <v>58375.907500000008</v>
      </c>
      <c r="BJ45">
        <v>70239.999999999985</v>
      </c>
      <c r="BK45">
        <v>81597.5</v>
      </c>
      <c r="BL45">
        <v>118941.322</v>
      </c>
      <c r="BM45">
        <v>163981.24299999949</v>
      </c>
      <c r="BN45">
        <v>270486.4050000002</v>
      </c>
      <c r="BO45">
        <v>446888.37399999989</v>
      </c>
      <c r="BP45">
        <v>2814221.66</v>
      </c>
      <c r="BQ45">
        <v>1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 x14ac:dyDescent="0.35">
      <c r="A46">
        <v>341790</v>
      </c>
      <c r="B46" t="s">
        <v>259</v>
      </c>
      <c r="C46" t="s">
        <v>260</v>
      </c>
      <c r="D46" s="1">
        <v>45787</v>
      </c>
      <c r="E46">
        <v>53850</v>
      </c>
      <c r="F46">
        <v>148</v>
      </c>
      <c r="G46" t="s">
        <v>90</v>
      </c>
      <c r="H46" t="s">
        <v>262</v>
      </c>
      <c r="I46" t="s">
        <v>48</v>
      </c>
      <c r="L46">
        <v>1483300004308</v>
      </c>
      <c r="M46">
        <v>20250424</v>
      </c>
      <c r="N46" t="s">
        <v>263</v>
      </c>
      <c r="Q46" t="s">
        <v>55</v>
      </c>
      <c r="R46">
        <v>40024.199999999997</v>
      </c>
      <c r="T46">
        <v>4898674</v>
      </c>
      <c r="U46">
        <v>2936580642</v>
      </c>
      <c r="V46" t="s">
        <v>230</v>
      </c>
      <c r="W46" t="s">
        <v>53</v>
      </c>
      <c r="X46" t="s">
        <v>231</v>
      </c>
      <c r="Y46" t="s">
        <v>49</v>
      </c>
      <c r="Z46">
        <v>1063</v>
      </c>
      <c r="AH46">
        <v>0</v>
      </c>
      <c r="AI46">
        <v>202504</v>
      </c>
      <c r="AJ46" t="s">
        <v>61</v>
      </c>
      <c r="AK46">
        <v>0</v>
      </c>
      <c r="AL46">
        <v>1</v>
      </c>
      <c r="AO46">
        <v>0</v>
      </c>
      <c r="AP46">
        <v>999</v>
      </c>
      <c r="AQ46">
        <v>430</v>
      </c>
      <c r="AR46">
        <v>430999</v>
      </c>
      <c r="AT46">
        <v>1</v>
      </c>
      <c r="AU46" t="s">
        <v>54</v>
      </c>
      <c r="AV46">
        <v>25045.55</v>
      </c>
      <c r="AW46">
        <v>26010.331999999999</v>
      </c>
      <c r="AX46">
        <v>27041.058000000001</v>
      </c>
      <c r="AY46">
        <v>28420.708999999999</v>
      </c>
      <c r="AZ46">
        <v>29962.351999999999</v>
      </c>
      <c r="BA46">
        <v>31788.16</v>
      </c>
      <c r="BB46">
        <v>34027.07</v>
      </c>
      <c r="BC46">
        <v>36641.5795</v>
      </c>
      <c r="BD46">
        <v>39840.642</v>
      </c>
      <c r="BE46">
        <v>40000</v>
      </c>
      <c r="BF46">
        <v>41343.269999999997</v>
      </c>
      <c r="BG46">
        <v>44702.324999999997</v>
      </c>
      <c r="BH46">
        <v>49392.076000000001</v>
      </c>
      <c r="BI46">
        <v>58375.907500000008</v>
      </c>
      <c r="BJ46">
        <v>70239.999999999985</v>
      </c>
      <c r="BK46">
        <v>81597.5</v>
      </c>
      <c r="BL46">
        <v>118941.322</v>
      </c>
      <c r="BM46">
        <v>163981.24299999949</v>
      </c>
      <c r="BN46">
        <v>270486.4050000002</v>
      </c>
      <c r="BO46">
        <v>446888.37399999989</v>
      </c>
      <c r="BP46">
        <v>2814221.66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 x14ac:dyDescent="0.35">
      <c r="A47">
        <v>341789</v>
      </c>
      <c r="B47" t="s">
        <v>259</v>
      </c>
      <c r="C47" t="s">
        <v>260</v>
      </c>
      <c r="D47" s="1">
        <v>45787</v>
      </c>
      <c r="E47">
        <v>53850</v>
      </c>
      <c r="F47">
        <v>105</v>
      </c>
      <c r="G47" t="s">
        <v>47</v>
      </c>
      <c r="H47" t="s">
        <v>262</v>
      </c>
      <c r="I47" t="s">
        <v>48</v>
      </c>
      <c r="L47">
        <v>1053306287103</v>
      </c>
      <c r="M47">
        <v>20250409</v>
      </c>
      <c r="N47" t="s">
        <v>263</v>
      </c>
      <c r="Q47" t="s">
        <v>55</v>
      </c>
      <c r="R47">
        <v>44869.06</v>
      </c>
      <c r="T47">
        <v>4263360</v>
      </c>
      <c r="U47">
        <v>5982300724</v>
      </c>
      <c r="V47" t="s">
        <v>268</v>
      </c>
      <c r="W47" t="s">
        <v>53</v>
      </c>
      <c r="X47" t="s">
        <v>269</v>
      </c>
      <c r="Y47" t="s">
        <v>49</v>
      </c>
      <c r="Z47">
        <v>1058</v>
      </c>
      <c r="AH47">
        <v>0</v>
      </c>
      <c r="AI47">
        <v>202504</v>
      </c>
      <c r="AJ47" t="s">
        <v>61</v>
      </c>
      <c r="AK47">
        <v>0</v>
      </c>
      <c r="AL47">
        <v>1</v>
      </c>
      <c r="AO47">
        <v>0</v>
      </c>
      <c r="AP47">
        <v>999</v>
      </c>
      <c r="AQ47">
        <v>430</v>
      </c>
      <c r="AR47">
        <v>430999</v>
      </c>
      <c r="AT47">
        <v>1</v>
      </c>
      <c r="AU47" t="s">
        <v>54</v>
      </c>
      <c r="AV47">
        <v>25045.55</v>
      </c>
      <c r="AW47">
        <v>26010.331999999999</v>
      </c>
      <c r="AX47">
        <v>27041.058000000001</v>
      </c>
      <c r="AY47">
        <v>28420.708999999999</v>
      </c>
      <c r="AZ47">
        <v>29962.351999999999</v>
      </c>
      <c r="BA47">
        <v>31788.16</v>
      </c>
      <c r="BB47">
        <v>34027.07</v>
      </c>
      <c r="BC47">
        <v>36641.5795</v>
      </c>
      <c r="BD47">
        <v>39840.642</v>
      </c>
      <c r="BE47">
        <v>40000</v>
      </c>
      <c r="BF47">
        <v>41343.269999999997</v>
      </c>
      <c r="BG47">
        <v>44702.324999999997</v>
      </c>
      <c r="BH47">
        <v>49392.076000000001</v>
      </c>
      <c r="BI47">
        <v>58375.907500000008</v>
      </c>
      <c r="BJ47">
        <v>70239.999999999985</v>
      </c>
      <c r="BK47">
        <v>81597.5</v>
      </c>
      <c r="BL47">
        <v>118941.322</v>
      </c>
      <c r="BM47">
        <v>163981.24299999949</v>
      </c>
      <c r="BN47">
        <v>270486.4050000002</v>
      </c>
      <c r="BO47">
        <v>446888.37399999989</v>
      </c>
      <c r="BP47">
        <v>2814221.66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 x14ac:dyDescent="0.35">
      <c r="A48">
        <v>341779</v>
      </c>
      <c r="B48" t="s">
        <v>259</v>
      </c>
      <c r="C48" t="s">
        <v>260</v>
      </c>
      <c r="D48" s="1">
        <v>45787</v>
      </c>
      <c r="E48">
        <v>53850</v>
      </c>
      <c r="F48">
        <v>122</v>
      </c>
      <c r="G48" t="s">
        <v>261</v>
      </c>
      <c r="H48" t="s">
        <v>262</v>
      </c>
      <c r="I48" t="s">
        <v>48</v>
      </c>
      <c r="L48">
        <v>1223300002128</v>
      </c>
      <c r="M48">
        <v>20250409</v>
      </c>
      <c r="N48" t="s">
        <v>263</v>
      </c>
      <c r="Q48" t="s">
        <v>55</v>
      </c>
      <c r="R48">
        <v>45226.66</v>
      </c>
      <c r="T48">
        <v>3711207</v>
      </c>
      <c r="U48">
        <v>8825020723</v>
      </c>
      <c r="V48" t="s">
        <v>264</v>
      </c>
      <c r="W48" t="s">
        <v>53</v>
      </c>
      <c r="X48" t="s">
        <v>57</v>
      </c>
      <c r="Y48" t="s">
        <v>49</v>
      </c>
      <c r="Z48">
        <v>1696</v>
      </c>
      <c r="AH48">
        <v>0</v>
      </c>
      <c r="AI48">
        <v>202504</v>
      </c>
      <c r="AJ48" t="s">
        <v>51</v>
      </c>
      <c r="AK48">
        <v>0</v>
      </c>
      <c r="AL48">
        <v>1</v>
      </c>
      <c r="AO48">
        <v>0</v>
      </c>
      <c r="AP48">
        <v>620</v>
      </c>
      <c r="AQ48">
        <v>430</v>
      </c>
      <c r="AR48">
        <v>430620</v>
      </c>
      <c r="AS48" t="s">
        <v>58</v>
      </c>
      <c r="AU48" t="s">
        <v>58</v>
      </c>
      <c r="AV48">
        <v>25045.55</v>
      </c>
      <c r="AW48">
        <v>26010.331999999999</v>
      </c>
      <c r="AX48">
        <v>27041.058000000001</v>
      </c>
      <c r="AY48">
        <v>28420.708999999999</v>
      </c>
      <c r="AZ48">
        <v>29962.351999999999</v>
      </c>
      <c r="BA48">
        <v>31788.16</v>
      </c>
      <c r="BB48">
        <v>34027.07</v>
      </c>
      <c r="BC48">
        <v>36641.5795</v>
      </c>
      <c r="BD48">
        <v>39840.642</v>
      </c>
      <c r="BE48">
        <v>40000</v>
      </c>
      <c r="BF48">
        <v>41343.269999999997</v>
      </c>
      <c r="BG48">
        <v>44702.324999999997</v>
      </c>
      <c r="BH48">
        <v>49392.076000000001</v>
      </c>
      <c r="BI48">
        <v>58375.907500000008</v>
      </c>
      <c r="BJ48">
        <v>70239.999999999985</v>
      </c>
      <c r="BK48">
        <v>81597.5</v>
      </c>
      <c r="BL48">
        <v>118941.322</v>
      </c>
      <c r="BM48">
        <v>163981.24299999949</v>
      </c>
      <c r="BN48">
        <v>270486.4050000002</v>
      </c>
      <c r="BO48">
        <v>446888.37399999989</v>
      </c>
      <c r="BP48">
        <v>2814221.66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 x14ac:dyDescent="0.35">
      <c r="A49">
        <v>341778</v>
      </c>
      <c r="B49" t="s">
        <v>259</v>
      </c>
      <c r="C49" t="s">
        <v>260</v>
      </c>
      <c r="D49" s="1">
        <v>45787</v>
      </c>
      <c r="E49">
        <v>53850</v>
      </c>
      <c r="F49">
        <v>122</v>
      </c>
      <c r="G49" t="s">
        <v>261</v>
      </c>
      <c r="H49" t="s">
        <v>262</v>
      </c>
      <c r="I49" t="s">
        <v>48</v>
      </c>
      <c r="L49">
        <v>1223300001682</v>
      </c>
      <c r="M49">
        <v>20250429</v>
      </c>
      <c r="N49" t="s">
        <v>263</v>
      </c>
      <c r="Q49" t="s">
        <v>55</v>
      </c>
      <c r="R49">
        <v>596435.75</v>
      </c>
      <c r="T49">
        <v>3711207</v>
      </c>
      <c r="U49">
        <v>8825020723</v>
      </c>
      <c r="V49" t="s">
        <v>264</v>
      </c>
      <c r="W49" t="s">
        <v>53</v>
      </c>
      <c r="X49" t="s">
        <v>57</v>
      </c>
      <c r="Y49" t="s">
        <v>49</v>
      </c>
      <c r="Z49">
        <v>1696</v>
      </c>
      <c r="AH49">
        <v>0</v>
      </c>
      <c r="AI49">
        <v>202504</v>
      </c>
      <c r="AJ49" t="s">
        <v>51</v>
      </c>
      <c r="AK49">
        <v>0</v>
      </c>
      <c r="AL49">
        <v>1</v>
      </c>
      <c r="AO49">
        <v>0</v>
      </c>
      <c r="AP49">
        <v>620</v>
      </c>
      <c r="AQ49">
        <v>430</v>
      </c>
      <c r="AR49">
        <v>430620</v>
      </c>
      <c r="AS49" t="s">
        <v>58</v>
      </c>
      <c r="AU49" t="s">
        <v>58</v>
      </c>
      <c r="AV49">
        <v>25045.55</v>
      </c>
      <c r="AW49">
        <v>26010.331999999999</v>
      </c>
      <c r="AX49">
        <v>27041.058000000001</v>
      </c>
      <c r="AY49">
        <v>28420.708999999999</v>
      </c>
      <c r="AZ49">
        <v>29962.351999999999</v>
      </c>
      <c r="BA49">
        <v>31788.16</v>
      </c>
      <c r="BB49">
        <v>34027.07</v>
      </c>
      <c r="BC49">
        <v>36641.5795</v>
      </c>
      <c r="BD49">
        <v>39840.642</v>
      </c>
      <c r="BE49">
        <v>40000</v>
      </c>
      <c r="BF49">
        <v>41343.269999999997</v>
      </c>
      <c r="BG49">
        <v>44702.324999999997</v>
      </c>
      <c r="BH49">
        <v>49392.076000000001</v>
      </c>
      <c r="BI49">
        <v>58375.907500000008</v>
      </c>
      <c r="BJ49">
        <v>70239.999999999985</v>
      </c>
      <c r="BK49">
        <v>81597.5</v>
      </c>
      <c r="BL49">
        <v>118941.322</v>
      </c>
      <c r="BM49">
        <v>163981.24299999949</v>
      </c>
      <c r="BN49">
        <v>270486.4050000002</v>
      </c>
      <c r="BO49">
        <v>446888.37399999989</v>
      </c>
      <c r="BP49">
        <v>2814221.66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0</v>
      </c>
    </row>
    <row r="50" spans="1:89" x14ac:dyDescent="0.35">
      <c r="A50">
        <v>341777</v>
      </c>
      <c r="B50" t="s">
        <v>259</v>
      </c>
      <c r="C50" t="s">
        <v>260</v>
      </c>
      <c r="D50" s="1">
        <v>45787</v>
      </c>
      <c r="E50">
        <v>53850</v>
      </c>
      <c r="F50">
        <v>161</v>
      </c>
      <c r="G50" t="s">
        <v>298</v>
      </c>
      <c r="H50" t="s">
        <v>262</v>
      </c>
      <c r="I50" t="s">
        <v>48</v>
      </c>
      <c r="L50">
        <v>1613300032599</v>
      </c>
      <c r="M50">
        <v>20250430</v>
      </c>
      <c r="N50" t="s">
        <v>263</v>
      </c>
      <c r="Q50" t="s">
        <v>55</v>
      </c>
      <c r="R50">
        <v>75000</v>
      </c>
      <c r="T50">
        <v>4845705</v>
      </c>
      <c r="U50">
        <v>6832140724</v>
      </c>
      <c r="V50" t="s">
        <v>299</v>
      </c>
      <c r="W50" t="s">
        <v>53</v>
      </c>
      <c r="X50" t="s">
        <v>229</v>
      </c>
      <c r="Y50" t="s">
        <v>49</v>
      </c>
      <c r="Z50">
        <v>1903</v>
      </c>
      <c r="AH50">
        <v>0</v>
      </c>
      <c r="AI50">
        <v>202504</v>
      </c>
      <c r="AJ50" t="s">
        <v>167</v>
      </c>
      <c r="AK50">
        <v>1</v>
      </c>
      <c r="AL50">
        <v>1</v>
      </c>
      <c r="AO50">
        <v>0</v>
      </c>
      <c r="AP50">
        <v>999</v>
      </c>
      <c r="AQ50">
        <v>430</v>
      </c>
      <c r="AR50">
        <v>430999</v>
      </c>
      <c r="AT50">
        <v>1</v>
      </c>
      <c r="AU50" t="s">
        <v>54</v>
      </c>
      <c r="AV50">
        <v>25045.55</v>
      </c>
      <c r="AW50">
        <v>26010.331999999999</v>
      </c>
      <c r="AX50">
        <v>27041.058000000001</v>
      </c>
      <c r="AY50">
        <v>28420.708999999999</v>
      </c>
      <c r="AZ50">
        <v>29962.351999999999</v>
      </c>
      <c r="BA50">
        <v>31788.16</v>
      </c>
      <c r="BB50">
        <v>34027.07</v>
      </c>
      <c r="BC50">
        <v>36641.5795</v>
      </c>
      <c r="BD50">
        <v>39840.642</v>
      </c>
      <c r="BE50">
        <v>40000</v>
      </c>
      <c r="BF50">
        <v>41343.269999999997</v>
      </c>
      <c r="BG50">
        <v>44702.324999999997</v>
      </c>
      <c r="BH50">
        <v>49392.076000000001</v>
      </c>
      <c r="BI50">
        <v>58375.907500000008</v>
      </c>
      <c r="BJ50">
        <v>70239.999999999985</v>
      </c>
      <c r="BK50">
        <v>81597.5</v>
      </c>
      <c r="BL50">
        <v>118941.322</v>
      </c>
      <c r="BM50">
        <v>163981.24299999949</v>
      </c>
      <c r="BN50">
        <v>270486.4050000002</v>
      </c>
      <c r="BO50">
        <v>446888.37399999989</v>
      </c>
      <c r="BP50">
        <v>2814221.66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 x14ac:dyDescent="0.35">
      <c r="A51">
        <v>341773</v>
      </c>
      <c r="B51" t="s">
        <v>259</v>
      </c>
      <c r="C51" t="s">
        <v>260</v>
      </c>
      <c r="D51" s="1">
        <v>45787</v>
      </c>
      <c r="E51">
        <v>53850</v>
      </c>
      <c r="F51">
        <v>122</v>
      </c>
      <c r="G51" t="s">
        <v>261</v>
      </c>
      <c r="H51" t="s">
        <v>262</v>
      </c>
      <c r="I51" t="s">
        <v>48</v>
      </c>
      <c r="L51">
        <v>1223300001682</v>
      </c>
      <c r="M51">
        <v>20250428</v>
      </c>
      <c r="N51" t="s">
        <v>263</v>
      </c>
      <c r="Q51" t="s">
        <v>55</v>
      </c>
      <c r="R51">
        <v>411478.8</v>
      </c>
      <c r="T51">
        <v>3711207</v>
      </c>
      <c r="U51">
        <v>8825020723</v>
      </c>
      <c r="V51" t="s">
        <v>264</v>
      </c>
      <c r="W51" t="s">
        <v>53</v>
      </c>
      <c r="X51" t="s">
        <v>57</v>
      </c>
      <c r="Y51" t="s">
        <v>49</v>
      </c>
      <c r="Z51">
        <v>1696</v>
      </c>
      <c r="AH51">
        <v>0</v>
      </c>
      <c r="AI51">
        <v>202504</v>
      </c>
      <c r="AJ51" t="s">
        <v>51</v>
      </c>
      <c r="AK51">
        <v>0</v>
      </c>
      <c r="AL51">
        <v>1</v>
      </c>
      <c r="AO51">
        <v>0</v>
      </c>
      <c r="AP51">
        <v>620</v>
      </c>
      <c r="AQ51">
        <v>430</v>
      </c>
      <c r="AR51">
        <v>430620</v>
      </c>
      <c r="AS51" t="s">
        <v>58</v>
      </c>
      <c r="AU51" t="s">
        <v>58</v>
      </c>
      <c r="AV51">
        <v>25045.55</v>
      </c>
      <c r="AW51">
        <v>26010.331999999999</v>
      </c>
      <c r="AX51">
        <v>27041.058000000001</v>
      </c>
      <c r="AY51">
        <v>28420.708999999999</v>
      </c>
      <c r="AZ51">
        <v>29962.351999999999</v>
      </c>
      <c r="BA51">
        <v>31788.16</v>
      </c>
      <c r="BB51">
        <v>34027.07</v>
      </c>
      <c r="BC51">
        <v>36641.5795</v>
      </c>
      <c r="BD51">
        <v>39840.642</v>
      </c>
      <c r="BE51">
        <v>40000</v>
      </c>
      <c r="BF51">
        <v>41343.269999999997</v>
      </c>
      <c r="BG51">
        <v>44702.324999999997</v>
      </c>
      <c r="BH51">
        <v>49392.076000000001</v>
      </c>
      <c r="BI51">
        <v>58375.907500000008</v>
      </c>
      <c r="BJ51">
        <v>70239.999999999985</v>
      </c>
      <c r="BK51">
        <v>81597.5</v>
      </c>
      <c r="BL51">
        <v>118941.322</v>
      </c>
      <c r="BM51">
        <v>163981.24299999949</v>
      </c>
      <c r="BN51">
        <v>270486.4050000002</v>
      </c>
      <c r="BO51">
        <v>446888.37399999989</v>
      </c>
      <c r="BP51">
        <v>2814221.66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0</v>
      </c>
      <c r="CK51">
        <v>0</v>
      </c>
    </row>
    <row r="52" spans="1:89" x14ac:dyDescent="0.35">
      <c r="A52">
        <v>341767</v>
      </c>
      <c r="B52" t="s">
        <v>259</v>
      </c>
      <c r="C52" t="s">
        <v>260</v>
      </c>
      <c r="D52" s="1">
        <v>45787</v>
      </c>
      <c r="E52">
        <v>53850</v>
      </c>
      <c r="F52">
        <v>148</v>
      </c>
      <c r="G52" t="s">
        <v>90</v>
      </c>
      <c r="H52" t="s">
        <v>262</v>
      </c>
      <c r="I52" t="s">
        <v>48</v>
      </c>
      <c r="L52">
        <v>1483300004308</v>
      </c>
      <c r="M52">
        <v>20250401</v>
      </c>
      <c r="N52" t="s">
        <v>263</v>
      </c>
      <c r="Q52" t="s">
        <v>55</v>
      </c>
      <c r="R52">
        <v>41000</v>
      </c>
      <c r="T52">
        <v>4898674</v>
      </c>
      <c r="U52">
        <v>2936580642</v>
      </c>
      <c r="V52" t="s">
        <v>230</v>
      </c>
      <c r="W52" t="s">
        <v>53</v>
      </c>
      <c r="X52" t="s">
        <v>231</v>
      </c>
      <c r="Y52" t="s">
        <v>49</v>
      </c>
      <c r="Z52">
        <v>1063</v>
      </c>
      <c r="AH52">
        <v>0</v>
      </c>
      <c r="AI52">
        <v>202504</v>
      </c>
      <c r="AJ52" t="s">
        <v>61</v>
      </c>
      <c r="AK52">
        <v>0</v>
      </c>
      <c r="AL52">
        <v>1</v>
      </c>
      <c r="AO52">
        <v>0</v>
      </c>
      <c r="AP52">
        <v>999</v>
      </c>
      <c r="AQ52">
        <v>430</v>
      </c>
      <c r="AR52">
        <v>430999</v>
      </c>
      <c r="AT52">
        <v>1</v>
      </c>
      <c r="AU52" t="s">
        <v>54</v>
      </c>
      <c r="AV52">
        <v>25045.55</v>
      </c>
      <c r="AW52">
        <v>26010.331999999999</v>
      </c>
      <c r="AX52">
        <v>27041.058000000001</v>
      </c>
      <c r="AY52">
        <v>28420.708999999999</v>
      </c>
      <c r="AZ52">
        <v>29962.351999999999</v>
      </c>
      <c r="BA52">
        <v>31788.16</v>
      </c>
      <c r="BB52">
        <v>34027.07</v>
      </c>
      <c r="BC52">
        <v>36641.5795</v>
      </c>
      <c r="BD52">
        <v>39840.642</v>
      </c>
      <c r="BE52">
        <v>40000</v>
      </c>
      <c r="BF52">
        <v>41343.269999999997</v>
      </c>
      <c r="BG52">
        <v>44702.324999999997</v>
      </c>
      <c r="BH52">
        <v>49392.076000000001</v>
      </c>
      <c r="BI52">
        <v>58375.907500000008</v>
      </c>
      <c r="BJ52">
        <v>70239.999999999985</v>
      </c>
      <c r="BK52">
        <v>81597.5</v>
      </c>
      <c r="BL52">
        <v>118941.322</v>
      </c>
      <c r="BM52">
        <v>163981.24299999949</v>
      </c>
      <c r="BN52">
        <v>270486.4050000002</v>
      </c>
      <c r="BO52">
        <v>446888.37399999989</v>
      </c>
      <c r="BP52">
        <v>2814221.66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 x14ac:dyDescent="0.35">
      <c r="A53">
        <v>341762</v>
      </c>
      <c r="B53" t="s">
        <v>259</v>
      </c>
      <c r="C53" t="s">
        <v>260</v>
      </c>
      <c r="D53" s="1">
        <v>45787</v>
      </c>
      <c r="E53">
        <v>53850</v>
      </c>
      <c r="F53">
        <v>148</v>
      </c>
      <c r="G53" t="s">
        <v>90</v>
      </c>
      <c r="H53" t="s">
        <v>262</v>
      </c>
      <c r="I53" t="s">
        <v>48</v>
      </c>
      <c r="L53">
        <v>1483300004308</v>
      </c>
      <c r="M53">
        <v>20250428</v>
      </c>
      <c r="N53" t="s">
        <v>263</v>
      </c>
      <c r="Q53" t="s">
        <v>55</v>
      </c>
      <c r="R53">
        <v>29830</v>
      </c>
      <c r="T53">
        <v>4898674</v>
      </c>
      <c r="U53">
        <v>2936580642</v>
      </c>
      <c r="V53" t="s">
        <v>230</v>
      </c>
      <c r="W53" t="s">
        <v>53</v>
      </c>
      <c r="X53" t="s">
        <v>231</v>
      </c>
      <c r="Y53" t="s">
        <v>49</v>
      </c>
      <c r="Z53">
        <v>1063</v>
      </c>
      <c r="AH53">
        <v>0</v>
      </c>
      <c r="AI53">
        <v>202504</v>
      </c>
      <c r="AJ53" t="s">
        <v>61</v>
      </c>
      <c r="AK53">
        <v>0</v>
      </c>
      <c r="AL53">
        <v>1</v>
      </c>
      <c r="AO53">
        <v>0</v>
      </c>
      <c r="AP53">
        <v>999</v>
      </c>
      <c r="AQ53">
        <v>430</v>
      </c>
      <c r="AR53">
        <v>430999</v>
      </c>
      <c r="AT53">
        <v>1</v>
      </c>
      <c r="AU53" t="s">
        <v>54</v>
      </c>
      <c r="AV53">
        <v>25045.55</v>
      </c>
      <c r="AW53">
        <v>26010.331999999999</v>
      </c>
      <c r="AX53">
        <v>27041.058000000001</v>
      </c>
      <c r="AY53">
        <v>28420.708999999999</v>
      </c>
      <c r="AZ53">
        <v>29962.351999999999</v>
      </c>
      <c r="BA53">
        <v>31788.16</v>
      </c>
      <c r="BB53">
        <v>34027.07</v>
      </c>
      <c r="BC53">
        <v>36641.5795</v>
      </c>
      <c r="BD53">
        <v>39840.642</v>
      </c>
      <c r="BE53">
        <v>40000</v>
      </c>
      <c r="BF53">
        <v>41343.269999999997</v>
      </c>
      <c r="BG53">
        <v>44702.324999999997</v>
      </c>
      <c r="BH53">
        <v>49392.076000000001</v>
      </c>
      <c r="BI53">
        <v>58375.907500000008</v>
      </c>
      <c r="BJ53">
        <v>70239.999999999985</v>
      </c>
      <c r="BK53">
        <v>81597.5</v>
      </c>
      <c r="BL53">
        <v>118941.322</v>
      </c>
      <c r="BM53">
        <v>163981.24299999949</v>
      </c>
      <c r="BN53">
        <v>270486.4050000002</v>
      </c>
      <c r="BO53">
        <v>446888.37399999989</v>
      </c>
      <c r="BP53">
        <v>2814221.66</v>
      </c>
      <c r="BQ53">
        <v>1</v>
      </c>
      <c r="BR53">
        <v>1</v>
      </c>
      <c r="BS53">
        <v>1</v>
      </c>
      <c r="BT53">
        <v>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 x14ac:dyDescent="0.35">
      <c r="A54">
        <v>341760</v>
      </c>
      <c r="B54" t="s">
        <v>259</v>
      </c>
      <c r="C54" t="s">
        <v>260</v>
      </c>
      <c r="D54" s="1">
        <v>45787</v>
      </c>
      <c r="E54">
        <v>53850</v>
      </c>
      <c r="F54">
        <v>148</v>
      </c>
      <c r="G54" t="s">
        <v>90</v>
      </c>
      <c r="H54" t="s">
        <v>262</v>
      </c>
      <c r="I54" t="s">
        <v>48</v>
      </c>
      <c r="L54">
        <v>1483300004308</v>
      </c>
      <c r="M54">
        <v>20250414</v>
      </c>
      <c r="N54" t="s">
        <v>263</v>
      </c>
      <c r="Q54" t="s">
        <v>55</v>
      </c>
      <c r="R54">
        <v>41996.84</v>
      </c>
      <c r="T54">
        <v>4898674</v>
      </c>
      <c r="U54">
        <v>2936580642</v>
      </c>
      <c r="V54" t="s">
        <v>230</v>
      </c>
      <c r="W54" t="s">
        <v>53</v>
      </c>
      <c r="X54" t="s">
        <v>231</v>
      </c>
      <c r="Y54" t="s">
        <v>49</v>
      </c>
      <c r="Z54">
        <v>1063</v>
      </c>
      <c r="AH54">
        <v>0</v>
      </c>
      <c r="AI54">
        <v>202504</v>
      </c>
      <c r="AJ54" t="s">
        <v>61</v>
      </c>
      <c r="AK54">
        <v>0</v>
      </c>
      <c r="AL54">
        <v>1</v>
      </c>
      <c r="AO54">
        <v>0</v>
      </c>
      <c r="AP54">
        <v>999</v>
      </c>
      <c r="AQ54">
        <v>430</v>
      </c>
      <c r="AR54">
        <v>430999</v>
      </c>
      <c r="AT54">
        <v>1</v>
      </c>
      <c r="AU54" t="s">
        <v>54</v>
      </c>
      <c r="AV54">
        <v>25045.55</v>
      </c>
      <c r="AW54">
        <v>26010.331999999999</v>
      </c>
      <c r="AX54">
        <v>27041.058000000001</v>
      </c>
      <c r="AY54">
        <v>28420.708999999999</v>
      </c>
      <c r="AZ54">
        <v>29962.351999999999</v>
      </c>
      <c r="BA54">
        <v>31788.16</v>
      </c>
      <c r="BB54">
        <v>34027.07</v>
      </c>
      <c r="BC54">
        <v>36641.5795</v>
      </c>
      <c r="BD54">
        <v>39840.642</v>
      </c>
      <c r="BE54">
        <v>40000</v>
      </c>
      <c r="BF54">
        <v>41343.269999999997</v>
      </c>
      <c r="BG54">
        <v>44702.324999999997</v>
      </c>
      <c r="BH54">
        <v>49392.076000000001</v>
      </c>
      <c r="BI54">
        <v>58375.907500000008</v>
      </c>
      <c r="BJ54">
        <v>70239.999999999985</v>
      </c>
      <c r="BK54">
        <v>81597.5</v>
      </c>
      <c r="BL54">
        <v>118941.322</v>
      </c>
      <c r="BM54">
        <v>163981.24299999949</v>
      </c>
      <c r="BN54">
        <v>270486.4050000002</v>
      </c>
      <c r="BO54">
        <v>446888.37399999989</v>
      </c>
      <c r="BP54">
        <v>2814221.66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 x14ac:dyDescent="0.35">
      <c r="A55">
        <v>341748</v>
      </c>
      <c r="B55" t="s">
        <v>259</v>
      </c>
      <c r="C55" t="s">
        <v>260</v>
      </c>
      <c r="D55" s="1">
        <v>45787</v>
      </c>
      <c r="E55">
        <v>53850</v>
      </c>
      <c r="F55">
        <v>103</v>
      </c>
      <c r="G55" t="s">
        <v>56</v>
      </c>
      <c r="H55" t="s">
        <v>262</v>
      </c>
      <c r="I55" t="s">
        <v>48</v>
      </c>
      <c r="L55">
        <v>1033306967935</v>
      </c>
      <c r="M55">
        <v>20250415</v>
      </c>
      <c r="N55" t="s">
        <v>279</v>
      </c>
      <c r="Q55" t="s">
        <v>55</v>
      </c>
      <c r="R55">
        <v>58518.85</v>
      </c>
      <c r="T55">
        <v>155052</v>
      </c>
      <c r="U55">
        <v>2563580725</v>
      </c>
      <c r="V55" t="s">
        <v>280</v>
      </c>
      <c r="W55" t="s">
        <v>53</v>
      </c>
      <c r="X55" t="s">
        <v>231</v>
      </c>
      <c r="Y55" t="s">
        <v>49</v>
      </c>
      <c r="Z55">
        <v>1926</v>
      </c>
      <c r="AH55">
        <v>0</v>
      </c>
      <c r="AI55">
        <v>202504</v>
      </c>
      <c r="AJ55" t="s">
        <v>61</v>
      </c>
      <c r="AK55">
        <v>0</v>
      </c>
      <c r="AL55">
        <v>1</v>
      </c>
      <c r="AM55">
        <v>155052</v>
      </c>
      <c r="AN55">
        <v>1</v>
      </c>
      <c r="AO55">
        <v>0</v>
      </c>
      <c r="AP55">
        <v>999</v>
      </c>
      <c r="AQ55">
        <v>430</v>
      </c>
      <c r="AR55">
        <v>430999</v>
      </c>
      <c r="AT55">
        <v>1</v>
      </c>
      <c r="AU55" t="s">
        <v>54</v>
      </c>
      <c r="AV55">
        <v>25045.55</v>
      </c>
      <c r="AW55">
        <v>26010.331999999999</v>
      </c>
      <c r="AX55">
        <v>27041.058000000001</v>
      </c>
      <c r="AY55">
        <v>28420.708999999999</v>
      </c>
      <c r="AZ55">
        <v>29962.351999999999</v>
      </c>
      <c r="BA55">
        <v>31788.16</v>
      </c>
      <c r="BB55">
        <v>34027.07</v>
      </c>
      <c r="BC55">
        <v>36641.5795</v>
      </c>
      <c r="BD55">
        <v>39840.642</v>
      </c>
      <c r="BE55">
        <v>40000</v>
      </c>
      <c r="BF55">
        <v>41343.269999999997</v>
      </c>
      <c r="BG55">
        <v>44702.324999999997</v>
      </c>
      <c r="BH55">
        <v>49392.076000000001</v>
      </c>
      <c r="BI55">
        <v>58375.907500000008</v>
      </c>
      <c r="BJ55">
        <v>70239.999999999985</v>
      </c>
      <c r="BK55">
        <v>81597.5</v>
      </c>
      <c r="BL55">
        <v>118941.322</v>
      </c>
      <c r="BM55">
        <v>163981.24299999949</v>
      </c>
      <c r="BN55">
        <v>270486.4050000002</v>
      </c>
      <c r="BO55">
        <v>446888.37399999989</v>
      </c>
      <c r="BP55">
        <v>2814221.66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 x14ac:dyDescent="0.35">
      <c r="A56">
        <v>341735</v>
      </c>
      <c r="B56" t="s">
        <v>259</v>
      </c>
      <c r="C56" t="s">
        <v>260</v>
      </c>
      <c r="D56" s="1">
        <v>45787</v>
      </c>
      <c r="E56">
        <v>53850</v>
      </c>
      <c r="F56">
        <v>145</v>
      </c>
      <c r="G56" t="s">
        <v>67</v>
      </c>
      <c r="H56" t="s">
        <v>262</v>
      </c>
      <c r="I56" t="s">
        <v>48</v>
      </c>
      <c r="L56">
        <v>1453300003997</v>
      </c>
      <c r="M56">
        <v>20250402</v>
      </c>
      <c r="N56" t="s">
        <v>263</v>
      </c>
      <c r="Q56" t="s">
        <v>55</v>
      </c>
      <c r="R56">
        <v>31678.84</v>
      </c>
      <c r="T56">
        <v>3737833</v>
      </c>
      <c r="U56">
        <v>10171711210</v>
      </c>
      <c r="V56" t="s">
        <v>300</v>
      </c>
      <c r="W56" t="s">
        <v>53</v>
      </c>
      <c r="X56" t="s">
        <v>74</v>
      </c>
      <c r="Y56" t="s">
        <v>49</v>
      </c>
      <c r="AH56">
        <v>0</v>
      </c>
      <c r="AI56">
        <v>202504</v>
      </c>
      <c r="AJ56" t="s">
        <v>61</v>
      </c>
      <c r="AK56">
        <v>0</v>
      </c>
      <c r="AL56">
        <v>1</v>
      </c>
      <c r="AO56">
        <v>0</v>
      </c>
      <c r="AP56">
        <v>463</v>
      </c>
      <c r="AQ56">
        <v>430</v>
      </c>
      <c r="AR56">
        <v>430463</v>
      </c>
      <c r="AS56" t="s">
        <v>58</v>
      </c>
      <c r="AU56" t="s">
        <v>58</v>
      </c>
      <c r="AV56">
        <v>25045.55</v>
      </c>
      <c r="AW56">
        <v>26010.331999999999</v>
      </c>
      <c r="AX56">
        <v>27041.058000000001</v>
      </c>
      <c r="AY56">
        <v>28420.708999999999</v>
      </c>
      <c r="AZ56">
        <v>29962.351999999999</v>
      </c>
      <c r="BA56">
        <v>31788.16</v>
      </c>
      <c r="BB56">
        <v>34027.07</v>
      </c>
      <c r="BC56">
        <v>36641.5795</v>
      </c>
      <c r="BD56">
        <v>39840.642</v>
      </c>
      <c r="BE56">
        <v>40000</v>
      </c>
      <c r="BF56">
        <v>41343.269999999997</v>
      </c>
      <c r="BG56">
        <v>44702.324999999997</v>
      </c>
      <c r="BH56">
        <v>49392.076000000001</v>
      </c>
      <c r="BI56">
        <v>58375.907500000008</v>
      </c>
      <c r="BJ56">
        <v>70239.999999999985</v>
      </c>
      <c r="BK56">
        <v>81597.5</v>
      </c>
      <c r="BL56">
        <v>118941.322</v>
      </c>
      <c r="BM56">
        <v>163981.24299999949</v>
      </c>
      <c r="BN56">
        <v>270486.4050000002</v>
      </c>
      <c r="BO56">
        <v>446888.37399999989</v>
      </c>
      <c r="BP56">
        <v>2814221.66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 x14ac:dyDescent="0.35">
      <c r="A57">
        <v>341725</v>
      </c>
      <c r="B57" t="s">
        <v>259</v>
      </c>
      <c r="C57" t="s">
        <v>260</v>
      </c>
      <c r="D57" s="1">
        <v>45787</v>
      </c>
      <c r="E57">
        <v>53850</v>
      </c>
      <c r="F57">
        <v>154</v>
      </c>
      <c r="G57" t="s">
        <v>235</v>
      </c>
      <c r="H57" t="s">
        <v>262</v>
      </c>
      <c r="I57" t="s">
        <v>48</v>
      </c>
      <c r="L57">
        <v>1543300004860</v>
      </c>
      <c r="M57">
        <v>20250414</v>
      </c>
      <c r="N57" t="s">
        <v>263</v>
      </c>
      <c r="Q57" t="s">
        <v>55</v>
      </c>
      <c r="R57">
        <v>36019.83</v>
      </c>
      <c r="T57">
        <v>3715569</v>
      </c>
      <c r="U57">
        <v>5424970654</v>
      </c>
      <c r="V57" t="s">
        <v>265</v>
      </c>
      <c r="W57" t="s">
        <v>53</v>
      </c>
      <c r="X57" t="s">
        <v>266</v>
      </c>
      <c r="Y57" t="s">
        <v>49</v>
      </c>
      <c r="Z57">
        <v>741</v>
      </c>
      <c r="AH57">
        <v>0</v>
      </c>
      <c r="AI57">
        <v>202504</v>
      </c>
      <c r="AJ57" t="s">
        <v>61</v>
      </c>
      <c r="AK57">
        <v>0</v>
      </c>
      <c r="AL57">
        <v>1</v>
      </c>
      <c r="AM57">
        <v>3715569</v>
      </c>
      <c r="AN57">
        <v>1</v>
      </c>
      <c r="AO57">
        <v>0</v>
      </c>
      <c r="AP57">
        <v>999</v>
      </c>
      <c r="AQ57">
        <v>430</v>
      </c>
      <c r="AR57">
        <v>430999</v>
      </c>
      <c r="AT57">
        <v>1</v>
      </c>
      <c r="AU57" t="s">
        <v>54</v>
      </c>
      <c r="AV57">
        <v>25045.55</v>
      </c>
      <c r="AW57">
        <v>26010.331999999999</v>
      </c>
      <c r="AX57">
        <v>27041.058000000001</v>
      </c>
      <c r="AY57">
        <v>28420.708999999999</v>
      </c>
      <c r="AZ57">
        <v>29962.351999999999</v>
      </c>
      <c r="BA57">
        <v>31788.16</v>
      </c>
      <c r="BB57">
        <v>34027.07</v>
      </c>
      <c r="BC57">
        <v>36641.5795</v>
      </c>
      <c r="BD57">
        <v>39840.642</v>
      </c>
      <c r="BE57">
        <v>40000</v>
      </c>
      <c r="BF57">
        <v>41343.269999999997</v>
      </c>
      <c r="BG57">
        <v>44702.324999999997</v>
      </c>
      <c r="BH57">
        <v>49392.076000000001</v>
      </c>
      <c r="BI57">
        <v>58375.907500000008</v>
      </c>
      <c r="BJ57">
        <v>70239.999999999985</v>
      </c>
      <c r="BK57">
        <v>81597.5</v>
      </c>
      <c r="BL57">
        <v>118941.322</v>
      </c>
      <c r="BM57">
        <v>163981.24299999949</v>
      </c>
      <c r="BN57">
        <v>270486.4050000002</v>
      </c>
      <c r="BO57">
        <v>446888.37399999989</v>
      </c>
      <c r="BP57">
        <v>2814221.66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 x14ac:dyDescent="0.35">
      <c r="A58">
        <v>341716</v>
      </c>
      <c r="B58" t="s">
        <v>259</v>
      </c>
      <c r="C58" t="s">
        <v>260</v>
      </c>
      <c r="D58" s="1">
        <v>45787</v>
      </c>
      <c r="E58">
        <v>53850</v>
      </c>
      <c r="F58">
        <v>132</v>
      </c>
      <c r="G58" t="s">
        <v>161</v>
      </c>
      <c r="H58" t="s">
        <v>262</v>
      </c>
      <c r="I58" t="s">
        <v>48</v>
      </c>
      <c r="L58">
        <v>1323300003714</v>
      </c>
      <c r="M58">
        <v>20250415</v>
      </c>
      <c r="N58" t="s">
        <v>263</v>
      </c>
      <c r="Q58" t="s">
        <v>55</v>
      </c>
      <c r="R58">
        <v>26100</v>
      </c>
      <c r="T58">
        <v>3724103</v>
      </c>
      <c r="U58">
        <v>2178850760</v>
      </c>
      <c r="V58" t="s">
        <v>284</v>
      </c>
      <c r="W58" t="s">
        <v>53</v>
      </c>
      <c r="X58" t="s">
        <v>283</v>
      </c>
      <c r="Y58" t="s">
        <v>49</v>
      </c>
      <c r="Z58">
        <v>823</v>
      </c>
      <c r="AH58">
        <v>0</v>
      </c>
      <c r="AI58">
        <v>202504</v>
      </c>
      <c r="AJ58" t="s">
        <v>51</v>
      </c>
      <c r="AK58">
        <v>0</v>
      </c>
      <c r="AL58">
        <v>1</v>
      </c>
      <c r="AO58">
        <v>0</v>
      </c>
      <c r="AP58">
        <v>999</v>
      </c>
      <c r="AQ58">
        <v>430</v>
      </c>
      <c r="AR58">
        <v>430999</v>
      </c>
      <c r="AT58">
        <v>1</v>
      </c>
      <c r="AU58" t="s">
        <v>54</v>
      </c>
      <c r="AV58">
        <v>25045.55</v>
      </c>
      <c r="AW58">
        <v>26010.331999999999</v>
      </c>
      <c r="AX58">
        <v>27041.058000000001</v>
      </c>
      <c r="AY58">
        <v>28420.708999999999</v>
      </c>
      <c r="AZ58">
        <v>29962.351999999999</v>
      </c>
      <c r="BA58">
        <v>31788.16</v>
      </c>
      <c r="BB58">
        <v>34027.07</v>
      </c>
      <c r="BC58">
        <v>36641.5795</v>
      </c>
      <c r="BD58">
        <v>39840.642</v>
      </c>
      <c r="BE58">
        <v>40000</v>
      </c>
      <c r="BF58">
        <v>41343.269999999997</v>
      </c>
      <c r="BG58">
        <v>44702.324999999997</v>
      </c>
      <c r="BH58">
        <v>49392.076000000001</v>
      </c>
      <c r="BI58">
        <v>58375.907500000008</v>
      </c>
      <c r="BJ58">
        <v>70239.999999999985</v>
      </c>
      <c r="BK58">
        <v>81597.5</v>
      </c>
      <c r="BL58">
        <v>118941.322</v>
      </c>
      <c r="BM58">
        <v>163981.24299999949</v>
      </c>
      <c r="BN58">
        <v>270486.4050000002</v>
      </c>
      <c r="BO58">
        <v>446888.37399999989</v>
      </c>
      <c r="BP58">
        <v>2814221.66</v>
      </c>
      <c r="BQ58">
        <v>1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 x14ac:dyDescent="0.35">
      <c r="A59">
        <v>341708</v>
      </c>
      <c r="B59" t="s">
        <v>259</v>
      </c>
      <c r="C59" t="s">
        <v>260</v>
      </c>
      <c r="D59" s="1">
        <v>45787</v>
      </c>
      <c r="E59">
        <v>53850</v>
      </c>
      <c r="F59">
        <v>268</v>
      </c>
      <c r="G59" t="s">
        <v>168</v>
      </c>
      <c r="H59" t="s">
        <v>262</v>
      </c>
      <c r="I59" t="s">
        <v>48</v>
      </c>
      <c r="L59">
        <v>2683300010038</v>
      </c>
      <c r="M59">
        <v>20250403</v>
      </c>
      <c r="N59" t="s">
        <v>263</v>
      </c>
      <c r="Q59" t="s">
        <v>55</v>
      </c>
      <c r="R59">
        <v>376696.32000000001</v>
      </c>
      <c r="T59">
        <v>1604219</v>
      </c>
      <c r="U59">
        <v>952850790</v>
      </c>
      <c r="V59" t="s">
        <v>281</v>
      </c>
      <c r="W59" t="s">
        <v>53</v>
      </c>
      <c r="X59" t="s">
        <v>232</v>
      </c>
      <c r="Y59" t="s">
        <v>49</v>
      </c>
      <c r="Z59">
        <v>1627</v>
      </c>
      <c r="AH59">
        <v>0</v>
      </c>
      <c r="AI59">
        <v>202504</v>
      </c>
      <c r="AJ59" t="s">
        <v>160</v>
      </c>
      <c r="AK59">
        <v>1</v>
      </c>
      <c r="AL59">
        <v>1</v>
      </c>
      <c r="AO59">
        <v>0</v>
      </c>
      <c r="AP59">
        <v>999</v>
      </c>
      <c r="AQ59">
        <v>430</v>
      </c>
      <c r="AR59">
        <v>430999</v>
      </c>
      <c r="AT59">
        <v>1</v>
      </c>
      <c r="AU59" t="s">
        <v>54</v>
      </c>
      <c r="AV59">
        <v>25045.55</v>
      </c>
      <c r="AW59">
        <v>26010.331999999999</v>
      </c>
      <c r="AX59">
        <v>27041.058000000001</v>
      </c>
      <c r="AY59">
        <v>28420.708999999999</v>
      </c>
      <c r="AZ59">
        <v>29962.351999999999</v>
      </c>
      <c r="BA59">
        <v>31788.16</v>
      </c>
      <c r="BB59">
        <v>34027.07</v>
      </c>
      <c r="BC59">
        <v>36641.5795</v>
      </c>
      <c r="BD59">
        <v>39840.642</v>
      </c>
      <c r="BE59">
        <v>40000</v>
      </c>
      <c r="BF59">
        <v>41343.269999999997</v>
      </c>
      <c r="BG59">
        <v>44702.324999999997</v>
      </c>
      <c r="BH59">
        <v>49392.076000000001</v>
      </c>
      <c r="BI59">
        <v>58375.907500000008</v>
      </c>
      <c r="BJ59">
        <v>70239.999999999985</v>
      </c>
      <c r="BK59">
        <v>81597.5</v>
      </c>
      <c r="BL59">
        <v>118941.322</v>
      </c>
      <c r="BM59">
        <v>163981.24299999949</v>
      </c>
      <c r="BN59">
        <v>270486.4050000002</v>
      </c>
      <c r="BO59">
        <v>446888.37399999989</v>
      </c>
      <c r="BP59">
        <v>2814221.66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0</v>
      </c>
      <c r="CK59">
        <v>0</v>
      </c>
    </row>
    <row r="60" spans="1:89" x14ac:dyDescent="0.35">
      <c r="A60">
        <v>341696</v>
      </c>
      <c r="B60" t="s">
        <v>259</v>
      </c>
      <c r="C60" t="s">
        <v>260</v>
      </c>
      <c r="D60" s="1">
        <v>45787</v>
      </c>
      <c r="E60">
        <v>53850</v>
      </c>
      <c r="F60">
        <v>104</v>
      </c>
      <c r="G60" t="s">
        <v>50</v>
      </c>
      <c r="H60" t="s">
        <v>262</v>
      </c>
      <c r="I60" t="s">
        <v>48</v>
      </c>
      <c r="L60">
        <v>1043309503913</v>
      </c>
      <c r="M60">
        <v>20250417</v>
      </c>
      <c r="N60" t="s">
        <v>263</v>
      </c>
      <c r="Q60" t="s">
        <v>55</v>
      </c>
      <c r="R60">
        <v>95257.19</v>
      </c>
      <c r="T60">
        <v>424944</v>
      </c>
      <c r="U60">
        <v>3454860721</v>
      </c>
      <c r="V60" t="s">
        <v>242</v>
      </c>
      <c r="W60" t="s">
        <v>53</v>
      </c>
      <c r="X60" t="s">
        <v>74</v>
      </c>
      <c r="Y60" t="s">
        <v>49</v>
      </c>
      <c r="Z60">
        <v>1696</v>
      </c>
      <c r="AH60">
        <v>0</v>
      </c>
      <c r="AI60">
        <v>202504</v>
      </c>
      <c r="AJ60" t="s">
        <v>162</v>
      </c>
      <c r="AK60">
        <v>1</v>
      </c>
      <c r="AL60">
        <v>1</v>
      </c>
      <c r="AO60">
        <v>0</v>
      </c>
      <c r="AP60">
        <v>463</v>
      </c>
      <c r="AQ60">
        <v>430</v>
      </c>
      <c r="AR60">
        <v>430463</v>
      </c>
      <c r="AS60" t="s">
        <v>58</v>
      </c>
      <c r="AU60" t="s">
        <v>58</v>
      </c>
      <c r="AV60">
        <v>25045.55</v>
      </c>
      <c r="AW60">
        <v>26010.331999999999</v>
      </c>
      <c r="AX60">
        <v>27041.058000000001</v>
      </c>
      <c r="AY60">
        <v>28420.708999999999</v>
      </c>
      <c r="AZ60">
        <v>29962.351999999999</v>
      </c>
      <c r="BA60">
        <v>31788.16</v>
      </c>
      <c r="BB60">
        <v>34027.07</v>
      </c>
      <c r="BC60">
        <v>36641.5795</v>
      </c>
      <c r="BD60">
        <v>39840.642</v>
      </c>
      <c r="BE60">
        <v>40000</v>
      </c>
      <c r="BF60">
        <v>41343.269999999997</v>
      </c>
      <c r="BG60">
        <v>44702.324999999997</v>
      </c>
      <c r="BH60">
        <v>49392.076000000001</v>
      </c>
      <c r="BI60">
        <v>58375.907500000008</v>
      </c>
      <c r="BJ60">
        <v>70239.999999999985</v>
      </c>
      <c r="BK60">
        <v>81597.5</v>
      </c>
      <c r="BL60">
        <v>118941.322</v>
      </c>
      <c r="BM60">
        <v>163981.24299999949</v>
      </c>
      <c r="BN60">
        <v>270486.4050000002</v>
      </c>
      <c r="BO60">
        <v>446888.37399999989</v>
      </c>
      <c r="BP60">
        <v>2814221.66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 x14ac:dyDescent="0.35">
      <c r="A61">
        <v>341692</v>
      </c>
      <c r="B61" t="s">
        <v>259</v>
      </c>
      <c r="C61" t="s">
        <v>260</v>
      </c>
      <c r="D61" s="1">
        <v>45787</v>
      </c>
      <c r="E61">
        <v>53850</v>
      </c>
      <c r="F61">
        <v>153</v>
      </c>
      <c r="G61" t="s">
        <v>81</v>
      </c>
      <c r="H61" t="s">
        <v>262</v>
      </c>
      <c r="I61" t="s">
        <v>48</v>
      </c>
      <c r="L61">
        <v>1533300663959</v>
      </c>
      <c r="M61">
        <v>20250407</v>
      </c>
      <c r="N61" t="s">
        <v>263</v>
      </c>
      <c r="Q61" t="s">
        <v>55</v>
      </c>
      <c r="R61">
        <v>30000</v>
      </c>
      <c r="T61">
        <v>3721097</v>
      </c>
      <c r="U61">
        <v>10391641213</v>
      </c>
      <c r="V61" t="s">
        <v>270</v>
      </c>
      <c r="W61" t="s">
        <v>53</v>
      </c>
      <c r="X61" t="s">
        <v>83</v>
      </c>
      <c r="Y61" t="s">
        <v>49</v>
      </c>
      <c r="Z61">
        <v>1237</v>
      </c>
      <c r="AH61">
        <v>0</v>
      </c>
      <c r="AI61">
        <v>202504</v>
      </c>
      <c r="AJ61" t="s">
        <v>61</v>
      </c>
      <c r="AK61">
        <v>0</v>
      </c>
      <c r="AL61">
        <v>1</v>
      </c>
      <c r="AO61">
        <v>0</v>
      </c>
      <c r="AP61">
        <v>462</v>
      </c>
      <c r="AQ61">
        <v>430</v>
      </c>
      <c r="AR61">
        <v>430462</v>
      </c>
      <c r="AS61" t="s">
        <v>58</v>
      </c>
      <c r="AU61" t="s">
        <v>58</v>
      </c>
      <c r="AV61">
        <v>25045.55</v>
      </c>
      <c r="AW61">
        <v>26010.331999999999</v>
      </c>
      <c r="AX61">
        <v>27041.058000000001</v>
      </c>
      <c r="AY61">
        <v>28420.708999999999</v>
      </c>
      <c r="AZ61">
        <v>29962.351999999999</v>
      </c>
      <c r="BA61">
        <v>31788.16</v>
      </c>
      <c r="BB61">
        <v>34027.07</v>
      </c>
      <c r="BC61">
        <v>36641.5795</v>
      </c>
      <c r="BD61">
        <v>39840.642</v>
      </c>
      <c r="BE61">
        <v>40000</v>
      </c>
      <c r="BF61">
        <v>41343.269999999997</v>
      </c>
      <c r="BG61">
        <v>44702.324999999997</v>
      </c>
      <c r="BH61">
        <v>49392.076000000001</v>
      </c>
      <c r="BI61">
        <v>58375.907500000008</v>
      </c>
      <c r="BJ61">
        <v>70239.999999999985</v>
      </c>
      <c r="BK61">
        <v>81597.5</v>
      </c>
      <c r="BL61">
        <v>118941.322</v>
      </c>
      <c r="BM61">
        <v>163981.24299999949</v>
      </c>
      <c r="BN61">
        <v>270486.4050000002</v>
      </c>
      <c r="BO61">
        <v>446888.37399999989</v>
      </c>
      <c r="BP61">
        <v>2814221.66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 x14ac:dyDescent="0.35">
      <c r="A62">
        <v>341682</v>
      </c>
      <c r="B62" t="s">
        <v>259</v>
      </c>
      <c r="C62" t="s">
        <v>260</v>
      </c>
      <c r="D62" s="1">
        <v>45787</v>
      </c>
      <c r="E62">
        <v>53850</v>
      </c>
      <c r="F62">
        <v>154</v>
      </c>
      <c r="G62" t="s">
        <v>235</v>
      </c>
      <c r="H62" t="s">
        <v>262</v>
      </c>
      <c r="I62" t="s">
        <v>48</v>
      </c>
      <c r="L62">
        <v>1543300004860</v>
      </c>
      <c r="M62">
        <v>20250424</v>
      </c>
      <c r="N62" t="s">
        <v>263</v>
      </c>
      <c r="Q62" t="s">
        <v>55</v>
      </c>
      <c r="R62">
        <v>39805.050000000003</v>
      </c>
      <c r="T62">
        <v>3715569</v>
      </c>
      <c r="U62">
        <v>5424970654</v>
      </c>
      <c r="V62" t="s">
        <v>265</v>
      </c>
      <c r="W62" t="s">
        <v>53</v>
      </c>
      <c r="X62" t="s">
        <v>266</v>
      </c>
      <c r="Y62" t="s">
        <v>49</v>
      </c>
      <c r="Z62">
        <v>741</v>
      </c>
      <c r="AH62">
        <v>0</v>
      </c>
      <c r="AI62">
        <v>202504</v>
      </c>
      <c r="AJ62" t="s">
        <v>61</v>
      </c>
      <c r="AK62">
        <v>0</v>
      </c>
      <c r="AL62">
        <v>1</v>
      </c>
      <c r="AM62">
        <v>3715569</v>
      </c>
      <c r="AN62">
        <v>1</v>
      </c>
      <c r="AO62">
        <v>0</v>
      </c>
      <c r="AP62">
        <v>999</v>
      </c>
      <c r="AQ62">
        <v>430</v>
      </c>
      <c r="AR62">
        <v>430999</v>
      </c>
      <c r="AT62">
        <v>1</v>
      </c>
      <c r="AU62" t="s">
        <v>54</v>
      </c>
      <c r="AV62">
        <v>25045.55</v>
      </c>
      <c r="AW62">
        <v>26010.331999999999</v>
      </c>
      <c r="AX62">
        <v>27041.058000000001</v>
      </c>
      <c r="AY62">
        <v>28420.708999999999</v>
      </c>
      <c r="AZ62">
        <v>29962.351999999999</v>
      </c>
      <c r="BA62">
        <v>31788.16</v>
      </c>
      <c r="BB62">
        <v>34027.07</v>
      </c>
      <c r="BC62">
        <v>36641.5795</v>
      </c>
      <c r="BD62">
        <v>39840.642</v>
      </c>
      <c r="BE62">
        <v>40000</v>
      </c>
      <c r="BF62">
        <v>41343.269999999997</v>
      </c>
      <c r="BG62">
        <v>44702.324999999997</v>
      </c>
      <c r="BH62">
        <v>49392.076000000001</v>
      </c>
      <c r="BI62">
        <v>58375.907500000008</v>
      </c>
      <c r="BJ62">
        <v>70239.999999999985</v>
      </c>
      <c r="BK62">
        <v>81597.5</v>
      </c>
      <c r="BL62">
        <v>118941.322</v>
      </c>
      <c r="BM62">
        <v>163981.24299999949</v>
      </c>
      <c r="BN62">
        <v>270486.4050000002</v>
      </c>
      <c r="BO62">
        <v>446888.37399999989</v>
      </c>
      <c r="BP62">
        <v>2814221.66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 x14ac:dyDescent="0.35">
      <c r="A63">
        <v>341676</v>
      </c>
      <c r="B63" t="s">
        <v>259</v>
      </c>
      <c r="C63" t="s">
        <v>260</v>
      </c>
      <c r="D63" s="1">
        <v>45787</v>
      </c>
      <c r="E63">
        <v>53850</v>
      </c>
      <c r="F63">
        <v>153</v>
      </c>
      <c r="G63" t="s">
        <v>81</v>
      </c>
      <c r="H63" t="s">
        <v>262</v>
      </c>
      <c r="I63" t="s">
        <v>48</v>
      </c>
      <c r="L63">
        <v>1533300663957</v>
      </c>
      <c r="M63">
        <v>20250407</v>
      </c>
      <c r="N63" t="s">
        <v>263</v>
      </c>
      <c r="Q63" t="s">
        <v>55</v>
      </c>
      <c r="R63">
        <v>49723.65</v>
      </c>
      <c r="T63">
        <v>3720623</v>
      </c>
      <c r="U63">
        <v>3067020648</v>
      </c>
      <c r="V63" t="s">
        <v>292</v>
      </c>
      <c r="W63" t="s">
        <v>53</v>
      </c>
      <c r="X63" t="s">
        <v>83</v>
      </c>
      <c r="Y63" t="s">
        <v>49</v>
      </c>
      <c r="Z63">
        <v>1055</v>
      </c>
      <c r="AH63">
        <v>0</v>
      </c>
      <c r="AI63">
        <v>202504</v>
      </c>
      <c r="AJ63" t="s">
        <v>61</v>
      </c>
      <c r="AK63">
        <v>0</v>
      </c>
      <c r="AL63">
        <v>1</v>
      </c>
      <c r="AO63">
        <v>0</v>
      </c>
      <c r="AP63">
        <v>462</v>
      </c>
      <c r="AQ63">
        <v>430</v>
      </c>
      <c r="AR63">
        <v>430462</v>
      </c>
      <c r="AS63" t="s">
        <v>58</v>
      </c>
      <c r="AU63" t="s">
        <v>58</v>
      </c>
      <c r="AV63">
        <v>25045.55</v>
      </c>
      <c r="AW63">
        <v>26010.331999999999</v>
      </c>
      <c r="AX63">
        <v>27041.058000000001</v>
      </c>
      <c r="AY63">
        <v>28420.708999999999</v>
      </c>
      <c r="AZ63">
        <v>29962.351999999999</v>
      </c>
      <c r="BA63">
        <v>31788.16</v>
      </c>
      <c r="BB63">
        <v>34027.07</v>
      </c>
      <c r="BC63">
        <v>36641.5795</v>
      </c>
      <c r="BD63">
        <v>39840.642</v>
      </c>
      <c r="BE63">
        <v>40000</v>
      </c>
      <c r="BF63">
        <v>41343.269999999997</v>
      </c>
      <c r="BG63">
        <v>44702.324999999997</v>
      </c>
      <c r="BH63">
        <v>49392.076000000001</v>
      </c>
      <c r="BI63">
        <v>58375.907500000008</v>
      </c>
      <c r="BJ63">
        <v>70239.999999999985</v>
      </c>
      <c r="BK63">
        <v>81597.5</v>
      </c>
      <c r="BL63">
        <v>118941.322</v>
      </c>
      <c r="BM63">
        <v>163981.24299999949</v>
      </c>
      <c r="BN63">
        <v>270486.4050000002</v>
      </c>
      <c r="BO63">
        <v>446888.37399999989</v>
      </c>
      <c r="BP63">
        <v>2814221.66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 x14ac:dyDescent="0.35">
      <c r="A64">
        <v>341674</v>
      </c>
      <c r="B64" t="s">
        <v>259</v>
      </c>
      <c r="C64" t="s">
        <v>260</v>
      </c>
      <c r="D64" s="1">
        <v>45787</v>
      </c>
      <c r="E64">
        <v>53850</v>
      </c>
      <c r="F64">
        <v>122</v>
      </c>
      <c r="G64" t="s">
        <v>261</v>
      </c>
      <c r="H64" t="s">
        <v>262</v>
      </c>
      <c r="I64" t="s">
        <v>48</v>
      </c>
      <c r="L64">
        <v>1223300002128</v>
      </c>
      <c r="M64">
        <v>20250409</v>
      </c>
      <c r="N64" t="s">
        <v>263</v>
      </c>
      <c r="Q64" t="s">
        <v>55</v>
      </c>
      <c r="R64">
        <v>27000.75</v>
      </c>
      <c r="T64">
        <v>3711207</v>
      </c>
      <c r="U64">
        <v>8825020723</v>
      </c>
      <c r="V64" t="s">
        <v>264</v>
      </c>
      <c r="W64" t="s">
        <v>53</v>
      </c>
      <c r="X64" t="s">
        <v>57</v>
      </c>
      <c r="Y64" t="s">
        <v>49</v>
      </c>
      <c r="Z64">
        <v>1696</v>
      </c>
      <c r="AH64">
        <v>0</v>
      </c>
      <c r="AI64">
        <v>202504</v>
      </c>
      <c r="AJ64" t="s">
        <v>51</v>
      </c>
      <c r="AK64">
        <v>0</v>
      </c>
      <c r="AL64">
        <v>1</v>
      </c>
      <c r="AO64">
        <v>0</v>
      </c>
      <c r="AP64">
        <v>620</v>
      </c>
      <c r="AQ64">
        <v>430</v>
      </c>
      <c r="AR64">
        <v>430620</v>
      </c>
      <c r="AS64" t="s">
        <v>58</v>
      </c>
      <c r="AU64" t="s">
        <v>58</v>
      </c>
      <c r="AV64">
        <v>25045.55</v>
      </c>
      <c r="AW64">
        <v>26010.331999999999</v>
      </c>
      <c r="AX64">
        <v>27041.058000000001</v>
      </c>
      <c r="AY64">
        <v>28420.708999999999</v>
      </c>
      <c r="AZ64">
        <v>29962.351999999999</v>
      </c>
      <c r="BA64">
        <v>31788.16</v>
      </c>
      <c r="BB64">
        <v>34027.07</v>
      </c>
      <c r="BC64">
        <v>36641.5795</v>
      </c>
      <c r="BD64">
        <v>39840.642</v>
      </c>
      <c r="BE64">
        <v>40000</v>
      </c>
      <c r="BF64">
        <v>41343.269999999997</v>
      </c>
      <c r="BG64">
        <v>44702.324999999997</v>
      </c>
      <c r="BH64">
        <v>49392.076000000001</v>
      </c>
      <c r="BI64">
        <v>58375.907500000008</v>
      </c>
      <c r="BJ64">
        <v>70239.999999999985</v>
      </c>
      <c r="BK64">
        <v>81597.5</v>
      </c>
      <c r="BL64">
        <v>118941.322</v>
      </c>
      <c r="BM64">
        <v>163981.24299999949</v>
      </c>
      <c r="BN64">
        <v>270486.4050000002</v>
      </c>
      <c r="BO64">
        <v>446888.37399999989</v>
      </c>
      <c r="BP64">
        <v>2814221.66</v>
      </c>
      <c r="BQ64">
        <v>1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 x14ac:dyDescent="0.35">
      <c r="A65">
        <v>341657</v>
      </c>
      <c r="B65" t="s">
        <v>259</v>
      </c>
      <c r="C65" t="s">
        <v>260</v>
      </c>
      <c r="D65" s="1">
        <v>45787</v>
      </c>
      <c r="E65">
        <v>53850</v>
      </c>
      <c r="F65">
        <v>109</v>
      </c>
      <c r="G65" t="s">
        <v>65</v>
      </c>
      <c r="H65" t="s">
        <v>262</v>
      </c>
      <c r="I65" t="s">
        <v>48</v>
      </c>
      <c r="L65">
        <v>1093306674353</v>
      </c>
      <c r="M65">
        <v>20250414</v>
      </c>
      <c r="N65" t="s">
        <v>263</v>
      </c>
      <c r="Q65" t="s">
        <v>55</v>
      </c>
      <c r="R65">
        <v>305660.78000000003</v>
      </c>
      <c r="T65">
        <v>4916449</v>
      </c>
      <c r="U65">
        <v>8176830720</v>
      </c>
      <c r="V65" t="s">
        <v>288</v>
      </c>
      <c r="W65" t="s">
        <v>53</v>
      </c>
      <c r="X65" t="s">
        <v>177</v>
      </c>
      <c r="Y65" t="s">
        <v>49</v>
      </c>
      <c r="Z65">
        <v>1903</v>
      </c>
      <c r="AH65">
        <v>0</v>
      </c>
      <c r="AI65">
        <v>202504</v>
      </c>
      <c r="AJ65" t="s">
        <v>61</v>
      </c>
      <c r="AK65">
        <v>0</v>
      </c>
      <c r="AL65">
        <v>1</v>
      </c>
      <c r="AO65">
        <v>0</v>
      </c>
      <c r="AP65">
        <v>451</v>
      </c>
      <c r="AQ65">
        <v>430</v>
      </c>
      <c r="AR65">
        <v>430451</v>
      </c>
      <c r="AS65" t="s">
        <v>58</v>
      </c>
      <c r="AU65" t="s">
        <v>58</v>
      </c>
      <c r="AV65">
        <v>25045.55</v>
      </c>
      <c r="AW65">
        <v>26010.331999999999</v>
      </c>
      <c r="AX65">
        <v>27041.058000000001</v>
      </c>
      <c r="AY65">
        <v>28420.708999999999</v>
      </c>
      <c r="AZ65">
        <v>29962.351999999999</v>
      </c>
      <c r="BA65">
        <v>31788.16</v>
      </c>
      <c r="BB65">
        <v>34027.07</v>
      </c>
      <c r="BC65">
        <v>36641.5795</v>
      </c>
      <c r="BD65">
        <v>39840.642</v>
      </c>
      <c r="BE65">
        <v>40000</v>
      </c>
      <c r="BF65">
        <v>41343.269999999997</v>
      </c>
      <c r="BG65">
        <v>44702.324999999997</v>
      </c>
      <c r="BH65">
        <v>49392.076000000001</v>
      </c>
      <c r="BI65">
        <v>58375.907500000008</v>
      </c>
      <c r="BJ65">
        <v>70239.999999999985</v>
      </c>
      <c r="BK65">
        <v>81597.5</v>
      </c>
      <c r="BL65">
        <v>118941.322</v>
      </c>
      <c r="BM65">
        <v>163981.24299999949</v>
      </c>
      <c r="BN65">
        <v>270486.4050000002</v>
      </c>
      <c r="BO65">
        <v>446888.37399999989</v>
      </c>
      <c r="BP65">
        <v>2814221.66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0</v>
      </c>
      <c r="CK65">
        <v>0</v>
      </c>
    </row>
    <row r="66" spans="1:89" x14ac:dyDescent="0.35">
      <c r="A66">
        <v>341638</v>
      </c>
      <c r="B66" t="s">
        <v>259</v>
      </c>
      <c r="C66" t="s">
        <v>260</v>
      </c>
      <c r="D66" s="1">
        <v>45787</v>
      </c>
      <c r="E66">
        <v>53850</v>
      </c>
      <c r="F66">
        <v>191</v>
      </c>
      <c r="G66" t="s">
        <v>173</v>
      </c>
      <c r="H66" t="s">
        <v>262</v>
      </c>
      <c r="I66" t="s">
        <v>48</v>
      </c>
      <c r="L66">
        <v>1913300068122</v>
      </c>
      <c r="M66">
        <v>20250407</v>
      </c>
      <c r="N66" t="s">
        <v>263</v>
      </c>
      <c r="Q66" t="s">
        <v>55</v>
      </c>
      <c r="R66">
        <v>30000</v>
      </c>
      <c r="T66">
        <v>4918280</v>
      </c>
      <c r="U66">
        <v>3480410798</v>
      </c>
      <c r="V66" t="s">
        <v>291</v>
      </c>
      <c r="W66" t="s">
        <v>53</v>
      </c>
      <c r="X66" t="s">
        <v>232</v>
      </c>
      <c r="Y66" t="s">
        <v>49</v>
      </c>
      <c r="AH66">
        <v>0</v>
      </c>
      <c r="AI66">
        <v>202504</v>
      </c>
      <c r="AJ66" t="s">
        <v>61</v>
      </c>
      <c r="AK66">
        <v>0</v>
      </c>
      <c r="AL66">
        <v>1</v>
      </c>
      <c r="AO66">
        <v>0</v>
      </c>
      <c r="AP66">
        <v>999</v>
      </c>
      <c r="AQ66">
        <v>430</v>
      </c>
      <c r="AR66">
        <v>430999</v>
      </c>
      <c r="AT66">
        <v>1</v>
      </c>
      <c r="AU66" t="s">
        <v>54</v>
      </c>
      <c r="AV66">
        <v>25045.55</v>
      </c>
      <c r="AW66">
        <v>26010.331999999999</v>
      </c>
      <c r="AX66">
        <v>27041.058000000001</v>
      </c>
      <c r="AY66">
        <v>28420.708999999999</v>
      </c>
      <c r="AZ66">
        <v>29962.351999999999</v>
      </c>
      <c r="BA66">
        <v>31788.16</v>
      </c>
      <c r="BB66">
        <v>34027.07</v>
      </c>
      <c r="BC66">
        <v>36641.5795</v>
      </c>
      <c r="BD66">
        <v>39840.642</v>
      </c>
      <c r="BE66">
        <v>40000</v>
      </c>
      <c r="BF66">
        <v>41343.269999999997</v>
      </c>
      <c r="BG66">
        <v>44702.324999999997</v>
      </c>
      <c r="BH66">
        <v>49392.076000000001</v>
      </c>
      <c r="BI66">
        <v>58375.907500000008</v>
      </c>
      <c r="BJ66">
        <v>70239.999999999985</v>
      </c>
      <c r="BK66">
        <v>81597.5</v>
      </c>
      <c r="BL66">
        <v>118941.322</v>
      </c>
      <c r="BM66">
        <v>163981.24299999949</v>
      </c>
      <c r="BN66">
        <v>270486.4050000002</v>
      </c>
      <c r="BO66">
        <v>446888.37399999989</v>
      </c>
      <c r="BP66">
        <v>2814221.66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 x14ac:dyDescent="0.35">
      <c r="A67">
        <v>341621</v>
      </c>
      <c r="B67" t="s">
        <v>259</v>
      </c>
      <c r="C67" t="s">
        <v>260</v>
      </c>
      <c r="D67" s="1">
        <v>45787</v>
      </c>
      <c r="E67">
        <v>53850</v>
      </c>
      <c r="F67">
        <v>268</v>
      </c>
      <c r="G67" t="s">
        <v>168</v>
      </c>
      <c r="H67" t="s">
        <v>262</v>
      </c>
      <c r="I67" t="s">
        <v>48</v>
      </c>
      <c r="L67">
        <v>2683300000171</v>
      </c>
      <c r="M67">
        <v>20250416</v>
      </c>
      <c r="N67" t="s">
        <v>263</v>
      </c>
      <c r="Q67" t="s">
        <v>55</v>
      </c>
      <c r="R67">
        <v>150000</v>
      </c>
      <c r="T67">
        <v>1606212</v>
      </c>
      <c r="U67">
        <v>1495180794</v>
      </c>
      <c r="V67" t="s">
        <v>169</v>
      </c>
      <c r="W67" t="s">
        <v>53</v>
      </c>
      <c r="X67" t="s">
        <v>170</v>
      </c>
      <c r="Y67" t="s">
        <v>49</v>
      </c>
      <c r="Z67">
        <v>1627</v>
      </c>
      <c r="AH67">
        <v>0</v>
      </c>
      <c r="AI67">
        <v>202504</v>
      </c>
      <c r="AJ67" t="s">
        <v>160</v>
      </c>
      <c r="AK67">
        <v>1</v>
      </c>
      <c r="AL67">
        <v>1</v>
      </c>
      <c r="AO67">
        <v>0</v>
      </c>
      <c r="AP67">
        <v>999</v>
      </c>
      <c r="AQ67">
        <v>430</v>
      </c>
      <c r="AR67">
        <v>430999</v>
      </c>
      <c r="AT67">
        <v>1</v>
      </c>
      <c r="AU67" t="s">
        <v>54</v>
      </c>
      <c r="AV67">
        <v>25045.55</v>
      </c>
      <c r="AW67">
        <v>26010.331999999999</v>
      </c>
      <c r="AX67">
        <v>27041.058000000001</v>
      </c>
      <c r="AY67">
        <v>28420.708999999999</v>
      </c>
      <c r="AZ67">
        <v>29962.351999999999</v>
      </c>
      <c r="BA67">
        <v>31788.16</v>
      </c>
      <c r="BB67">
        <v>34027.07</v>
      </c>
      <c r="BC67">
        <v>36641.5795</v>
      </c>
      <c r="BD67">
        <v>39840.642</v>
      </c>
      <c r="BE67">
        <v>40000</v>
      </c>
      <c r="BF67">
        <v>41343.269999999997</v>
      </c>
      <c r="BG67">
        <v>44702.324999999997</v>
      </c>
      <c r="BH67">
        <v>49392.076000000001</v>
      </c>
      <c r="BI67">
        <v>58375.907500000008</v>
      </c>
      <c r="BJ67">
        <v>70239.999999999985</v>
      </c>
      <c r="BK67">
        <v>81597.5</v>
      </c>
      <c r="BL67">
        <v>118941.322</v>
      </c>
      <c r="BM67">
        <v>163981.24299999949</v>
      </c>
      <c r="BN67">
        <v>270486.4050000002</v>
      </c>
      <c r="BO67">
        <v>446888.37399999989</v>
      </c>
      <c r="BP67">
        <v>2814221.66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0</v>
      </c>
      <c r="CI67">
        <v>0</v>
      </c>
      <c r="CJ67">
        <v>0</v>
      </c>
      <c r="CK67">
        <v>0</v>
      </c>
    </row>
    <row r="68" spans="1:89" x14ac:dyDescent="0.35">
      <c r="A68">
        <v>341600</v>
      </c>
      <c r="B68" t="s">
        <v>259</v>
      </c>
      <c r="C68" t="s">
        <v>260</v>
      </c>
      <c r="D68" s="1">
        <v>45787</v>
      </c>
      <c r="E68">
        <v>53850</v>
      </c>
      <c r="F68">
        <v>141</v>
      </c>
      <c r="G68" t="s">
        <v>76</v>
      </c>
      <c r="H68" t="s">
        <v>262</v>
      </c>
      <c r="I68" t="s">
        <v>48</v>
      </c>
      <c r="L68">
        <v>1413300004311</v>
      </c>
      <c r="M68">
        <v>20250416</v>
      </c>
      <c r="N68" t="s">
        <v>263</v>
      </c>
      <c r="Q68" t="s">
        <v>55</v>
      </c>
      <c r="R68">
        <v>598090.81999999995</v>
      </c>
      <c r="T68">
        <v>3737110</v>
      </c>
      <c r="U68">
        <v>5366430758</v>
      </c>
      <c r="V68" t="s">
        <v>301</v>
      </c>
      <c r="W68" t="s">
        <v>53</v>
      </c>
      <c r="X68" t="s">
        <v>93</v>
      </c>
      <c r="Y68" t="s">
        <v>49</v>
      </c>
      <c r="Z68">
        <v>1627</v>
      </c>
      <c r="AH68">
        <v>0</v>
      </c>
      <c r="AI68">
        <v>202504</v>
      </c>
      <c r="AJ68" t="s">
        <v>51</v>
      </c>
      <c r="AK68">
        <v>0</v>
      </c>
      <c r="AL68">
        <v>1</v>
      </c>
      <c r="AO68">
        <v>0</v>
      </c>
      <c r="AP68">
        <v>433</v>
      </c>
      <c r="AQ68">
        <v>430</v>
      </c>
      <c r="AR68">
        <v>430433</v>
      </c>
      <c r="AS68" t="s">
        <v>58</v>
      </c>
      <c r="AU68" t="s">
        <v>58</v>
      </c>
      <c r="AV68">
        <v>25045.55</v>
      </c>
      <c r="AW68">
        <v>26010.331999999999</v>
      </c>
      <c r="AX68">
        <v>27041.058000000001</v>
      </c>
      <c r="AY68">
        <v>28420.708999999999</v>
      </c>
      <c r="AZ68">
        <v>29962.351999999999</v>
      </c>
      <c r="BA68">
        <v>31788.16</v>
      </c>
      <c r="BB68">
        <v>34027.07</v>
      </c>
      <c r="BC68">
        <v>36641.5795</v>
      </c>
      <c r="BD68">
        <v>39840.642</v>
      </c>
      <c r="BE68">
        <v>40000</v>
      </c>
      <c r="BF68">
        <v>41343.269999999997</v>
      </c>
      <c r="BG68">
        <v>44702.324999999997</v>
      </c>
      <c r="BH68">
        <v>49392.076000000001</v>
      </c>
      <c r="BI68">
        <v>58375.907500000008</v>
      </c>
      <c r="BJ68">
        <v>70239.999999999985</v>
      </c>
      <c r="BK68">
        <v>81597.5</v>
      </c>
      <c r="BL68">
        <v>118941.322</v>
      </c>
      <c r="BM68">
        <v>163981.24299999949</v>
      </c>
      <c r="BN68">
        <v>270486.4050000002</v>
      </c>
      <c r="BO68">
        <v>446888.37399999989</v>
      </c>
      <c r="BP68">
        <v>2814221.66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0</v>
      </c>
    </row>
    <row r="69" spans="1:89" x14ac:dyDescent="0.35">
      <c r="A69">
        <v>341588</v>
      </c>
      <c r="B69" t="s">
        <v>259</v>
      </c>
      <c r="C69" t="s">
        <v>260</v>
      </c>
      <c r="D69" s="1">
        <v>45787</v>
      </c>
      <c r="E69">
        <v>53850</v>
      </c>
      <c r="F69">
        <v>148</v>
      </c>
      <c r="G69" t="s">
        <v>90</v>
      </c>
      <c r="H69" t="s">
        <v>262</v>
      </c>
      <c r="I69" t="s">
        <v>48</v>
      </c>
      <c r="L69">
        <v>1483300004308</v>
      </c>
      <c r="M69">
        <v>20250411</v>
      </c>
      <c r="N69" t="s">
        <v>263</v>
      </c>
      <c r="Q69" t="s">
        <v>55</v>
      </c>
      <c r="R69">
        <v>61293.66</v>
      </c>
      <c r="T69">
        <v>4898674</v>
      </c>
      <c r="U69">
        <v>2936580642</v>
      </c>
      <c r="V69" t="s">
        <v>230</v>
      </c>
      <c r="W69" t="s">
        <v>53</v>
      </c>
      <c r="X69" t="s">
        <v>231</v>
      </c>
      <c r="Y69" t="s">
        <v>49</v>
      </c>
      <c r="Z69">
        <v>1063</v>
      </c>
      <c r="AH69">
        <v>0</v>
      </c>
      <c r="AI69">
        <v>202504</v>
      </c>
      <c r="AJ69" t="s">
        <v>61</v>
      </c>
      <c r="AK69">
        <v>0</v>
      </c>
      <c r="AL69">
        <v>1</v>
      </c>
      <c r="AO69">
        <v>0</v>
      </c>
      <c r="AP69">
        <v>999</v>
      </c>
      <c r="AQ69">
        <v>430</v>
      </c>
      <c r="AR69">
        <v>430999</v>
      </c>
      <c r="AT69">
        <v>1</v>
      </c>
      <c r="AU69" t="s">
        <v>54</v>
      </c>
      <c r="AV69">
        <v>25045.55</v>
      </c>
      <c r="AW69">
        <v>26010.331999999999</v>
      </c>
      <c r="AX69">
        <v>27041.058000000001</v>
      </c>
      <c r="AY69">
        <v>28420.708999999999</v>
      </c>
      <c r="AZ69">
        <v>29962.351999999999</v>
      </c>
      <c r="BA69">
        <v>31788.16</v>
      </c>
      <c r="BB69">
        <v>34027.07</v>
      </c>
      <c r="BC69">
        <v>36641.5795</v>
      </c>
      <c r="BD69">
        <v>39840.642</v>
      </c>
      <c r="BE69">
        <v>40000</v>
      </c>
      <c r="BF69">
        <v>41343.269999999997</v>
      </c>
      <c r="BG69">
        <v>44702.324999999997</v>
      </c>
      <c r="BH69">
        <v>49392.076000000001</v>
      </c>
      <c r="BI69">
        <v>58375.907500000008</v>
      </c>
      <c r="BJ69">
        <v>70239.999999999985</v>
      </c>
      <c r="BK69">
        <v>81597.5</v>
      </c>
      <c r="BL69">
        <v>118941.322</v>
      </c>
      <c r="BM69">
        <v>163981.24299999949</v>
      </c>
      <c r="BN69">
        <v>270486.4050000002</v>
      </c>
      <c r="BO69">
        <v>446888.37399999989</v>
      </c>
      <c r="BP69">
        <v>2814221.66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 x14ac:dyDescent="0.35">
      <c r="A70">
        <v>341587</v>
      </c>
      <c r="B70" t="s">
        <v>259</v>
      </c>
      <c r="C70" t="s">
        <v>260</v>
      </c>
      <c r="D70" s="1">
        <v>45787</v>
      </c>
      <c r="E70">
        <v>53850</v>
      </c>
      <c r="F70">
        <v>148</v>
      </c>
      <c r="G70" t="s">
        <v>90</v>
      </c>
      <c r="H70" t="s">
        <v>262</v>
      </c>
      <c r="I70" t="s">
        <v>48</v>
      </c>
      <c r="L70">
        <v>1483300004308</v>
      </c>
      <c r="M70">
        <v>20250401</v>
      </c>
      <c r="N70" t="s">
        <v>263</v>
      </c>
      <c r="Q70" t="s">
        <v>55</v>
      </c>
      <c r="R70">
        <v>39660</v>
      </c>
      <c r="T70">
        <v>4898674</v>
      </c>
      <c r="U70">
        <v>2936580642</v>
      </c>
      <c r="V70" t="s">
        <v>230</v>
      </c>
      <c r="W70" t="s">
        <v>53</v>
      </c>
      <c r="X70" t="s">
        <v>231</v>
      </c>
      <c r="Y70" t="s">
        <v>49</v>
      </c>
      <c r="Z70">
        <v>1063</v>
      </c>
      <c r="AH70">
        <v>0</v>
      </c>
      <c r="AI70">
        <v>202504</v>
      </c>
      <c r="AJ70" t="s">
        <v>61</v>
      </c>
      <c r="AK70">
        <v>0</v>
      </c>
      <c r="AL70">
        <v>1</v>
      </c>
      <c r="AO70">
        <v>0</v>
      </c>
      <c r="AP70">
        <v>999</v>
      </c>
      <c r="AQ70">
        <v>430</v>
      </c>
      <c r="AR70">
        <v>430999</v>
      </c>
      <c r="AT70">
        <v>1</v>
      </c>
      <c r="AU70" t="s">
        <v>54</v>
      </c>
      <c r="AV70">
        <v>25045.55</v>
      </c>
      <c r="AW70">
        <v>26010.331999999999</v>
      </c>
      <c r="AX70">
        <v>27041.058000000001</v>
      </c>
      <c r="AY70">
        <v>28420.708999999999</v>
      </c>
      <c r="AZ70">
        <v>29962.351999999999</v>
      </c>
      <c r="BA70">
        <v>31788.16</v>
      </c>
      <c r="BB70">
        <v>34027.07</v>
      </c>
      <c r="BC70">
        <v>36641.5795</v>
      </c>
      <c r="BD70">
        <v>39840.642</v>
      </c>
      <c r="BE70">
        <v>40000</v>
      </c>
      <c r="BF70">
        <v>41343.269999999997</v>
      </c>
      <c r="BG70">
        <v>44702.324999999997</v>
      </c>
      <c r="BH70">
        <v>49392.076000000001</v>
      </c>
      <c r="BI70">
        <v>58375.907500000008</v>
      </c>
      <c r="BJ70">
        <v>70239.999999999985</v>
      </c>
      <c r="BK70">
        <v>81597.5</v>
      </c>
      <c r="BL70">
        <v>118941.322</v>
      </c>
      <c r="BM70">
        <v>163981.24299999949</v>
      </c>
      <c r="BN70">
        <v>270486.4050000002</v>
      </c>
      <c r="BO70">
        <v>446888.37399999989</v>
      </c>
      <c r="BP70">
        <v>2814221.66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 x14ac:dyDescent="0.35">
      <c r="A71">
        <v>341577</v>
      </c>
      <c r="B71" t="s">
        <v>259</v>
      </c>
      <c r="C71" t="s">
        <v>260</v>
      </c>
      <c r="D71" s="1">
        <v>45787</v>
      </c>
      <c r="E71">
        <v>53850</v>
      </c>
      <c r="F71">
        <v>122</v>
      </c>
      <c r="G71" t="s">
        <v>261</v>
      </c>
      <c r="H71" t="s">
        <v>262</v>
      </c>
      <c r="I71" t="s">
        <v>48</v>
      </c>
      <c r="L71">
        <v>1223300002128</v>
      </c>
      <c r="M71">
        <v>20250410</v>
      </c>
      <c r="N71" t="s">
        <v>263</v>
      </c>
      <c r="Q71" t="s">
        <v>55</v>
      </c>
      <c r="R71">
        <v>41710.18</v>
      </c>
      <c r="T71">
        <v>3711207</v>
      </c>
      <c r="U71">
        <v>8825020723</v>
      </c>
      <c r="V71" t="s">
        <v>264</v>
      </c>
      <c r="W71" t="s">
        <v>53</v>
      </c>
      <c r="X71" t="s">
        <v>57</v>
      </c>
      <c r="Y71" t="s">
        <v>49</v>
      </c>
      <c r="Z71">
        <v>1696</v>
      </c>
      <c r="AH71">
        <v>0</v>
      </c>
      <c r="AI71">
        <v>202504</v>
      </c>
      <c r="AJ71" t="s">
        <v>51</v>
      </c>
      <c r="AK71">
        <v>0</v>
      </c>
      <c r="AL71">
        <v>1</v>
      </c>
      <c r="AO71">
        <v>0</v>
      </c>
      <c r="AP71">
        <v>620</v>
      </c>
      <c r="AQ71">
        <v>430</v>
      </c>
      <c r="AR71">
        <v>430620</v>
      </c>
      <c r="AS71" t="s">
        <v>58</v>
      </c>
      <c r="AU71" t="s">
        <v>58</v>
      </c>
      <c r="AV71">
        <v>25045.55</v>
      </c>
      <c r="AW71">
        <v>26010.331999999999</v>
      </c>
      <c r="AX71">
        <v>27041.058000000001</v>
      </c>
      <c r="AY71">
        <v>28420.708999999999</v>
      </c>
      <c r="AZ71">
        <v>29962.351999999999</v>
      </c>
      <c r="BA71">
        <v>31788.16</v>
      </c>
      <c r="BB71">
        <v>34027.07</v>
      </c>
      <c r="BC71">
        <v>36641.5795</v>
      </c>
      <c r="BD71">
        <v>39840.642</v>
      </c>
      <c r="BE71">
        <v>40000</v>
      </c>
      <c r="BF71">
        <v>41343.269999999997</v>
      </c>
      <c r="BG71">
        <v>44702.324999999997</v>
      </c>
      <c r="BH71">
        <v>49392.076000000001</v>
      </c>
      <c r="BI71">
        <v>58375.907500000008</v>
      </c>
      <c r="BJ71">
        <v>70239.999999999985</v>
      </c>
      <c r="BK71">
        <v>81597.5</v>
      </c>
      <c r="BL71">
        <v>118941.322</v>
      </c>
      <c r="BM71">
        <v>163981.24299999949</v>
      </c>
      <c r="BN71">
        <v>270486.4050000002</v>
      </c>
      <c r="BO71">
        <v>446888.37399999989</v>
      </c>
      <c r="BP71">
        <v>2814221.66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 x14ac:dyDescent="0.35">
      <c r="A72">
        <v>341574</v>
      </c>
      <c r="B72" t="s">
        <v>259</v>
      </c>
      <c r="C72" t="s">
        <v>260</v>
      </c>
      <c r="D72" s="1">
        <v>45787</v>
      </c>
      <c r="E72">
        <v>53850</v>
      </c>
      <c r="F72">
        <v>122</v>
      </c>
      <c r="G72" t="s">
        <v>261</v>
      </c>
      <c r="H72" t="s">
        <v>262</v>
      </c>
      <c r="I72" t="s">
        <v>48</v>
      </c>
      <c r="L72">
        <v>1223300002128</v>
      </c>
      <c r="M72">
        <v>20250409</v>
      </c>
      <c r="N72" t="s">
        <v>263</v>
      </c>
      <c r="Q72" t="s">
        <v>55</v>
      </c>
      <c r="R72">
        <v>40001.370000000003</v>
      </c>
      <c r="T72">
        <v>3711207</v>
      </c>
      <c r="U72">
        <v>8825020723</v>
      </c>
      <c r="V72" t="s">
        <v>264</v>
      </c>
      <c r="W72" t="s">
        <v>53</v>
      </c>
      <c r="X72" t="s">
        <v>57</v>
      </c>
      <c r="Y72" t="s">
        <v>49</v>
      </c>
      <c r="Z72">
        <v>1696</v>
      </c>
      <c r="AH72">
        <v>0</v>
      </c>
      <c r="AI72">
        <v>202504</v>
      </c>
      <c r="AJ72" t="s">
        <v>51</v>
      </c>
      <c r="AK72">
        <v>0</v>
      </c>
      <c r="AL72">
        <v>1</v>
      </c>
      <c r="AO72">
        <v>0</v>
      </c>
      <c r="AP72">
        <v>620</v>
      </c>
      <c r="AQ72">
        <v>430</v>
      </c>
      <c r="AR72">
        <v>430620</v>
      </c>
      <c r="AS72" t="s">
        <v>58</v>
      </c>
      <c r="AU72" t="s">
        <v>58</v>
      </c>
      <c r="AV72">
        <v>25045.55</v>
      </c>
      <c r="AW72">
        <v>26010.331999999999</v>
      </c>
      <c r="AX72">
        <v>27041.058000000001</v>
      </c>
      <c r="AY72">
        <v>28420.708999999999</v>
      </c>
      <c r="AZ72">
        <v>29962.351999999999</v>
      </c>
      <c r="BA72">
        <v>31788.16</v>
      </c>
      <c r="BB72">
        <v>34027.07</v>
      </c>
      <c r="BC72">
        <v>36641.5795</v>
      </c>
      <c r="BD72">
        <v>39840.642</v>
      </c>
      <c r="BE72">
        <v>40000</v>
      </c>
      <c r="BF72">
        <v>41343.269999999997</v>
      </c>
      <c r="BG72">
        <v>44702.324999999997</v>
      </c>
      <c r="BH72">
        <v>49392.076000000001</v>
      </c>
      <c r="BI72">
        <v>58375.907500000008</v>
      </c>
      <c r="BJ72">
        <v>70239.999999999985</v>
      </c>
      <c r="BK72">
        <v>81597.5</v>
      </c>
      <c r="BL72">
        <v>118941.322</v>
      </c>
      <c r="BM72">
        <v>163981.24299999949</v>
      </c>
      <c r="BN72">
        <v>270486.4050000002</v>
      </c>
      <c r="BO72">
        <v>446888.37399999989</v>
      </c>
      <c r="BP72">
        <v>2814221.66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 x14ac:dyDescent="0.35">
      <c r="A73">
        <v>341546</v>
      </c>
      <c r="B73" t="s">
        <v>259</v>
      </c>
      <c r="C73" t="s">
        <v>260</v>
      </c>
      <c r="D73" s="1">
        <v>45787</v>
      </c>
      <c r="E73">
        <v>53850</v>
      </c>
      <c r="F73">
        <v>105</v>
      </c>
      <c r="G73" t="s">
        <v>47</v>
      </c>
      <c r="H73" t="s">
        <v>262</v>
      </c>
      <c r="I73" t="s">
        <v>48</v>
      </c>
      <c r="L73">
        <v>1053306287103</v>
      </c>
      <c r="M73">
        <v>20250402</v>
      </c>
      <c r="N73" t="s">
        <v>263</v>
      </c>
      <c r="Q73" t="s">
        <v>55</v>
      </c>
      <c r="R73">
        <v>72928.759999999995</v>
      </c>
      <c r="T73">
        <v>4263360</v>
      </c>
      <c r="U73">
        <v>5982300724</v>
      </c>
      <c r="V73" t="s">
        <v>268</v>
      </c>
      <c r="W73" t="s">
        <v>53</v>
      </c>
      <c r="X73" t="s">
        <v>269</v>
      </c>
      <c r="Y73" t="s">
        <v>49</v>
      </c>
      <c r="Z73">
        <v>1058</v>
      </c>
      <c r="AH73">
        <v>0</v>
      </c>
      <c r="AI73">
        <v>202504</v>
      </c>
      <c r="AJ73" t="s">
        <v>61</v>
      </c>
      <c r="AK73">
        <v>0</v>
      </c>
      <c r="AL73">
        <v>1</v>
      </c>
      <c r="AO73">
        <v>0</v>
      </c>
      <c r="AP73">
        <v>999</v>
      </c>
      <c r="AQ73">
        <v>430</v>
      </c>
      <c r="AR73">
        <v>430999</v>
      </c>
      <c r="AT73">
        <v>1</v>
      </c>
      <c r="AU73" t="s">
        <v>54</v>
      </c>
      <c r="AV73">
        <v>25045.55</v>
      </c>
      <c r="AW73">
        <v>26010.331999999999</v>
      </c>
      <c r="AX73">
        <v>27041.058000000001</v>
      </c>
      <c r="AY73">
        <v>28420.708999999999</v>
      </c>
      <c r="AZ73">
        <v>29962.351999999999</v>
      </c>
      <c r="BA73">
        <v>31788.16</v>
      </c>
      <c r="BB73">
        <v>34027.07</v>
      </c>
      <c r="BC73">
        <v>36641.5795</v>
      </c>
      <c r="BD73">
        <v>39840.642</v>
      </c>
      <c r="BE73">
        <v>40000</v>
      </c>
      <c r="BF73">
        <v>41343.269999999997</v>
      </c>
      <c r="BG73">
        <v>44702.324999999997</v>
      </c>
      <c r="BH73">
        <v>49392.076000000001</v>
      </c>
      <c r="BI73">
        <v>58375.907500000008</v>
      </c>
      <c r="BJ73">
        <v>70239.999999999985</v>
      </c>
      <c r="BK73">
        <v>81597.5</v>
      </c>
      <c r="BL73">
        <v>118941.322</v>
      </c>
      <c r="BM73">
        <v>163981.24299999949</v>
      </c>
      <c r="BN73">
        <v>270486.4050000002</v>
      </c>
      <c r="BO73">
        <v>446888.37399999989</v>
      </c>
      <c r="BP73">
        <v>2814221.66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 x14ac:dyDescent="0.35">
      <c r="A74">
        <v>341521</v>
      </c>
      <c r="B74" t="s">
        <v>259</v>
      </c>
      <c r="C74" t="s">
        <v>260</v>
      </c>
      <c r="D74" s="1">
        <v>45787</v>
      </c>
      <c r="E74">
        <v>53850</v>
      </c>
      <c r="F74">
        <v>148</v>
      </c>
      <c r="G74" t="s">
        <v>90</v>
      </c>
      <c r="H74" t="s">
        <v>262</v>
      </c>
      <c r="I74" t="s">
        <v>48</v>
      </c>
      <c r="L74">
        <v>1483300004308</v>
      </c>
      <c r="M74">
        <v>20250414</v>
      </c>
      <c r="N74" t="s">
        <v>263</v>
      </c>
      <c r="Q74" t="s">
        <v>55</v>
      </c>
      <c r="R74">
        <v>37431.589999999997</v>
      </c>
      <c r="T74">
        <v>4898674</v>
      </c>
      <c r="U74">
        <v>2936580642</v>
      </c>
      <c r="V74" t="s">
        <v>230</v>
      </c>
      <c r="W74" t="s">
        <v>53</v>
      </c>
      <c r="X74" t="s">
        <v>231</v>
      </c>
      <c r="Y74" t="s">
        <v>49</v>
      </c>
      <c r="Z74">
        <v>1063</v>
      </c>
      <c r="AH74">
        <v>0</v>
      </c>
      <c r="AI74">
        <v>202504</v>
      </c>
      <c r="AJ74" t="s">
        <v>61</v>
      </c>
      <c r="AK74">
        <v>0</v>
      </c>
      <c r="AL74">
        <v>1</v>
      </c>
      <c r="AO74">
        <v>0</v>
      </c>
      <c r="AP74">
        <v>999</v>
      </c>
      <c r="AQ74">
        <v>430</v>
      </c>
      <c r="AR74">
        <v>430999</v>
      </c>
      <c r="AT74">
        <v>1</v>
      </c>
      <c r="AU74" t="s">
        <v>54</v>
      </c>
      <c r="AV74">
        <v>25045.55</v>
      </c>
      <c r="AW74">
        <v>26010.331999999999</v>
      </c>
      <c r="AX74">
        <v>27041.058000000001</v>
      </c>
      <c r="AY74">
        <v>28420.708999999999</v>
      </c>
      <c r="AZ74">
        <v>29962.351999999999</v>
      </c>
      <c r="BA74">
        <v>31788.16</v>
      </c>
      <c r="BB74">
        <v>34027.07</v>
      </c>
      <c r="BC74">
        <v>36641.5795</v>
      </c>
      <c r="BD74">
        <v>39840.642</v>
      </c>
      <c r="BE74">
        <v>40000</v>
      </c>
      <c r="BF74">
        <v>41343.269999999997</v>
      </c>
      <c r="BG74">
        <v>44702.324999999997</v>
      </c>
      <c r="BH74">
        <v>49392.076000000001</v>
      </c>
      <c r="BI74">
        <v>58375.907500000008</v>
      </c>
      <c r="BJ74">
        <v>70239.999999999985</v>
      </c>
      <c r="BK74">
        <v>81597.5</v>
      </c>
      <c r="BL74">
        <v>118941.322</v>
      </c>
      <c r="BM74">
        <v>163981.24299999949</v>
      </c>
      <c r="BN74">
        <v>270486.4050000002</v>
      </c>
      <c r="BO74">
        <v>446888.37399999989</v>
      </c>
      <c r="BP74">
        <v>2814221.66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 x14ac:dyDescent="0.35">
      <c r="A75">
        <v>341512</v>
      </c>
      <c r="B75" t="s">
        <v>259</v>
      </c>
      <c r="C75" t="s">
        <v>260</v>
      </c>
      <c r="D75" s="1">
        <v>45787</v>
      </c>
      <c r="E75">
        <v>53850</v>
      </c>
      <c r="F75">
        <v>192</v>
      </c>
      <c r="G75" t="s">
        <v>75</v>
      </c>
      <c r="H75" t="s">
        <v>262</v>
      </c>
      <c r="I75" t="s">
        <v>48</v>
      </c>
      <c r="L75">
        <v>1923300183163</v>
      </c>
      <c r="M75">
        <v>20250429</v>
      </c>
      <c r="N75" t="s">
        <v>263</v>
      </c>
      <c r="Q75" t="s">
        <v>55</v>
      </c>
      <c r="R75">
        <v>26000</v>
      </c>
      <c r="T75">
        <v>4695944</v>
      </c>
      <c r="U75" t="s">
        <v>271</v>
      </c>
      <c r="V75" t="s">
        <v>272</v>
      </c>
      <c r="W75" t="s">
        <v>64</v>
      </c>
      <c r="X75" t="s">
        <v>94</v>
      </c>
      <c r="Y75" t="s">
        <v>49</v>
      </c>
      <c r="Z75">
        <v>481</v>
      </c>
      <c r="AH75">
        <v>0</v>
      </c>
      <c r="AI75">
        <v>202504</v>
      </c>
      <c r="AJ75" t="s">
        <v>61</v>
      </c>
      <c r="AK75">
        <v>0</v>
      </c>
      <c r="AL75">
        <v>1</v>
      </c>
      <c r="AM75">
        <v>4695944</v>
      </c>
      <c r="AN75">
        <v>1</v>
      </c>
      <c r="AO75">
        <v>0</v>
      </c>
      <c r="AP75">
        <v>999</v>
      </c>
      <c r="AQ75">
        <v>615</v>
      </c>
      <c r="AR75">
        <v>615999</v>
      </c>
      <c r="AT75">
        <v>1</v>
      </c>
      <c r="AU75" t="s">
        <v>58</v>
      </c>
      <c r="AV75">
        <v>25045.55</v>
      </c>
      <c r="AW75">
        <v>26010.331999999999</v>
      </c>
      <c r="AX75">
        <v>27041.058000000001</v>
      </c>
      <c r="AY75">
        <v>28420.708999999999</v>
      </c>
      <c r="AZ75">
        <v>29962.351999999999</v>
      </c>
      <c r="BA75">
        <v>31788.16</v>
      </c>
      <c r="BB75">
        <v>34027.07</v>
      </c>
      <c r="BC75">
        <v>36641.5795</v>
      </c>
      <c r="BD75">
        <v>39840.642</v>
      </c>
      <c r="BE75">
        <v>40000</v>
      </c>
      <c r="BF75">
        <v>41343.269999999997</v>
      </c>
      <c r="BG75">
        <v>44702.324999999997</v>
      </c>
      <c r="BH75">
        <v>49392.076000000001</v>
      </c>
      <c r="BI75">
        <v>58375.907500000008</v>
      </c>
      <c r="BJ75">
        <v>70239.999999999985</v>
      </c>
      <c r="BK75">
        <v>81597.5</v>
      </c>
      <c r="BL75">
        <v>118941.322</v>
      </c>
      <c r="BM75">
        <v>163981.24299999949</v>
      </c>
      <c r="BN75">
        <v>270486.4050000002</v>
      </c>
      <c r="BO75">
        <v>446888.37399999989</v>
      </c>
      <c r="BP75">
        <v>2814221.66</v>
      </c>
      <c r="BQ75">
        <v>1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 x14ac:dyDescent="0.35">
      <c r="A76">
        <v>341481</v>
      </c>
      <c r="B76" t="s">
        <v>259</v>
      </c>
      <c r="C76" t="s">
        <v>260</v>
      </c>
      <c r="D76" s="1">
        <v>45787</v>
      </c>
      <c r="E76">
        <v>53850</v>
      </c>
      <c r="F76">
        <v>122</v>
      </c>
      <c r="G76" t="s">
        <v>261</v>
      </c>
      <c r="H76" t="s">
        <v>262</v>
      </c>
      <c r="I76" t="s">
        <v>48</v>
      </c>
      <c r="L76">
        <v>1223300002128</v>
      </c>
      <c r="M76">
        <v>20250424</v>
      </c>
      <c r="N76" t="s">
        <v>263</v>
      </c>
      <c r="Q76" t="s">
        <v>55</v>
      </c>
      <c r="R76">
        <v>66879.039999999994</v>
      </c>
      <c r="T76">
        <v>3711207</v>
      </c>
      <c r="U76">
        <v>8825020723</v>
      </c>
      <c r="V76" t="s">
        <v>264</v>
      </c>
      <c r="W76" t="s">
        <v>53</v>
      </c>
      <c r="X76" t="s">
        <v>57</v>
      </c>
      <c r="Y76" t="s">
        <v>49</v>
      </c>
      <c r="Z76">
        <v>1696</v>
      </c>
      <c r="AH76">
        <v>0</v>
      </c>
      <c r="AI76">
        <v>202504</v>
      </c>
      <c r="AJ76" t="s">
        <v>51</v>
      </c>
      <c r="AK76">
        <v>0</v>
      </c>
      <c r="AL76">
        <v>1</v>
      </c>
      <c r="AO76">
        <v>0</v>
      </c>
      <c r="AP76">
        <v>620</v>
      </c>
      <c r="AQ76">
        <v>430</v>
      </c>
      <c r="AR76">
        <v>430620</v>
      </c>
      <c r="AS76" t="s">
        <v>58</v>
      </c>
      <c r="AU76" t="s">
        <v>58</v>
      </c>
      <c r="AV76">
        <v>25045.55</v>
      </c>
      <c r="AW76">
        <v>26010.331999999999</v>
      </c>
      <c r="AX76">
        <v>27041.058000000001</v>
      </c>
      <c r="AY76">
        <v>28420.708999999999</v>
      </c>
      <c r="AZ76">
        <v>29962.351999999999</v>
      </c>
      <c r="BA76">
        <v>31788.16</v>
      </c>
      <c r="BB76">
        <v>34027.07</v>
      </c>
      <c r="BC76">
        <v>36641.5795</v>
      </c>
      <c r="BD76">
        <v>39840.642</v>
      </c>
      <c r="BE76">
        <v>40000</v>
      </c>
      <c r="BF76">
        <v>41343.269999999997</v>
      </c>
      <c r="BG76">
        <v>44702.324999999997</v>
      </c>
      <c r="BH76">
        <v>49392.076000000001</v>
      </c>
      <c r="BI76">
        <v>58375.907500000008</v>
      </c>
      <c r="BJ76">
        <v>70239.999999999985</v>
      </c>
      <c r="BK76">
        <v>81597.5</v>
      </c>
      <c r="BL76">
        <v>118941.322</v>
      </c>
      <c r="BM76">
        <v>163981.24299999949</v>
      </c>
      <c r="BN76">
        <v>270486.4050000002</v>
      </c>
      <c r="BO76">
        <v>446888.37399999989</v>
      </c>
      <c r="BP76">
        <v>2814221.66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 x14ac:dyDescent="0.35">
      <c r="A77">
        <v>341468</v>
      </c>
      <c r="B77" t="s">
        <v>259</v>
      </c>
      <c r="C77" t="s">
        <v>260</v>
      </c>
      <c r="D77" s="1">
        <v>45787</v>
      </c>
      <c r="E77">
        <v>53850</v>
      </c>
      <c r="F77">
        <v>122</v>
      </c>
      <c r="G77" t="s">
        <v>261</v>
      </c>
      <c r="H77" t="s">
        <v>262</v>
      </c>
      <c r="I77" t="s">
        <v>48</v>
      </c>
      <c r="L77">
        <v>1223300002128</v>
      </c>
      <c r="M77">
        <v>20250428</v>
      </c>
      <c r="N77" t="s">
        <v>263</v>
      </c>
      <c r="Q77" t="s">
        <v>55</v>
      </c>
      <c r="R77">
        <v>209685.34</v>
      </c>
      <c r="T77">
        <v>3711207</v>
      </c>
      <c r="U77">
        <v>8825020723</v>
      </c>
      <c r="V77" t="s">
        <v>264</v>
      </c>
      <c r="W77" t="s">
        <v>53</v>
      </c>
      <c r="X77" t="s">
        <v>57</v>
      </c>
      <c r="Y77" t="s">
        <v>49</v>
      </c>
      <c r="Z77">
        <v>1696</v>
      </c>
      <c r="AH77">
        <v>0</v>
      </c>
      <c r="AI77">
        <v>202504</v>
      </c>
      <c r="AJ77" t="s">
        <v>51</v>
      </c>
      <c r="AK77">
        <v>0</v>
      </c>
      <c r="AL77">
        <v>1</v>
      </c>
      <c r="AO77">
        <v>0</v>
      </c>
      <c r="AP77">
        <v>620</v>
      </c>
      <c r="AQ77">
        <v>430</v>
      </c>
      <c r="AR77">
        <v>430620</v>
      </c>
      <c r="AS77" t="s">
        <v>58</v>
      </c>
      <c r="AU77" t="s">
        <v>58</v>
      </c>
      <c r="AV77">
        <v>25045.55</v>
      </c>
      <c r="AW77">
        <v>26010.331999999999</v>
      </c>
      <c r="AX77">
        <v>27041.058000000001</v>
      </c>
      <c r="AY77">
        <v>28420.708999999999</v>
      </c>
      <c r="AZ77">
        <v>29962.351999999999</v>
      </c>
      <c r="BA77">
        <v>31788.16</v>
      </c>
      <c r="BB77">
        <v>34027.07</v>
      </c>
      <c r="BC77">
        <v>36641.5795</v>
      </c>
      <c r="BD77">
        <v>39840.642</v>
      </c>
      <c r="BE77">
        <v>40000</v>
      </c>
      <c r="BF77">
        <v>41343.269999999997</v>
      </c>
      <c r="BG77">
        <v>44702.324999999997</v>
      </c>
      <c r="BH77">
        <v>49392.076000000001</v>
      </c>
      <c r="BI77">
        <v>58375.907500000008</v>
      </c>
      <c r="BJ77">
        <v>70239.999999999985</v>
      </c>
      <c r="BK77">
        <v>81597.5</v>
      </c>
      <c r="BL77">
        <v>118941.322</v>
      </c>
      <c r="BM77">
        <v>163981.24299999949</v>
      </c>
      <c r="BN77">
        <v>270486.4050000002</v>
      </c>
      <c r="BO77">
        <v>446888.37399999989</v>
      </c>
      <c r="BP77">
        <v>2814221.66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0</v>
      </c>
      <c r="CJ77">
        <v>0</v>
      </c>
      <c r="CK77">
        <v>0</v>
      </c>
    </row>
    <row r="78" spans="1:89" x14ac:dyDescent="0.35">
      <c r="A78">
        <v>341456</v>
      </c>
      <c r="B78" t="s">
        <v>259</v>
      </c>
      <c r="C78" t="s">
        <v>260</v>
      </c>
      <c r="D78" s="1">
        <v>45787</v>
      </c>
      <c r="E78">
        <v>53850</v>
      </c>
      <c r="F78">
        <v>108</v>
      </c>
      <c r="G78" t="s">
        <v>88</v>
      </c>
      <c r="H78" t="s">
        <v>262</v>
      </c>
      <c r="I78" t="s">
        <v>48</v>
      </c>
      <c r="L78">
        <v>1083300011180</v>
      </c>
      <c r="M78">
        <v>20250416</v>
      </c>
      <c r="N78" t="s">
        <v>287</v>
      </c>
      <c r="Q78" t="s">
        <v>55</v>
      </c>
      <c r="R78">
        <v>27135.11</v>
      </c>
      <c r="T78">
        <v>1118</v>
      </c>
      <c r="U78">
        <v>3246700722</v>
      </c>
      <c r="V78" t="s">
        <v>302</v>
      </c>
      <c r="W78" t="s">
        <v>53</v>
      </c>
      <c r="X78" t="s">
        <v>286</v>
      </c>
      <c r="Y78" t="s">
        <v>49</v>
      </c>
      <c r="Z78">
        <v>1058</v>
      </c>
      <c r="AH78">
        <v>0</v>
      </c>
      <c r="AI78">
        <v>202504</v>
      </c>
      <c r="AJ78" t="s">
        <v>51</v>
      </c>
      <c r="AK78">
        <v>0</v>
      </c>
      <c r="AL78">
        <v>1</v>
      </c>
      <c r="AO78">
        <v>0</v>
      </c>
      <c r="AP78">
        <v>999</v>
      </c>
      <c r="AQ78">
        <v>430</v>
      </c>
      <c r="AR78">
        <v>430999</v>
      </c>
      <c r="AT78">
        <v>1</v>
      </c>
      <c r="AU78" t="s">
        <v>54</v>
      </c>
      <c r="AV78">
        <v>25045.55</v>
      </c>
      <c r="AW78">
        <v>26010.331999999999</v>
      </c>
      <c r="AX78">
        <v>27041.058000000001</v>
      </c>
      <c r="AY78">
        <v>28420.708999999999</v>
      </c>
      <c r="AZ78">
        <v>29962.351999999999</v>
      </c>
      <c r="BA78">
        <v>31788.16</v>
      </c>
      <c r="BB78">
        <v>34027.07</v>
      </c>
      <c r="BC78">
        <v>36641.5795</v>
      </c>
      <c r="BD78">
        <v>39840.642</v>
      </c>
      <c r="BE78">
        <v>40000</v>
      </c>
      <c r="BF78">
        <v>41343.269999999997</v>
      </c>
      <c r="BG78">
        <v>44702.324999999997</v>
      </c>
      <c r="BH78">
        <v>49392.076000000001</v>
      </c>
      <c r="BI78">
        <v>58375.907500000008</v>
      </c>
      <c r="BJ78">
        <v>70239.999999999985</v>
      </c>
      <c r="BK78">
        <v>81597.5</v>
      </c>
      <c r="BL78">
        <v>118941.322</v>
      </c>
      <c r="BM78">
        <v>163981.24299999949</v>
      </c>
      <c r="BN78">
        <v>270486.4050000002</v>
      </c>
      <c r="BO78">
        <v>446888.37399999989</v>
      </c>
      <c r="BP78">
        <v>2814221.66</v>
      </c>
      <c r="BQ78">
        <v>1</v>
      </c>
      <c r="BR78">
        <v>1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 x14ac:dyDescent="0.35">
      <c r="A79">
        <v>341437</v>
      </c>
      <c r="B79" t="s">
        <v>259</v>
      </c>
      <c r="C79" t="s">
        <v>260</v>
      </c>
      <c r="D79" s="1">
        <v>45787</v>
      </c>
      <c r="E79">
        <v>53850</v>
      </c>
      <c r="F79">
        <v>122</v>
      </c>
      <c r="G79" t="s">
        <v>261</v>
      </c>
      <c r="H79" t="s">
        <v>262</v>
      </c>
      <c r="I79" t="s">
        <v>48</v>
      </c>
      <c r="L79">
        <v>1223300002128</v>
      </c>
      <c r="M79">
        <v>20250409</v>
      </c>
      <c r="N79" t="s">
        <v>263</v>
      </c>
      <c r="Q79" t="s">
        <v>55</v>
      </c>
      <c r="R79">
        <v>38500.800000000003</v>
      </c>
      <c r="T79">
        <v>3711207</v>
      </c>
      <c r="U79">
        <v>8825020723</v>
      </c>
      <c r="V79" t="s">
        <v>264</v>
      </c>
      <c r="W79" t="s">
        <v>53</v>
      </c>
      <c r="X79" t="s">
        <v>57</v>
      </c>
      <c r="Y79" t="s">
        <v>49</v>
      </c>
      <c r="Z79">
        <v>1696</v>
      </c>
      <c r="AH79">
        <v>0</v>
      </c>
      <c r="AI79">
        <v>202504</v>
      </c>
      <c r="AJ79" t="s">
        <v>51</v>
      </c>
      <c r="AK79">
        <v>0</v>
      </c>
      <c r="AL79">
        <v>1</v>
      </c>
      <c r="AO79">
        <v>0</v>
      </c>
      <c r="AP79">
        <v>620</v>
      </c>
      <c r="AQ79">
        <v>430</v>
      </c>
      <c r="AR79">
        <v>430620</v>
      </c>
      <c r="AS79" t="s">
        <v>58</v>
      </c>
      <c r="AU79" t="s">
        <v>58</v>
      </c>
      <c r="AV79">
        <v>25045.55</v>
      </c>
      <c r="AW79">
        <v>26010.331999999999</v>
      </c>
      <c r="AX79">
        <v>27041.058000000001</v>
      </c>
      <c r="AY79">
        <v>28420.708999999999</v>
      </c>
      <c r="AZ79">
        <v>29962.351999999999</v>
      </c>
      <c r="BA79">
        <v>31788.16</v>
      </c>
      <c r="BB79">
        <v>34027.07</v>
      </c>
      <c r="BC79">
        <v>36641.5795</v>
      </c>
      <c r="BD79">
        <v>39840.642</v>
      </c>
      <c r="BE79">
        <v>40000</v>
      </c>
      <c r="BF79">
        <v>41343.269999999997</v>
      </c>
      <c r="BG79">
        <v>44702.324999999997</v>
      </c>
      <c r="BH79">
        <v>49392.076000000001</v>
      </c>
      <c r="BI79">
        <v>58375.907500000008</v>
      </c>
      <c r="BJ79">
        <v>70239.999999999985</v>
      </c>
      <c r="BK79">
        <v>81597.5</v>
      </c>
      <c r="BL79">
        <v>118941.322</v>
      </c>
      <c r="BM79">
        <v>163981.24299999949</v>
      </c>
      <c r="BN79">
        <v>270486.4050000002</v>
      </c>
      <c r="BO79">
        <v>446888.37399999989</v>
      </c>
      <c r="BP79">
        <v>2814221.66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 x14ac:dyDescent="0.35">
      <c r="A80">
        <v>341403</v>
      </c>
      <c r="B80" t="s">
        <v>259</v>
      </c>
      <c r="C80" t="s">
        <v>260</v>
      </c>
      <c r="D80" s="1">
        <v>45787</v>
      </c>
      <c r="E80">
        <v>53850</v>
      </c>
      <c r="F80">
        <v>109</v>
      </c>
      <c r="G80" t="s">
        <v>65</v>
      </c>
      <c r="H80" t="s">
        <v>262</v>
      </c>
      <c r="I80" t="s">
        <v>48</v>
      </c>
      <c r="L80">
        <v>1093306674353</v>
      </c>
      <c r="M80">
        <v>20250409</v>
      </c>
      <c r="N80" t="s">
        <v>263</v>
      </c>
      <c r="Q80" t="s">
        <v>55</v>
      </c>
      <c r="R80">
        <v>47512.33</v>
      </c>
      <c r="T80">
        <v>4916449</v>
      </c>
      <c r="U80">
        <v>8176830720</v>
      </c>
      <c r="V80" t="s">
        <v>288</v>
      </c>
      <c r="W80" t="s">
        <v>53</v>
      </c>
      <c r="X80" t="s">
        <v>177</v>
      </c>
      <c r="Y80" t="s">
        <v>49</v>
      </c>
      <c r="Z80">
        <v>1903</v>
      </c>
      <c r="AH80">
        <v>0</v>
      </c>
      <c r="AI80">
        <v>202504</v>
      </c>
      <c r="AJ80" t="s">
        <v>61</v>
      </c>
      <c r="AK80">
        <v>0</v>
      </c>
      <c r="AL80">
        <v>1</v>
      </c>
      <c r="AO80">
        <v>0</v>
      </c>
      <c r="AP80">
        <v>451</v>
      </c>
      <c r="AQ80">
        <v>430</v>
      </c>
      <c r="AR80">
        <v>430451</v>
      </c>
      <c r="AS80" t="s">
        <v>58</v>
      </c>
      <c r="AU80" t="s">
        <v>58</v>
      </c>
      <c r="AV80">
        <v>25045.55</v>
      </c>
      <c r="AW80">
        <v>26010.331999999999</v>
      </c>
      <c r="AX80">
        <v>27041.058000000001</v>
      </c>
      <c r="AY80">
        <v>28420.708999999999</v>
      </c>
      <c r="AZ80">
        <v>29962.351999999999</v>
      </c>
      <c r="BA80">
        <v>31788.16</v>
      </c>
      <c r="BB80">
        <v>34027.07</v>
      </c>
      <c r="BC80">
        <v>36641.5795</v>
      </c>
      <c r="BD80">
        <v>39840.642</v>
      </c>
      <c r="BE80">
        <v>40000</v>
      </c>
      <c r="BF80">
        <v>41343.269999999997</v>
      </c>
      <c r="BG80">
        <v>44702.324999999997</v>
      </c>
      <c r="BH80">
        <v>49392.076000000001</v>
      </c>
      <c r="BI80">
        <v>58375.907500000008</v>
      </c>
      <c r="BJ80">
        <v>70239.999999999985</v>
      </c>
      <c r="BK80">
        <v>81597.5</v>
      </c>
      <c r="BL80">
        <v>118941.322</v>
      </c>
      <c r="BM80">
        <v>163981.24299999949</v>
      </c>
      <c r="BN80">
        <v>270486.4050000002</v>
      </c>
      <c r="BO80">
        <v>446888.37399999989</v>
      </c>
      <c r="BP80">
        <v>2814221.66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 x14ac:dyDescent="0.35">
      <c r="A81">
        <v>341390</v>
      </c>
      <c r="B81" t="s">
        <v>259</v>
      </c>
      <c r="C81" t="s">
        <v>260</v>
      </c>
      <c r="D81" s="1">
        <v>45787</v>
      </c>
      <c r="E81">
        <v>53850</v>
      </c>
      <c r="F81">
        <v>153</v>
      </c>
      <c r="G81" t="s">
        <v>81</v>
      </c>
      <c r="H81" t="s">
        <v>262</v>
      </c>
      <c r="I81" t="s">
        <v>48</v>
      </c>
      <c r="L81">
        <v>1533300663959</v>
      </c>
      <c r="M81">
        <v>20250408</v>
      </c>
      <c r="N81" t="s">
        <v>263</v>
      </c>
      <c r="Q81" t="s">
        <v>55</v>
      </c>
      <c r="R81">
        <v>25320.959999999999</v>
      </c>
      <c r="T81">
        <v>3721097</v>
      </c>
      <c r="U81">
        <v>10391641213</v>
      </c>
      <c r="V81" t="s">
        <v>270</v>
      </c>
      <c r="W81" t="s">
        <v>53</v>
      </c>
      <c r="X81" t="s">
        <v>83</v>
      </c>
      <c r="Y81" t="s">
        <v>49</v>
      </c>
      <c r="Z81">
        <v>1237</v>
      </c>
      <c r="AH81">
        <v>0</v>
      </c>
      <c r="AI81">
        <v>202504</v>
      </c>
      <c r="AJ81" t="s">
        <v>61</v>
      </c>
      <c r="AK81">
        <v>0</v>
      </c>
      <c r="AL81">
        <v>1</v>
      </c>
      <c r="AO81">
        <v>0</v>
      </c>
      <c r="AP81">
        <v>462</v>
      </c>
      <c r="AQ81">
        <v>430</v>
      </c>
      <c r="AR81">
        <v>430462</v>
      </c>
      <c r="AS81" t="s">
        <v>58</v>
      </c>
      <c r="AU81" t="s">
        <v>58</v>
      </c>
      <c r="AV81">
        <v>25045.55</v>
      </c>
      <c r="AW81">
        <v>26010.331999999999</v>
      </c>
      <c r="AX81">
        <v>27041.058000000001</v>
      </c>
      <c r="AY81">
        <v>28420.708999999999</v>
      </c>
      <c r="AZ81">
        <v>29962.351999999999</v>
      </c>
      <c r="BA81">
        <v>31788.16</v>
      </c>
      <c r="BB81">
        <v>34027.07</v>
      </c>
      <c r="BC81">
        <v>36641.5795</v>
      </c>
      <c r="BD81">
        <v>39840.642</v>
      </c>
      <c r="BE81">
        <v>40000</v>
      </c>
      <c r="BF81">
        <v>41343.269999999997</v>
      </c>
      <c r="BG81">
        <v>44702.324999999997</v>
      </c>
      <c r="BH81">
        <v>49392.076000000001</v>
      </c>
      <c r="BI81">
        <v>58375.907500000008</v>
      </c>
      <c r="BJ81">
        <v>70239.999999999985</v>
      </c>
      <c r="BK81">
        <v>81597.5</v>
      </c>
      <c r="BL81">
        <v>118941.322</v>
      </c>
      <c r="BM81">
        <v>163981.24299999949</v>
      </c>
      <c r="BN81">
        <v>270486.4050000002</v>
      </c>
      <c r="BO81">
        <v>446888.37399999989</v>
      </c>
      <c r="BP81">
        <v>2814221.66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 x14ac:dyDescent="0.35">
      <c r="A82">
        <v>341362</v>
      </c>
      <c r="B82" t="s">
        <v>259</v>
      </c>
      <c r="C82" t="s">
        <v>260</v>
      </c>
      <c r="D82" s="1">
        <v>45787</v>
      </c>
      <c r="E82">
        <v>53850</v>
      </c>
      <c r="F82">
        <v>105</v>
      </c>
      <c r="G82" t="s">
        <v>47</v>
      </c>
      <c r="H82" t="s">
        <v>262</v>
      </c>
      <c r="I82" t="s">
        <v>48</v>
      </c>
      <c r="L82">
        <v>1053306287103</v>
      </c>
      <c r="M82">
        <v>20250424</v>
      </c>
      <c r="N82" t="s">
        <v>263</v>
      </c>
      <c r="Q82" t="s">
        <v>55</v>
      </c>
      <c r="R82">
        <v>450578.77</v>
      </c>
      <c r="T82">
        <v>4263360</v>
      </c>
      <c r="U82">
        <v>5982300724</v>
      </c>
      <c r="V82" t="s">
        <v>268</v>
      </c>
      <c r="W82" t="s">
        <v>53</v>
      </c>
      <c r="X82" t="s">
        <v>269</v>
      </c>
      <c r="Y82" t="s">
        <v>49</v>
      </c>
      <c r="Z82">
        <v>1058</v>
      </c>
      <c r="AH82">
        <v>0</v>
      </c>
      <c r="AI82">
        <v>202504</v>
      </c>
      <c r="AJ82" t="s">
        <v>61</v>
      </c>
      <c r="AK82">
        <v>0</v>
      </c>
      <c r="AL82">
        <v>1</v>
      </c>
      <c r="AO82">
        <v>0</v>
      </c>
      <c r="AP82">
        <v>999</v>
      </c>
      <c r="AQ82">
        <v>430</v>
      </c>
      <c r="AR82">
        <v>430999</v>
      </c>
      <c r="AT82">
        <v>1</v>
      </c>
      <c r="AU82" t="s">
        <v>54</v>
      </c>
      <c r="AV82">
        <v>25045.55</v>
      </c>
      <c r="AW82">
        <v>26010.331999999999</v>
      </c>
      <c r="AX82">
        <v>27041.058000000001</v>
      </c>
      <c r="AY82">
        <v>28420.708999999999</v>
      </c>
      <c r="AZ82">
        <v>29962.351999999999</v>
      </c>
      <c r="BA82">
        <v>31788.16</v>
      </c>
      <c r="BB82">
        <v>34027.07</v>
      </c>
      <c r="BC82">
        <v>36641.5795</v>
      </c>
      <c r="BD82">
        <v>39840.642</v>
      </c>
      <c r="BE82">
        <v>40000</v>
      </c>
      <c r="BF82">
        <v>41343.269999999997</v>
      </c>
      <c r="BG82">
        <v>44702.324999999997</v>
      </c>
      <c r="BH82">
        <v>49392.076000000001</v>
      </c>
      <c r="BI82">
        <v>58375.907500000008</v>
      </c>
      <c r="BJ82">
        <v>70239.999999999985</v>
      </c>
      <c r="BK82">
        <v>81597.5</v>
      </c>
      <c r="BL82">
        <v>118941.322</v>
      </c>
      <c r="BM82">
        <v>163981.24299999949</v>
      </c>
      <c r="BN82">
        <v>270486.4050000002</v>
      </c>
      <c r="BO82">
        <v>446888.37399999989</v>
      </c>
      <c r="BP82">
        <v>2814221.66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0</v>
      </c>
    </row>
    <row r="83" spans="1:89" x14ac:dyDescent="0.35">
      <c r="A83">
        <v>341347</v>
      </c>
      <c r="B83" t="s">
        <v>259</v>
      </c>
      <c r="C83" t="s">
        <v>260</v>
      </c>
      <c r="D83" s="1">
        <v>45787</v>
      </c>
      <c r="E83">
        <v>53850</v>
      </c>
      <c r="F83">
        <v>108</v>
      </c>
      <c r="G83" t="s">
        <v>88</v>
      </c>
      <c r="H83" t="s">
        <v>262</v>
      </c>
      <c r="I83" t="s">
        <v>48</v>
      </c>
      <c r="L83">
        <v>1083300011180</v>
      </c>
      <c r="M83">
        <v>20250416</v>
      </c>
      <c r="N83" t="s">
        <v>279</v>
      </c>
      <c r="Q83" t="s">
        <v>55</v>
      </c>
      <c r="R83">
        <v>38602.86</v>
      </c>
      <c r="T83">
        <v>1118</v>
      </c>
      <c r="U83">
        <v>3246700722</v>
      </c>
      <c r="V83" t="s">
        <v>302</v>
      </c>
      <c r="W83" t="s">
        <v>53</v>
      </c>
      <c r="X83" t="s">
        <v>286</v>
      </c>
      <c r="Y83" t="s">
        <v>49</v>
      </c>
      <c r="Z83">
        <v>1058</v>
      </c>
      <c r="AH83">
        <v>0</v>
      </c>
      <c r="AI83">
        <v>202504</v>
      </c>
      <c r="AJ83" t="s">
        <v>51</v>
      </c>
      <c r="AK83">
        <v>0</v>
      </c>
      <c r="AL83">
        <v>1</v>
      </c>
      <c r="AO83">
        <v>0</v>
      </c>
      <c r="AP83">
        <v>999</v>
      </c>
      <c r="AQ83">
        <v>430</v>
      </c>
      <c r="AR83">
        <v>430999</v>
      </c>
      <c r="AT83">
        <v>1</v>
      </c>
      <c r="AU83" t="s">
        <v>54</v>
      </c>
      <c r="AV83">
        <v>25045.55</v>
      </c>
      <c r="AW83">
        <v>26010.331999999999</v>
      </c>
      <c r="AX83">
        <v>27041.058000000001</v>
      </c>
      <c r="AY83">
        <v>28420.708999999999</v>
      </c>
      <c r="AZ83">
        <v>29962.351999999999</v>
      </c>
      <c r="BA83">
        <v>31788.16</v>
      </c>
      <c r="BB83">
        <v>34027.07</v>
      </c>
      <c r="BC83">
        <v>36641.5795</v>
      </c>
      <c r="BD83">
        <v>39840.642</v>
      </c>
      <c r="BE83">
        <v>40000</v>
      </c>
      <c r="BF83">
        <v>41343.269999999997</v>
      </c>
      <c r="BG83">
        <v>44702.324999999997</v>
      </c>
      <c r="BH83">
        <v>49392.076000000001</v>
      </c>
      <c r="BI83">
        <v>58375.907500000008</v>
      </c>
      <c r="BJ83">
        <v>70239.999999999985</v>
      </c>
      <c r="BK83">
        <v>81597.5</v>
      </c>
      <c r="BL83">
        <v>118941.322</v>
      </c>
      <c r="BM83">
        <v>163981.24299999949</v>
      </c>
      <c r="BN83">
        <v>270486.4050000002</v>
      </c>
      <c r="BO83">
        <v>446888.37399999989</v>
      </c>
      <c r="BP83">
        <v>2814221.66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 x14ac:dyDescent="0.35">
      <c r="A84">
        <v>341336</v>
      </c>
      <c r="B84" t="s">
        <v>259</v>
      </c>
      <c r="C84" t="s">
        <v>260</v>
      </c>
      <c r="D84" s="1">
        <v>45787</v>
      </c>
      <c r="E84">
        <v>53850</v>
      </c>
      <c r="F84">
        <v>108</v>
      </c>
      <c r="G84" t="s">
        <v>88</v>
      </c>
      <c r="H84" t="s">
        <v>262</v>
      </c>
      <c r="I84" t="s">
        <v>48</v>
      </c>
      <c r="L84">
        <v>1083300011180</v>
      </c>
      <c r="M84">
        <v>20250428</v>
      </c>
      <c r="N84" t="s">
        <v>279</v>
      </c>
      <c r="Q84" t="s">
        <v>55</v>
      </c>
      <c r="R84">
        <v>61078.23</v>
      </c>
      <c r="T84">
        <v>1118</v>
      </c>
      <c r="U84">
        <v>3246700722</v>
      </c>
      <c r="V84" t="s">
        <v>302</v>
      </c>
      <c r="W84" t="s">
        <v>53</v>
      </c>
      <c r="X84" t="s">
        <v>286</v>
      </c>
      <c r="Y84" t="s">
        <v>49</v>
      </c>
      <c r="Z84">
        <v>1058</v>
      </c>
      <c r="AH84">
        <v>0</v>
      </c>
      <c r="AI84">
        <v>202504</v>
      </c>
      <c r="AJ84" t="s">
        <v>51</v>
      </c>
      <c r="AK84">
        <v>0</v>
      </c>
      <c r="AL84">
        <v>1</v>
      </c>
      <c r="AO84">
        <v>0</v>
      </c>
      <c r="AP84">
        <v>999</v>
      </c>
      <c r="AQ84">
        <v>430</v>
      </c>
      <c r="AR84">
        <v>430999</v>
      </c>
      <c r="AT84">
        <v>1</v>
      </c>
      <c r="AU84" t="s">
        <v>54</v>
      </c>
      <c r="AV84">
        <v>25045.55</v>
      </c>
      <c r="AW84">
        <v>26010.331999999999</v>
      </c>
      <c r="AX84">
        <v>27041.058000000001</v>
      </c>
      <c r="AY84">
        <v>28420.708999999999</v>
      </c>
      <c r="AZ84">
        <v>29962.351999999999</v>
      </c>
      <c r="BA84">
        <v>31788.16</v>
      </c>
      <c r="BB84">
        <v>34027.07</v>
      </c>
      <c r="BC84">
        <v>36641.5795</v>
      </c>
      <c r="BD84">
        <v>39840.642</v>
      </c>
      <c r="BE84">
        <v>40000</v>
      </c>
      <c r="BF84">
        <v>41343.269999999997</v>
      </c>
      <c r="BG84">
        <v>44702.324999999997</v>
      </c>
      <c r="BH84">
        <v>49392.076000000001</v>
      </c>
      <c r="BI84">
        <v>58375.907500000008</v>
      </c>
      <c r="BJ84">
        <v>70239.999999999985</v>
      </c>
      <c r="BK84">
        <v>81597.5</v>
      </c>
      <c r="BL84">
        <v>118941.322</v>
      </c>
      <c r="BM84">
        <v>163981.24299999949</v>
      </c>
      <c r="BN84">
        <v>270486.4050000002</v>
      </c>
      <c r="BO84">
        <v>446888.37399999989</v>
      </c>
      <c r="BP84">
        <v>2814221.66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 x14ac:dyDescent="0.35">
      <c r="A85">
        <v>341330</v>
      </c>
      <c r="B85" t="s">
        <v>259</v>
      </c>
      <c r="C85" t="s">
        <v>260</v>
      </c>
      <c r="D85" s="1">
        <v>45787</v>
      </c>
      <c r="E85">
        <v>53850</v>
      </c>
      <c r="F85">
        <v>132</v>
      </c>
      <c r="G85" t="s">
        <v>161</v>
      </c>
      <c r="H85" t="s">
        <v>262</v>
      </c>
      <c r="I85" t="s">
        <v>48</v>
      </c>
      <c r="L85">
        <v>1323300003714</v>
      </c>
      <c r="M85">
        <v>20250430</v>
      </c>
      <c r="N85" t="s">
        <v>263</v>
      </c>
      <c r="Q85" t="s">
        <v>55</v>
      </c>
      <c r="R85">
        <v>31824.6</v>
      </c>
      <c r="T85">
        <v>3724103</v>
      </c>
      <c r="U85">
        <v>2178850760</v>
      </c>
      <c r="V85" t="s">
        <v>284</v>
      </c>
      <c r="W85" t="s">
        <v>53</v>
      </c>
      <c r="X85" t="s">
        <v>283</v>
      </c>
      <c r="Y85" t="s">
        <v>49</v>
      </c>
      <c r="Z85">
        <v>823</v>
      </c>
      <c r="AH85">
        <v>0</v>
      </c>
      <c r="AI85">
        <v>202504</v>
      </c>
      <c r="AJ85" t="s">
        <v>51</v>
      </c>
      <c r="AK85">
        <v>0</v>
      </c>
      <c r="AL85">
        <v>1</v>
      </c>
      <c r="AO85">
        <v>0</v>
      </c>
      <c r="AP85">
        <v>999</v>
      </c>
      <c r="AQ85">
        <v>430</v>
      </c>
      <c r="AR85">
        <v>430999</v>
      </c>
      <c r="AT85">
        <v>1</v>
      </c>
      <c r="AU85" t="s">
        <v>54</v>
      </c>
      <c r="AV85">
        <v>25045.55</v>
      </c>
      <c r="AW85">
        <v>26010.331999999999</v>
      </c>
      <c r="AX85">
        <v>27041.058000000001</v>
      </c>
      <c r="AY85">
        <v>28420.708999999999</v>
      </c>
      <c r="AZ85">
        <v>29962.351999999999</v>
      </c>
      <c r="BA85">
        <v>31788.16</v>
      </c>
      <c r="BB85">
        <v>34027.07</v>
      </c>
      <c r="BC85">
        <v>36641.5795</v>
      </c>
      <c r="BD85">
        <v>39840.642</v>
      </c>
      <c r="BE85">
        <v>40000</v>
      </c>
      <c r="BF85">
        <v>41343.269999999997</v>
      </c>
      <c r="BG85">
        <v>44702.324999999997</v>
      </c>
      <c r="BH85">
        <v>49392.076000000001</v>
      </c>
      <c r="BI85">
        <v>58375.907500000008</v>
      </c>
      <c r="BJ85">
        <v>70239.999999999985</v>
      </c>
      <c r="BK85">
        <v>81597.5</v>
      </c>
      <c r="BL85">
        <v>118941.322</v>
      </c>
      <c r="BM85">
        <v>163981.24299999949</v>
      </c>
      <c r="BN85">
        <v>270486.4050000002</v>
      </c>
      <c r="BO85">
        <v>446888.37399999989</v>
      </c>
      <c r="BP85">
        <v>2814221.66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 x14ac:dyDescent="0.35">
      <c r="A86">
        <v>341313</v>
      </c>
      <c r="B86" t="s">
        <v>259</v>
      </c>
      <c r="C86" t="s">
        <v>260</v>
      </c>
      <c r="D86" s="1">
        <v>45787</v>
      </c>
      <c r="E86">
        <v>53850</v>
      </c>
      <c r="F86">
        <v>132</v>
      </c>
      <c r="G86" t="s">
        <v>161</v>
      </c>
      <c r="H86" t="s">
        <v>262</v>
      </c>
      <c r="I86" t="s">
        <v>48</v>
      </c>
      <c r="L86">
        <v>1323300003714</v>
      </c>
      <c r="M86">
        <v>20250407</v>
      </c>
      <c r="N86" t="s">
        <v>263</v>
      </c>
      <c r="Q86" t="s">
        <v>55</v>
      </c>
      <c r="R86">
        <v>27793.599999999999</v>
      </c>
      <c r="T86">
        <v>3724103</v>
      </c>
      <c r="U86">
        <v>2178850760</v>
      </c>
      <c r="V86" t="s">
        <v>284</v>
      </c>
      <c r="W86" t="s">
        <v>53</v>
      </c>
      <c r="X86" t="s">
        <v>283</v>
      </c>
      <c r="Y86" t="s">
        <v>49</v>
      </c>
      <c r="Z86">
        <v>823</v>
      </c>
      <c r="AH86">
        <v>0</v>
      </c>
      <c r="AI86">
        <v>202504</v>
      </c>
      <c r="AJ86" t="s">
        <v>51</v>
      </c>
      <c r="AK86">
        <v>0</v>
      </c>
      <c r="AL86">
        <v>1</v>
      </c>
      <c r="AO86">
        <v>0</v>
      </c>
      <c r="AP86">
        <v>999</v>
      </c>
      <c r="AQ86">
        <v>430</v>
      </c>
      <c r="AR86">
        <v>430999</v>
      </c>
      <c r="AT86">
        <v>1</v>
      </c>
      <c r="AU86" t="s">
        <v>54</v>
      </c>
      <c r="AV86">
        <v>25045.55</v>
      </c>
      <c r="AW86">
        <v>26010.331999999999</v>
      </c>
      <c r="AX86">
        <v>27041.058000000001</v>
      </c>
      <c r="AY86">
        <v>28420.708999999999</v>
      </c>
      <c r="AZ86">
        <v>29962.351999999999</v>
      </c>
      <c r="BA86">
        <v>31788.16</v>
      </c>
      <c r="BB86">
        <v>34027.07</v>
      </c>
      <c r="BC86">
        <v>36641.5795</v>
      </c>
      <c r="BD86">
        <v>39840.642</v>
      </c>
      <c r="BE86">
        <v>40000</v>
      </c>
      <c r="BF86">
        <v>41343.269999999997</v>
      </c>
      <c r="BG86">
        <v>44702.324999999997</v>
      </c>
      <c r="BH86">
        <v>49392.076000000001</v>
      </c>
      <c r="BI86">
        <v>58375.907500000008</v>
      </c>
      <c r="BJ86">
        <v>70239.999999999985</v>
      </c>
      <c r="BK86">
        <v>81597.5</v>
      </c>
      <c r="BL86">
        <v>118941.322</v>
      </c>
      <c r="BM86">
        <v>163981.24299999949</v>
      </c>
      <c r="BN86">
        <v>270486.4050000002</v>
      </c>
      <c r="BO86">
        <v>446888.37399999989</v>
      </c>
      <c r="BP86">
        <v>2814221.66</v>
      </c>
      <c r="BQ86">
        <v>1</v>
      </c>
      <c r="BR86">
        <v>1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 x14ac:dyDescent="0.35">
      <c r="A87">
        <v>341266</v>
      </c>
      <c r="B87" t="s">
        <v>259</v>
      </c>
      <c r="C87" t="s">
        <v>260</v>
      </c>
      <c r="D87" s="1">
        <v>45787</v>
      </c>
      <c r="E87">
        <v>53850</v>
      </c>
      <c r="F87">
        <v>104</v>
      </c>
      <c r="G87" t="s">
        <v>50</v>
      </c>
      <c r="H87" t="s">
        <v>262</v>
      </c>
      <c r="I87" t="s">
        <v>48</v>
      </c>
      <c r="L87">
        <v>1043309503914</v>
      </c>
      <c r="M87">
        <v>20250414</v>
      </c>
      <c r="N87" t="s">
        <v>263</v>
      </c>
      <c r="Q87" t="s">
        <v>55</v>
      </c>
      <c r="R87">
        <v>160157.01999999999</v>
      </c>
      <c r="T87">
        <v>424944</v>
      </c>
      <c r="U87">
        <v>3454860721</v>
      </c>
      <c r="V87" t="s">
        <v>242</v>
      </c>
      <c r="W87" t="s">
        <v>53</v>
      </c>
      <c r="X87" t="s">
        <v>74</v>
      </c>
      <c r="Y87" t="s">
        <v>49</v>
      </c>
      <c r="Z87">
        <v>1696</v>
      </c>
      <c r="AH87">
        <v>0</v>
      </c>
      <c r="AI87">
        <v>202504</v>
      </c>
      <c r="AJ87" t="s">
        <v>162</v>
      </c>
      <c r="AK87">
        <v>1</v>
      </c>
      <c r="AL87">
        <v>1</v>
      </c>
      <c r="AO87">
        <v>0</v>
      </c>
      <c r="AP87">
        <v>463</v>
      </c>
      <c r="AQ87">
        <v>430</v>
      </c>
      <c r="AR87">
        <v>430463</v>
      </c>
      <c r="AS87" t="s">
        <v>58</v>
      </c>
      <c r="AU87" t="s">
        <v>58</v>
      </c>
      <c r="AV87">
        <v>25045.55</v>
      </c>
      <c r="AW87">
        <v>26010.331999999999</v>
      </c>
      <c r="AX87">
        <v>27041.058000000001</v>
      </c>
      <c r="AY87">
        <v>28420.708999999999</v>
      </c>
      <c r="AZ87">
        <v>29962.351999999999</v>
      </c>
      <c r="BA87">
        <v>31788.16</v>
      </c>
      <c r="BB87">
        <v>34027.07</v>
      </c>
      <c r="BC87">
        <v>36641.5795</v>
      </c>
      <c r="BD87">
        <v>39840.642</v>
      </c>
      <c r="BE87">
        <v>40000</v>
      </c>
      <c r="BF87">
        <v>41343.269999999997</v>
      </c>
      <c r="BG87">
        <v>44702.324999999997</v>
      </c>
      <c r="BH87">
        <v>49392.076000000001</v>
      </c>
      <c r="BI87">
        <v>58375.907500000008</v>
      </c>
      <c r="BJ87">
        <v>70239.999999999985</v>
      </c>
      <c r="BK87">
        <v>81597.5</v>
      </c>
      <c r="BL87">
        <v>118941.322</v>
      </c>
      <c r="BM87">
        <v>163981.24299999949</v>
      </c>
      <c r="BN87">
        <v>270486.4050000002</v>
      </c>
      <c r="BO87">
        <v>446888.37399999989</v>
      </c>
      <c r="BP87">
        <v>2814221.66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0</v>
      </c>
      <c r="CI87">
        <v>0</v>
      </c>
      <c r="CJ87">
        <v>0</v>
      </c>
      <c r="CK87">
        <v>0</v>
      </c>
    </row>
    <row r="88" spans="1:89" x14ac:dyDescent="0.35">
      <c r="A88">
        <v>341248</v>
      </c>
      <c r="B88" t="s">
        <v>259</v>
      </c>
      <c r="C88" t="s">
        <v>260</v>
      </c>
      <c r="D88" s="1">
        <v>45787</v>
      </c>
      <c r="E88">
        <v>53850</v>
      </c>
      <c r="F88">
        <v>154</v>
      </c>
      <c r="G88" t="s">
        <v>235</v>
      </c>
      <c r="H88" t="s">
        <v>262</v>
      </c>
      <c r="I88" t="s">
        <v>48</v>
      </c>
      <c r="L88">
        <v>1543300004860</v>
      </c>
      <c r="M88">
        <v>20250424</v>
      </c>
      <c r="N88" t="s">
        <v>263</v>
      </c>
      <c r="Q88" t="s">
        <v>55</v>
      </c>
      <c r="R88">
        <v>29905.88</v>
      </c>
      <c r="T88">
        <v>3715569</v>
      </c>
      <c r="U88">
        <v>5424970654</v>
      </c>
      <c r="V88" t="s">
        <v>265</v>
      </c>
      <c r="W88" t="s">
        <v>53</v>
      </c>
      <c r="X88" t="s">
        <v>266</v>
      </c>
      <c r="Y88" t="s">
        <v>49</v>
      </c>
      <c r="Z88">
        <v>741</v>
      </c>
      <c r="AH88">
        <v>0</v>
      </c>
      <c r="AI88">
        <v>202504</v>
      </c>
      <c r="AJ88" t="s">
        <v>61</v>
      </c>
      <c r="AK88">
        <v>0</v>
      </c>
      <c r="AL88">
        <v>1</v>
      </c>
      <c r="AM88">
        <v>3715569</v>
      </c>
      <c r="AN88">
        <v>1</v>
      </c>
      <c r="AO88">
        <v>0</v>
      </c>
      <c r="AP88">
        <v>999</v>
      </c>
      <c r="AQ88">
        <v>430</v>
      </c>
      <c r="AR88">
        <v>430999</v>
      </c>
      <c r="AT88">
        <v>1</v>
      </c>
      <c r="AU88" t="s">
        <v>54</v>
      </c>
      <c r="AV88">
        <v>25045.55</v>
      </c>
      <c r="AW88">
        <v>26010.331999999999</v>
      </c>
      <c r="AX88">
        <v>27041.058000000001</v>
      </c>
      <c r="AY88">
        <v>28420.708999999999</v>
      </c>
      <c r="AZ88">
        <v>29962.351999999999</v>
      </c>
      <c r="BA88">
        <v>31788.16</v>
      </c>
      <c r="BB88">
        <v>34027.07</v>
      </c>
      <c r="BC88">
        <v>36641.5795</v>
      </c>
      <c r="BD88">
        <v>39840.642</v>
      </c>
      <c r="BE88">
        <v>40000</v>
      </c>
      <c r="BF88">
        <v>41343.269999999997</v>
      </c>
      <c r="BG88">
        <v>44702.324999999997</v>
      </c>
      <c r="BH88">
        <v>49392.076000000001</v>
      </c>
      <c r="BI88">
        <v>58375.907500000008</v>
      </c>
      <c r="BJ88">
        <v>70239.999999999985</v>
      </c>
      <c r="BK88">
        <v>81597.5</v>
      </c>
      <c r="BL88">
        <v>118941.322</v>
      </c>
      <c r="BM88">
        <v>163981.24299999949</v>
      </c>
      <c r="BN88">
        <v>270486.4050000002</v>
      </c>
      <c r="BO88">
        <v>446888.37399999989</v>
      </c>
      <c r="BP88">
        <v>2814221.66</v>
      </c>
      <c r="BQ88">
        <v>1</v>
      </c>
      <c r="BR88">
        <v>1</v>
      </c>
      <c r="BS88">
        <v>1</v>
      </c>
      <c r="BT88">
        <v>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 x14ac:dyDescent="0.35">
      <c r="A89">
        <v>341239</v>
      </c>
      <c r="B89" t="s">
        <v>259</v>
      </c>
      <c r="C89" t="s">
        <v>260</v>
      </c>
      <c r="D89" s="1">
        <v>45787</v>
      </c>
      <c r="E89">
        <v>53850</v>
      </c>
      <c r="F89">
        <v>154</v>
      </c>
      <c r="G89" t="s">
        <v>235</v>
      </c>
      <c r="H89" t="s">
        <v>262</v>
      </c>
      <c r="I89" t="s">
        <v>48</v>
      </c>
      <c r="L89">
        <v>1543300004860</v>
      </c>
      <c r="M89">
        <v>20250414</v>
      </c>
      <c r="N89" t="s">
        <v>263</v>
      </c>
      <c r="Q89" t="s">
        <v>55</v>
      </c>
      <c r="R89">
        <v>28811.8</v>
      </c>
      <c r="T89">
        <v>3715569</v>
      </c>
      <c r="U89">
        <v>5424970654</v>
      </c>
      <c r="V89" t="s">
        <v>265</v>
      </c>
      <c r="W89" t="s">
        <v>53</v>
      </c>
      <c r="X89" t="s">
        <v>266</v>
      </c>
      <c r="Y89" t="s">
        <v>49</v>
      </c>
      <c r="Z89">
        <v>741</v>
      </c>
      <c r="AH89">
        <v>0</v>
      </c>
      <c r="AI89">
        <v>202504</v>
      </c>
      <c r="AJ89" t="s">
        <v>61</v>
      </c>
      <c r="AK89">
        <v>0</v>
      </c>
      <c r="AL89">
        <v>1</v>
      </c>
      <c r="AM89">
        <v>3715569</v>
      </c>
      <c r="AN89">
        <v>1</v>
      </c>
      <c r="AO89">
        <v>0</v>
      </c>
      <c r="AP89">
        <v>999</v>
      </c>
      <c r="AQ89">
        <v>430</v>
      </c>
      <c r="AR89">
        <v>430999</v>
      </c>
      <c r="AT89">
        <v>1</v>
      </c>
      <c r="AU89" t="s">
        <v>54</v>
      </c>
      <c r="AV89">
        <v>25045.55</v>
      </c>
      <c r="AW89">
        <v>26010.331999999999</v>
      </c>
      <c r="AX89">
        <v>27041.058000000001</v>
      </c>
      <c r="AY89">
        <v>28420.708999999999</v>
      </c>
      <c r="AZ89">
        <v>29962.351999999999</v>
      </c>
      <c r="BA89">
        <v>31788.16</v>
      </c>
      <c r="BB89">
        <v>34027.07</v>
      </c>
      <c r="BC89">
        <v>36641.5795</v>
      </c>
      <c r="BD89">
        <v>39840.642</v>
      </c>
      <c r="BE89">
        <v>40000</v>
      </c>
      <c r="BF89">
        <v>41343.269999999997</v>
      </c>
      <c r="BG89">
        <v>44702.324999999997</v>
      </c>
      <c r="BH89">
        <v>49392.076000000001</v>
      </c>
      <c r="BI89">
        <v>58375.907500000008</v>
      </c>
      <c r="BJ89">
        <v>70239.999999999985</v>
      </c>
      <c r="BK89">
        <v>81597.5</v>
      </c>
      <c r="BL89">
        <v>118941.322</v>
      </c>
      <c r="BM89">
        <v>163981.24299999949</v>
      </c>
      <c r="BN89">
        <v>270486.4050000002</v>
      </c>
      <c r="BO89">
        <v>446888.37399999989</v>
      </c>
      <c r="BP89">
        <v>2814221.66</v>
      </c>
      <c r="BQ89">
        <v>1</v>
      </c>
      <c r="BR89">
        <v>1</v>
      </c>
      <c r="BS89">
        <v>1</v>
      </c>
      <c r="BT89">
        <v>1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 x14ac:dyDescent="0.35">
      <c r="A90">
        <v>341187</v>
      </c>
      <c r="B90" t="s">
        <v>259</v>
      </c>
      <c r="C90" t="s">
        <v>260</v>
      </c>
      <c r="D90" s="1">
        <v>45787</v>
      </c>
      <c r="E90">
        <v>53850</v>
      </c>
      <c r="F90">
        <v>116</v>
      </c>
      <c r="G90" t="s">
        <v>165</v>
      </c>
      <c r="H90" t="s">
        <v>262</v>
      </c>
      <c r="I90" t="s">
        <v>48</v>
      </c>
      <c r="L90">
        <v>1163305431040</v>
      </c>
      <c r="M90">
        <v>20250402</v>
      </c>
      <c r="N90" t="s">
        <v>263</v>
      </c>
      <c r="Q90" t="s">
        <v>55</v>
      </c>
      <c r="R90">
        <v>104920</v>
      </c>
      <c r="T90">
        <v>543104</v>
      </c>
      <c r="U90">
        <v>4393640729</v>
      </c>
      <c r="V90" t="s">
        <v>303</v>
      </c>
      <c r="W90" t="s">
        <v>53</v>
      </c>
      <c r="X90" t="s">
        <v>89</v>
      </c>
      <c r="Y90" t="s">
        <v>49</v>
      </c>
      <c r="Z90">
        <v>1696</v>
      </c>
      <c r="AH90">
        <v>0</v>
      </c>
      <c r="AI90">
        <v>202504</v>
      </c>
      <c r="AJ90" t="s">
        <v>167</v>
      </c>
      <c r="AK90">
        <v>1</v>
      </c>
      <c r="AL90">
        <v>1</v>
      </c>
      <c r="AO90">
        <v>0</v>
      </c>
      <c r="AP90">
        <v>999</v>
      </c>
      <c r="AQ90">
        <v>430</v>
      </c>
      <c r="AR90">
        <v>430999</v>
      </c>
      <c r="AT90">
        <v>1</v>
      </c>
      <c r="AU90" t="s">
        <v>54</v>
      </c>
      <c r="AV90">
        <v>25045.55</v>
      </c>
      <c r="AW90">
        <v>26010.331999999999</v>
      </c>
      <c r="AX90">
        <v>27041.058000000001</v>
      </c>
      <c r="AY90">
        <v>28420.708999999999</v>
      </c>
      <c r="AZ90">
        <v>29962.351999999999</v>
      </c>
      <c r="BA90">
        <v>31788.16</v>
      </c>
      <c r="BB90">
        <v>34027.07</v>
      </c>
      <c r="BC90">
        <v>36641.5795</v>
      </c>
      <c r="BD90">
        <v>39840.642</v>
      </c>
      <c r="BE90">
        <v>40000</v>
      </c>
      <c r="BF90">
        <v>41343.269999999997</v>
      </c>
      <c r="BG90">
        <v>44702.324999999997</v>
      </c>
      <c r="BH90">
        <v>49392.076000000001</v>
      </c>
      <c r="BI90">
        <v>58375.907500000008</v>
      </c>
      <c r="BJ90">
        <v>70239.999999999985</v>
      </c>
      <c r="BK90">
        <v>81597.5</v>
      </c>
      <c r="BL90">
        <v>118941.322</v>
      </c>
      <c r="BM90">
        <v>163981.24299999949</v>
      </c>
      <c r="BN90">
        <v>270486.4050000002</v>
      </c>
      <c r="BO90">
        <v>446888.37399999989</v>
      </c>
      <c r="BP90">
        <v>2814221.66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 x14ac:dyDescent="0.35">
      <c r="A91">
        <v>341137</v>
      </c>
      <c r="B91" t="s">
        <v>259</v>
      </c>
      <c r="C91" t="s">
        <v>260</v>
      </c>
      <c r="D91" s="1">
        <v>45787</v>
      </c>
      <c r="E91">
        <v>53850</v>
      </c>
      <c r="F91">
        <v>191</v>
      </c>
      <c r="G91" t="s">
        <v>173</v>
      </c>
      <c r="H91" t="s">
        <v>262</v>
      </c>
      <c r="I91" t="s">
        <v>48</v>
      </c>
      <c r="L91">
        <v>1913300068122</v>
      </c>
      <c r="M91">
        <v>20250403</v>
      </c>
      <c r="N91" t="s">
        <v>263</v>
      </c>
      <c r="Q91" t="s">
        <v>55</v>
      </c>
      <c r="R91">
        <v>100000</v>
      </c>
      <c r="T91">
        <v>4918280</v>
      </c>
      <c r="U91">
        <v>3480410798</v>
      </c>
      <c r="V91" t="s">
        <v>291</v>
      </c>
      <c r="W91" t="s">
        <v>53</v>
      </c>
      <c r="X91" t="s">
        <v>232</v>
      </c>
      <c r="Y91" t="s">
        <v>49</v>
      </c>
      <c r="AH91">
        <v>0</v>
      </c>
      <c r="AI91">
        <v>202504</v>
      </c>
      <c r="AJ91" t="s">
        <v>61</v>
      </c>
      <c r="AK91">
        <v>0</v>
      </c>
      <c r="AL91">
        <v>1</v>
      </c>
      <c r="AO91">
        <v>0</v>
      </c>
      <c r="AP91">
        <v>999</v>
      </c>
      <c r="AQ91">
        <v>430</v>
      </c>
      <c r="AR91">
        <v>430999</v>
      </c>
      <c r="AT91">
        <v>1</v>
      </c>
      <c r="AU91" t="s">
        <v>54</v>
      </c>
      <c r="AV91">
        <v>25045.55</v>
      </c>
      <c r="AW91">
        <v>26010.331999999999</v>
      </c>
      <c r="AX91">
        <v>27041.058000000001</v>
      </c>
      <c r="AY91">
        <v>28420.708999999999</v>
      </c>
      <c r="AZ91">
        <v>29962.351999999999</v>
      </c>
      <c r="BA91">
        <v>31788.16</v>
      </c>
      <c r="BB91">
        <v>34027.07</v>
      </c>
      <c r="BC91">
        <v>36641.5795</v>
      </c>
      <c r="BD91">
        <v>39840.642</v>
      </c>
      <c r="BE91">
        <v>40000</v>
      </c>
      <c r="BF91">
        <v>41343.269999999997</v>
      </c>
      <c r="BG91">
        <v>44702.324999999997</v>
      </c>
      <c r="BH91">
        <v>49392.076000000001</v>
      </c>
      <c r="BI91">
        <v>58375.907500000008</v>
      </c>
      <c r="BJ91">
        <v>70239.999999999985</v>
      </c>
      <c r="BK91">
        <v>81597.5</v>
      </c>
      <c r="BL91">
        <v>118941.322</v>
      </c>
      <c r="BM91">
        <v>163981.24299999949</v>
      </c>
      <c r="BN91">
        <v>270486.4050000002</v>
      </c>
      <c r="BO91">
        <v>446888.37399999989</v>
      </c>
      <c r="BP91">
        <v>2814221.66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 x14ac:dyDescent="0.35">
      <c r="A92">
        <v>341127</v>
      </c>
      <c r="B92" t="s">
        <v>259</v>
      </c>
      <c r="C92" t="s">
        <v>260</v>
      </c>
      <c r="D92" s="1">
        <v>45787</v>
      </c>
      <c r="E92">
        <v>53850</v>
      </c>
      <c r="F92">
        <v>191</v>
      </c>
      <c r="G92" t="s">
        <v>173</v>
      </c>
      <c r="H92" t="s">
        <v>262</v>
      </c>
      <c r="I92" t="s">
        <v>48</v>
      </c>
      <c r="L92">
        <v>1913300068122</v>
      </c>
      <c r="M92">
        <v>20250408</v>
      </c>
      <c r="N92" t="s">
        <v>263</v>
      </c>
      <c r="Q92" t="s">
        <v>55</v>
      </c>
      <c r="R92">
        <v>72400</v>
      </c>
      <c r="T92">
        <v>4918280</v>
      </c>
      <c r="U92">
        <v>3480410798</v>
      </c>
      <c r="V92" t="s">
        <v>291</v>
      </c>
      <c r="W92" t="s">
        <v>53</v>
      </c>
      <c r="X92" t="s">
        <v>232</v>
      </c>
      <c r="Y92" t="s">
        <v>49</v>
      </c>
      <c r="AH92">
        <v>0</v>
      </c>
      <c r="AI92">
        <v>202504</v>
      </c>
      <c r="AJ92" t="s">
        <v>61</v>
      </c>
      <c r="AK92">
        <v>0</v>
      </c>
      <c r="AL92">
        <v>1</v>
      </c>
      <c r="AO92">
        <v>0</v>
      </c>
      <c r="AP92">
        <v>999</v>
      </c>
      <c r="AQ92">
        <v>430</v>
      </c>
      <c r="AR92">
        <v>430999</v>
      </c>
      <c r="AT92">
        <v>1</v>
      </c>
      <c r="AU92" t="s">
        <v>54</v>
      </c>
      <c r="AV92">
        <v>25045.55</v>
      </c>
      <c r="AW92">
        <v>26010.331999999999</v>
      </c>
      <c r="AX92">
        <v>27041.058000000001</v>
      </c>
      <c r="AY92">
        <v>28420.708999999999</v>
      </c>
      <c r="AZ92">
        <v>29962.351999999999</v>
      </c>
      <c r="BA92">
        <v>31788.16</v>
      </c>
      <c r="BB92">
        <v>34027.07</v>
      </c>
      <c r="BC92">
        <v>36641.5795</v>
      </c>
      <c r="BD92">
        <v>39840.642</v>
      </c>
      <c r="BE92">
        <v>40000</v>
      </c>
      <c r="BF92">
        <v>41343.269999999997</v>
      </c>
      <c r="BG92">
        <v>44702.324999999997</v>
      </c>
      <c r="BH92">
        <v>49392.076000000001</v>
      </c>
      <c r="BI92">
        <v>58375.907500000008</v>
      </c>
      <c r="BJ92">
        <v>70239.999999999985</v>
      </c>
      <c r="BK92">
        <v>81597.5</v>
      </c>
      <c r="BL92">
        <v>118941.322</v>
      </c>
      <c r="BM92">
        <v>163981.24299999949</v>
      </c>
      <c r="BN92">
        <v>270486.4050000002</v>
      </c>
      <c r="BO92">
        <v>446888.37399999989</v>
      </c>
      <c r="BP92">
        <v>2814221.66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 x14ac:dyDescent="0.35">
      <c r="A93">
        <v>341047</v>
      </c>
      <c r="B93" t="s">
        <v>259</v>
      </c>
      <c r="C93" t="s">
        <v>260</v>
      </c>
      <c r="D93" s="1">
        <v>45787</v>
      </c>
      <c r="E93">
        <v>53850</v>
      </c>
      <c r="F93">
        <v>148</v>
      </c>
      <c r="G93" t="s">
        <v>90</v>
      </c>
      <c r="H93" t="s">
        <v>262</v>
      </c>
      <c r="I93" t="s">
        <v>48</v>
      </c>
      <c r="L93">
        <v>1483300004308</v>
      </c>
      <c r="M93">
        <v>20250402</v>
      </c>
      <c r="N93" t="s">
        <v>263</v>
      </c>
      <c r="Q93" t="s">
        <v>55</v>
      </c>
      <c r="R93">
        <v>29100</v>
      </c>
      <c r="T93">
        <v>4898674</v>
      </c>
      <c r="U93">
        <v>2936580642</v>
      </c>
      <c r="V93" t="s">
        <v>230</v>
      </c>
      <c r="W93" t="s">
        <v>53</v>
      </c>
      <c r="X93" t="s">
        <v>231</v>
      </c>
      <c r="Y93" t="s">
        <v>49</v>
      </c>
      <c r="Z93">
        <v>1063</v>
      </c>
      <c r="AH93">
        <v>0</v>
      </c>
      <c r="AI93">
        <v>202504</v>
      </c>
      <c r="AJ93" t="s">
        <v>61</v>
      </c>
      <c r="AK93">
        <v>0</v>
      </c>
      <c r="AL93">
        <v>1</v>
      </c>
      <c r="AO93">
        <v>0</v>
      </c>
      <c r="AP93">
        <v>999</v>
      </c>
      <c r="AQ93">
        <v>430</v>
      </c>
      <c r="AR93">
        <v>430999</v>
      </c>
      <c r="AT93">
        <v>1</v>
      </c>
      <c r="AU93" t="s">
        <v>54</v>
      </c>
      <c r="AV93">
        <v>25045.55</v>
      </c>
      <c r="AW93">
        <v>26010.331999999999</v>
      </c>
      <c r="AX93">
        <v>27041.058000000001</v>
      </c>
      <c r="AY93">
        <v>28420.708999999999</v>
      </c>
      <c r="AZ93">
        <v>29962.351999999999</v>
      </c>
      <c r="BA93">
        <v>31788.16</v>
      </c>
      <c r="BB93">
        <v>34027.07</v>
      </c>
      <c r="BC93">
        <v>36641.5795</v>
      </c>
      <c r="BD93">
        <v>39840.642</v>
      </c>
      <c r="BE93">
        <v>40000</v>
      </c>
      <c r="BF93">
        <v>41343.269999999997</v>
      </c>
      <c r="BG93">
        <v>44702.324999999997</v>
      </c>
      <c r="BH93">
        <v>49392.076000000001</v>
      </c>
      <c r="BI93">
        <v>58375.907500000008</v>
      </c>
      <c r="BJ93">
        <v>70239.999999999985</v>
      </c>
      <c r="BK93">
        <v>81597.5</v>
      </c>
      <c r="BL93">
        <v>118941.322</v>
      </c>
      <c r="BM93">
        <v>163981.24299999949</v>
      </c>
      <c r="BN93">
        <v>270486.4050000002</v>
      </c>
      <c r="BO93">
        <v>446888.37399999989</v>
      </c>
      <c r="BP93">
        <v>2814221.66</v>
      </c>
      <c r="BQ93">
        <v>1</v>
      </c>
      <c r="BR93">
        <v>1</v>
      </c>
      <c r="BS93">
        <v>1</v>
      </c>
      <c r="BT93">
        <v>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 x14ac:dyDescent="0.35">
      <c r="A94">
        <v>340989</v>
      </c>
      <c r="B94" t="s">
        <v>259</v>
      </c>
      <c r="C94" t="s">
        <v>260</v>
      </c>
      <c r="D94" s="1">
        <v>45787</v>
      </c>
      <c r="E94">
        <v>53850</v>
      </c>
      <c r="F94">
        <v>125</v>
      </c>
      <c r="G94" t="s">
        <v>277</v>
      </c>
      <c r="H94" t="s">
        <v>262</v>
      </c>
      <c r="I94" t="s">
        <v>48</v>
      </c>
      <c r="L94">
        <v>1253309512895</v>
      </c>
      <c r="M94">
        <v>20250407</v>
      </c>
      <c r="N94" t="s">
        <v>263</v>
      </c>
      <c r="Q94" t="s">
        <v>55</v>
      </c>
      <c r="R94">
        <v>186150.05</v>
      </c>
      <c r="T94">
        <v>4795279</v>
      </c>
      <c r="U94">
        <v>1020090658</v>
      </c>
      <c r="V94" t="s">
        <v>278</v>
      </c>
      <c r="W94" t="s">
        <v>53</v>
      </c>
      <c r="X94" t="s">
        <v>237</v>
      </c>
      <c r="Y94" t="s">
        <v>49</v>
      </c>
      <c r="Z94">
        <v>982</v>
      </c>
      <c r="AH94">
        <v>0</v>
      </c>
      <c r="AI94">
        <v>202504</v>
      </c>
      <c r="AJ94" t="s">
        <v>51</v>
      </c>
      <c r="AK94">
        <v>0</v>
      </c>
      <c r="AL94">
        <v>1</v>
      </c>
      <c r="AO94">
        <v>0</v>
      </c>
      <c r="AP94">
        <v>999</v>
      </c>
      <c r="AQ94">
        <v>430</v>
      </c>
      <c r="AR94">
        <v>430999</v>
      </c>
      <c r="AT94">
        <v>1</v>
      </c>
      <c r="AU94" t="s">
        <v>54</v>
      </c>
      <c r="AV94">
        <v>25045.55</v>
      </c>
      <c r="AW94">
        <v>26010.331999999999</v>
      </c>
      <c r="AX94">
        <v>27041.058000000001</v>
      </c>
      <c r="AY94">
        <v>28420.708999999999</v>
      </c>
      <c r="AZ94">
        <v>29962.351999999999</v>
      </c>
      <c r="BA94">
        <v>31788.16</v>
      </c>
      <c r="BB94">
        <v>34027.07</v>
      </c>
      <c r="BC94">
        <v>36641.5795</v>
      </c>
      <c r="BD94">
        <v>39840.642</v>
      </c>
      <c r="BE94">
        <v>40000</v>
      </c>
      <c r="BF94">
        <v>41343.269999999997</v>
      </c>
      <c r="BG94">
        <v>44702.324999999997</v>
      </c>
      <c r="BH94">
        <v>49392.076000000001</v>
      </c>
      <c r="BI94">
        <v>58375.907500000008</v>
      </c>
      <c r="BJ94">
        <v>70239.999999999985</v>
      </c>
      <c r="BK94">
        <v>81597.5</v>
      </c>
      <c r="BL94">
        <v>118941.322</v>
      </c>
      <c r="BM94">
        <v>163981.24299999949</v>
      </c>
      <c r="BN94">
        <v>270486.4050000002</v>
      </c>
      <c r="BO94">
        <v>446888.37399999989</v>
      </c>
      <c r="BP94">
        <v>2814221.66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0</v>
      </c>
      <c r="CJ94">
        <v>0</v>
      </c>
      <c r="CK94">
        <v>0</v>
      </c>
    </row>
    <row r="95" spans="1:89" x14ac:dyDescent="0.35">
      <c r="A95">
        <v>340944</v>
      </c>
      <c r="B95" t="s">
        <v>259</v>
      </c>
      <c r="C95" t="s">
        <v>260</v>
      </c>
      <c r="D95" s="1">
        <v>45787</v>
      </c>
      <c r="E95">
        <v>53850</v>
      </c>
      <c r="F95">
        <v>192</v>
      </c>
      <c r="G95" t="s">
        <v>75</v>
      </c>
      <c r="H95" t="s">
        <v>262</v>
      </c>
      <c r="I95" t="s">
        <v>48</v>
      </c>
      <c r="L95">
        <v>1923300183163</v>
      </c>
      <c r="M95">
        <v>20250422</v>
      </c>
      <c r="N95" t="s">
        <v>263</v>
      </c>
      <c r="Q95" t="s">
        <v>55</v>
      </c>
      <c r="R95">
        <v>41655</v>
      </c>
      <c r="T95">
        <v>4695944</v>
      </c>
      <c r="U95" t="s">
        <v>271</v>
      </c>
      <c r="V95" t="s">
        <v>272</v>
      </c>
      <c r="W95" t="s">
        <v>64</v>
      </c>
      <c r="X95" t="s">
        <v>94</v>
      </c>
      <c r="Y95" t="s">
        <v>49</v>
      </c>
      <c r="Z95">
        <v>481</v>
      </c>
      <c r="AH95">
        <v>0</v>
      </c>
      <c r="AI95">
        <v>202504</v>
      </c>
      <c r="AJ95" t="s">
        <v>61</v>
      </c>
      <c r="AK95">
        <v>0</v>
      </c>
      <c r="AL95">
        <v>1</v>
      </c>
      <c r="AM95">
        <v>4695944</v>
      </c>
      <c r="AN95">
        <v>1</v>
      </c>
      <c r="AO95">
        <v>0</v>
      </c>
      <c r="AP95">
        <v>999</v>
      </c>
      <c r="AQ95">
        <v>615</v>
      </c>
      <c r="AR95">
        <v>615999</v>
      </c>
      <c r="AT95">
        <v>1</v>
      </c>
      <c r="AU95" t="s">
        <v>58</v>
      </c>
      <c r="AV95">
        <v>25045.55</v>
      </c>
      <c r="AW95">
        <v>26010.331999999999</v>
      </c>
      <c r="AX95">
        <v>27041.058000000001</v>
      </c>
      <c r="AY95">
        <v>28420.708999999999</v>
      </c>
      <c r="AZ95">
        <v>29962.351999999999</v>
      </c>
      <c r="BA95">
        <v>31788.16</v>
      </c>
      <c r="BB95">
        <v>34027.07</v>
      </c>
      <c r="BC95">
        <v>36641.5795</v>
      </c>
      <c r="BD95">
        <v>39840.642</v>
      </c>
      <c r="BE95">
        <v>40000</v>
      </c>
      <c r="BF95">
        <v>41343.269999999997</v>
      </c>
      <c r="BG95">
        <v>44702.324999999997</v>
      </c>
      <c r="BH95">
        <v>49392.076000000001</v>
      </c>
      <c r="BI95">
        <v>58375.907500000008</v>
      </c>
      <c r="BJ95">
        <v>70239.999999999985</v>
      </c>
      <c r="BK95">
        <v>81597.5</v>
      </c>
      <c r="BL95">
        <v>118941.322</v>
      </c>
      <c r="BM95">
        <v>163981.24299999949</v>
      </c>
      <c r="BN95">
        <v>270486.4050000002</v>
      </c>
      <c r="BO95">
        <v>446888.37399999989</v>
      </c>
      <c r="BP95">
        <v>2814221.66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 x14ac:dyDescent="0.35">
      <c r="A96">
        <v>340924</v>
      </c>
      <c r="B96" t="s">
        <v>259</v>
      </c>
      <c r="C96" t="s">
        <v>260</v>
      </c>
      <c r="D96" s="1">
        <v>45787</v>
      </c>
      <c r="E96">
        <v>53850</v>
      </c>
      <c r="F96">
        <v>148</v>
      </c>
      <c r="G96" t="s">
        <v>90</v>
      </c>
      <c r="H96" t="s">
        <v>262</v>
      </c>
      <c r="I96" t="s">
        <v>48</v>
      </c>
      <c r="L96">
        <v>1483300004308</v>
      </c>
      <c r="M96">
        <v>20250422</v>
      </c>
      <c r="N96" t="s">
        <v>263</v>
      </c>
      <c r="Q96" t="s">
        <v>55</v>
      </c>
      <c r="R96">
        <v>34992.43</v>
      </c>
      <c r="T96">
        <v>4898674</v>
      </c>
      <c r="U96">
        <v>2936580642</v>
      </c>
      <c r="V96" t="s">
        <v>230</v>
      </c>
      <c r="W96" t="s">
        <v>53</v>
      </c>
      <c r="X96" t="s">
        <v>231</v>
      </c>
      <c r="Y96" t="s">
        <v>49</v>
      </c>
      <c r="Z96">
        <v>1063</v>
      </c>
      <c r="AH96">
        <v>0</v>
      </c>
      <c r="AI96">
        <v>202504</v>
      </c>
      <c r="AJ96" t="s">
        <v>61</v>
      </c>
      <c r="AK96">
        <v>0</v>
      </c>
      <c r="AL96">
        <v>1</v>
      </c>
      <c r="AO96">
        <v>0</v>
      </c>
      <c r="AP96">
        <v>999</v>
      </c>
      <c r="AQ96">
        <v>430</v>
      </c>
      <c r="AR96">
        <v>430999</v>
      </c>
      <c r="AT96">
        <v>1</v>
      </c>
      <c r="AU96" t="s">
        <v>54</v>
      </c>
      <c r="AV96">
        <v>25045.55</v>
      </c>
      <c r="AW96">
        <v>26010.331999999999</v>
      </c>
      <c r="AX96">
        <v>27041.058000000001</v>
      </c>
      <c r="AY96">
        <v>28420.708999999999</v>
      </c>
      <c r="AZ96">
        <v>29962.351999999999</v>
      </c>
      <c r="BA96">
        <v>31788.16</v>
      </c>
      <c r="BB96">
        <v>34027.07</v>
      </c>
      <c r="BC96">
        <v>36641.5795</v>
      </c>
      <c r="BD96">
        <v>39840.642</v>
      </c>
      <c r="BE96">
        <v>40000</v>
      </c>
      <c r="BF96">
        <v>41343.269999999997</v>
      </c>
      <c r="BG96">
        <v>44702.324999999997</v>
      </c>
      <c r="BH96">
        <v>49392.076000000001</v>
      </c>
      <c r="BI96">
        <v>58375.907500000008</v>
      </c>
      <c r="BJ96">
        <v>70239.999999999985</v>
      </c>
      <c r="BK96">
        <v>81597.5</v>
      </c>
      <c r="BL96">
        <v>118941.322</v>
      </c>
      <c r="BM96">
        <v>163981.24299999949</v>
      </c>
      <c r="BN96">
        <v>270486.4050000002</v>
      </c>
      <c r="BO96">
        <v>446888.37399999989</v>
      </c>
      <c r="BP96">
        <v>2814221.66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 x14ac:dyDescent="0.35">
      <c r="A97">
        <v>340803</v>
      </c>
      <c r="B97" t="s">
        <v>259</v>
      </c>
      <c r="C97" t="s">
        <v>260</v>
      </c>
      <c r="D97" s="1">
        <v>45787</v>
      </c>
      <c r="E97">
        <v>53850</v>
      </c>
      <c r="F97">
        <v>122</v>
      </c>
      <c r="G97" t="s">
        <v>261</v>
      </c>
      <c r="H97" t="s">
        <v>262</v>
      </c>
      <c r="I97" t="s">
        <v>48</v>
      </c>
      <c r="L97">
        <v>1223300002128</v>
      </c>
      <c r="M97">
        <v>20250424</v>
      </c>
      <c r="N97" t="s">
        <v>263</v>
      </c>
      <c r="Q97" t="s">
        <v>55</v>
      </c>
      <c r="R97">
        <v>27920.959999999999</v>
      </c>
      <c r="T97">
        <v>3711207</v>
      </c>
      <c r="U97">
        <v>8825020723</v>
      </c>
      <c r="V97" t="s">
        <v>264</v>
      </c>
      <c r="W97" t="s">
        <v>53</v>
      </c>
      <c r="X97" t="s">
        <v>57</v>
      </c>
      <c r="Y97" t="s">
        <v>49</v>
      </c>
      <c r="Z97">
        <v>1696</v>
      </c>
      <c r="AH97">
        <v>0</v>
      </c>
      <c r="AI97">
        <v>202504</v>
      </c>
      <c r="AJ97" t="s">
        <v>51</v>
      </c>
      <c r="AK97">
        <v>0</v>
      </c>
      <c r="AL97">
        <v>1</v>
      </c>
      <c r="AO97">
        <v>0</v>
      </c>
      <c r="AP97">
        <v>620</v>
      </c>
      <c r="AQ97">
        <v>430</v>
      </c>
      <c r="AR97">
        <v>430620</v>
      </c>
      <c r="AS97" t="s">
        <v>58</v>
      </c>
      <c r="AU97" t="s">
        <v>58</v>
      </c>
      <c r="AV97">
        <v>25045.55</v>
      </c>
      <c r="AW97">
        <v>26010.331999999999</v>
      </c>
      <c r="AX97">
        <v>27041.058000000001</v>
      </c>
      <c r="AY97">
        <v>28420.708999999999</v>
      </c>
      <c r="AZ97">
        <v>29962.351999999999</v>
      </c>
      <c r="BA97">
        <v>31788.16</v>
      </c>
      <c r="BB97">
        <v>34027.07</v>
      </c>
      <c r="BC97">
        <v>36641.5795</v>
      </c>
      <c r="BD97">
        <v>39840.642</v>
      </c>
      <c r="BE97">
        <v>40000</v>
      </c>
      <c r="BF97">
        <v>41343.269999999997</v>
      </c>
      <c r="BG97">
        <v>44702.324999999997</v>
      </c>
      <c r="BH97">
        <v>49392.076000000001</v>
      </c>
      <c r="BI97">
        <v>58375.907500000008</v>
      </c>
      <c r="BJ97">
        <v>70239.999999999985</v>
      </c>
      <c r="BK97">
        <v>81597.5</v>
      </c>
      <c r="BL97">
        <v>118941.322</v>
      </c>
      <c r="BM97">
        <v>163981.24299999949</v>
      </c>
      <c r="BN97">
        <v>270486.4050000002</v>
      </c>
      <c r="BO97">
        <v>446888.37399999989</v>
      </c>
      <c r="BP97">
        <v>2814221.66</v>
      </c>
      <c r="BQ97">
        <v>1</v>
      </c>
      <c r="BR97">
        <v>1</v>
      </c>
      <c r="BS97">
        <v>1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 x14ac:dyDescent="0.35">
      <c r="A98">
        <v>340767</v>
      </c>
      <c r="B98" t="s">
        <v>259</v>
      </c>
      <c r="C98" t="s">
        <v>260</v>
      </c>
      <c r="D98" s="1">
        <v>45787</v>
      </c>
      <c r="E98">
        <v>53850</v>
      </c>
      <c r="F98">
        <v>161</v>
      </c>
      <c r="G98" t="s">
        <v>298</v>
      </c>
      <c r="H98" t="s">
        <v>262</v>
      </c>
      <c r="I98" t="s">
        <v>48</v>
      </c>
      <c r="L98">
        <v>1613300032599</v>
      </c>
      <c r="M98">
        <v>20250428</v>
      </c>
      <c r="N98" t="s">
        <v>263</v>
      </c>
      <c r="Q98" t="s">
        <v>55</v>
      </c>
      <c r="R98">
        <v>615000</v>
      </c>
      <c r="T98">
        <v>4845705</v>
      </c>
      <c r="U98">
        <v>6832140724</v>
      </c>
      <c r="V98" t="s">
        <v>299</v>
      </c>
      <c r="W98" t="s">
        <v>53</v>
      </c>
      <c r="X98" t="s">
        <v>229</v>
      </c>
      <c r="Y98" t="s">
        <v>49</v>
      </c>
      <c r="Z98">
        <v>1903</v>
      </c>
      <c r="AH98">
        <v>0</v>
      </c>
      <c r="AI98">
        <v>202504</v>
      </c>
      <c r="AJ98" t="s">
        <v>167</v>
      </c>
      <c r="AK98">
        <v>1</v>
      </c>
      <c r="AL98">
        <v>1</v>
      </c>
      <c r="AO98">
        <v>0</v>
      </c>
      <c r="AP98">
        <v>999</v>
      </c>
      <c r="AQ98">
        <v>430</v>
      </c>
      <c r="AR98">
        <v>430999</v>
      </c>
      <c r="AT98">
        <v>1</v>
      </c>
      <c r="AU98" t="s">
        <v>54</v>
      </c>
      <c r="AV98">
        <v>25045.55</v>
      </c>
      <c r="AW98">
        <v>26010.331999999999</v>
      </c>
      <c r="AX98">
        <v>27041.058000000001</v>
      </c>
      <c r="AY98">
        <v>28420.708999999999</v>
      </c>
      <c r="AZ98">
        <v>29962.351999999999</v>
      </c>
      <c r="BA98">
        <v>31788.16</v>
      </c>
      <c r="BB98">
        <v>34027.07</v>
      </c>
      <c r="BC98">
        <v>36641.5795</v>
      </c>
      <c r="BD98">
        <v>39840.642</v>
      </c>
      <c r="BE98">
        <v>40000</v>
      </c>
      <c r="BF98">
        <v>41343.269999999997</v>
      </c>
      <c r="BG98">
        <v>44702.324999999997</v>
      </c>
      <c r="BH98">
        <v>49392.076000000001</v>
      </c>
      <c r="BI98">
        <v>58375.907500000008</v>
      </c>
      <c r="BJ98">
        <v>70239.999999999985</v>
      </c>
      <c r="BK98">
        <v>81597.5</v>
      </c>
      <c r="BL98">
        <v>118941.322</v>
      </c>
      <c r="BM98">
        <v>163981.24299999949</v>
      </c>
      <c r="BN98">
        <v>270486.4050000002</v>
      </c>
      <c r="BO98">
        <v>446888.37399999989</v>
      </c>
      <c r="BP98">
        <v>2814221.66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0</v>
      </c>
    </row>
    <row r="99" spans="1:89" x14ac:dyDescent="0.35">
      <c r="A99">
        <v>340765</v>
      </c>
      <c r="B99" t="s">
        <v>259</v>
      </c>
      <c r="C99" t="s">
        <v>260</v>
      </c>
      <c r="D99" s="1">
        <v>45787</v>
      </c>
      <c r="E99">
        <v>53850</v>
      </c>
      <c r="F99">
        <v>226</v>
      </c>
      <c r="G99" t="s">
        <v>164</v>
      </c>
      <c r="H99" t="s">
        <v>262</v>
      </c>
      <c r="I99" t="s">
        <v>48</v>
      </c>
      <c r="L99">
        <v>2263300010989</v>
      </c>
      <c r="M99">
        <v>20250407</v>
      </c>
      <c r="N99" t="s">
        <v>263</v>
      </c>
      <c r="Q99" t="s">
        <v>55</v>
      </c>
      <c r="R99">
        <v>29900.98</v>
      </c>
      <c r="T99">
        <v>4804128</v>
      </c>
      <c r="U99">
        <v>6363770725</v>
      </c>
      <c r="V99" t="s">
        <v>304</v>
      </c>
      <c r="W99" t="s">
        <v>53</v>
      </c>
      <c r="X99" t="s">
        <v>79</v>
      </c>
      <c r="Y99" t="s">
        <v>49</v>
      </c>
      <c r="Z99">
        <v>1696</v>
      </c>
      <c r="AH99">
        <v>0</v>
      </c>
      <c r="AI99">
        <v>202504</v>
      </c>
      <c r="AJ99" t="s">
        <v>167</v>
      </c>
      <c r="AK99">
        <v>1</v>
      </c>
      <c r="AL99">
        <v>1</v>
      </c>
      <c r="AO99">
        <v>0</v>
      </c>
      <c r="AP99">
        <v>477</v>
      </c>
      <c r="AQ99">
        <v>430</v>
      </c>
      <c r="AR99">
        <v>430477</v>
      </c>
      <c r="AS99" t="s">
        <v>58</v>
      </c>
      <c r="AU99" t="s">
        <v>58</v>
      </c>
      <c r="AV99">
        <v>25045.55</v>
      </c>
      <c r="AW99">
        <v>26010.331999999999</v>
      </c>
      <c r="AX99">
        <v>27041.058000000001</v>
      </c>
      <c r="AY99">
        <v>28420.708999999999</v>
      </c>
      <c r="AZ99">
        <v>29962.351999999999</v>
      </c>
      <c r="BA99">
        <v>31788.16</v>
      </c>
      <c r="BB99">
        <v>34027.07</v>
      </c>
      <c r="BC99">
        <v>36641.5795</v>
      </c>
      <c r="BD99">
        <v>39840.642</v>
      </c>
      <c r="BE99">
        <v>40000</v>
      </c>
      <c r="BF99">
        <v>41343.269999999997</v>
      </c>
      <c r="BG99">
        <v>44702.324999999997</v>
      </c>
      <c r="BH99">
        <v>49392.076000000001</v>
      </c>
      <c r="BI99">
        <v>58375.907500000008</v>
      </c>
      <c r="BJ99">
        <v>70239.999999999985</v>
      </c>
      <c r="BK99">
        <v>81597.5</v>
      </c>
      <c r="BL99">
        <v>118941.322</v>
      </c>
      <c r="BM99">
        <v>163981.24299999949</v>
      </c>
      <c r="BN99">
        <v>270486.4050000002</v>
      </c>
      <c r="BO99">
        <v>446888.37399999989</v>
      </c>
      <c r="BP99">
        <v>2814221.66</v>
      </c>
      <c r="BQ99">
        <v>1</v>
      </c>
      <c r="BR99">
        <v>1</v>
      </c>
      <c r="BS99">
        <v>1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 x14ac:dyDescent="0.35">
      <c r="A100">
        <v>340743</v>
      </c>
      <c r="B100" t="s">
        <v>259</v>
      </c>
      <c r="C100" t="s">
        <v>260</v>
      </c>
      <c r="D100" s="1">
        <v>45787</v>
      </c>
      <c r="E100">
        <v>53850</v>
      </c>
      <c r="F100">
        <v>154</v>
      </c>
      <c r="G100" t="s">
        <v>235</v>
      </c>
      <c r="H100" t="s">
        <v>262</v>
      </c>
      <c r="I100" t="s">
        <v>48</v>
      </c>
      <c r="L100">
        <v>1543300004860</v>
      </c>
      <c r="M100">
        <v>20250417</v>
      </c>
      <c r="N100" t="s">
        <v>263</v>
      </c>
      <c r="Q100" t="s">
        <v>55</v>
      </c>
      <c r="R100">
        <v>44730.5</v>
      </c>
      <c r="T100">
        <v>3715569</v>
      </c>
      <c r="U100">
        <v>5424970654</v>
      </c>
      <c r="V100" t="s">
        <v>265</v>
      </c>
      <c r="W100" t="s">
        <v>53</v>
      </c>
      <c r="X100" t="s">
        <v>266</v>
      </c>
      <c r="Y100" t="s">
        <v>49</v>
      </c>
      <c r="Z100">
        <v>741</v>
      </c>
      <c r="AH100">
        <v>0</v>
      </c>
      <c r="AI100">
        <v>202504</v>
      </c>
      <c r="AJ100" t="s">
        <v>61</v>
      </c>
      <c r="AK100">
        <v>0</v>
      </c>
      <c r="AL100">
        <v>1</v>
      </c>
      <c r="AM100">
        <v>3715569</v>
      </c>
      <c r="AN100">
        <v>1</v>
      </c>
      <c r="AO100">
        <v>0</v>
      </c>
      <c r="AP100">
        <v>999</v>
      </c>
      <c r="AQ100">
        <v>430</v>
      </c>
      <c r="AR100">
        <v>430999</v>
      </c>
      <c r="AT100">
        <v>1</v>
      </c>
      <c r="AU100" t="s">
        <v>54</v>
      </c>
      <c r="AV100">
        <v>25045.55</v>
      </c>
      <c r="AW100">
        <v>26010.331999999999</v>
      </c>
      <c r="AX100">
        <v>27041.058000000001</v>
      </c>
      <c r="AY100">
        <v>28420.708999999999</v>
      </c>
      <c r="AZ100">
        <v>29962.351999999999</v>
      </c>
      <c r="BA100">
        <v>31788.16</v>
      </c>
      <c r="BB100">
        <v>34027.07</v>
      </c>
      <c r="BC100">
        <v>36641.5795</v>
      </c>
      <c r="BD100">
        <v>39840.642</v>
      </c>
      <c r="BE100">
        <v>40000</v>
      </c>
      <c r="BF100">
        <v>41343.269999999997</v>
      </c>
      <c r="BG100">
        <v>44702.324999999997</v>
      </c>
      <c r="BH100">
        <v>49392.076000000001</v>
      </c>
      <c r="BI100">
        <v>58375.907500000008</v>
      </c>
      <c r="BJ100">
        <v>70239.999999999985</v>
      </c>
      <c r="BK100">
        <v>81597.5</v>
      </c>
      <c r="BL100">
        <v>118941.322</v>
      </c>
      <c r="BM100">
        <v>163981.24299999949</v>
      </c>
      <c r="BN100">
        <v>270486.4050000002</v>
      </c>
      <c r="BO100">
        <v>446888.37399999989</v>
      </c>
      <c r="BP100">
        <v>2814221.66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 x14ac:dyDescent="0.35">
      <c r="A101">
        <v>340670</v>
      </c>
      <c r="B101" t="s">
        <v>259</v>
      </c>
      <c r="C101" t="s">
        <v>260</v>
      </c>
      <c r="D101" s="1">
        <v>45787</v>
      </c>
      <c r="E101">
        <v>53850</v>
      </c>
      <c r="F101">
        <v>154</v>
      </c>
      <c r="G101" t="s">
        <v>235</v>
      </c>
      <c r="H101" t="s">
        <v>262</v>
      </c>
      <c r="I101" t="s">
        <v>48</v>
      </c>
      <c r="L101">
        <v>1543300004860</v>
      </c>
      <c r="M101">
        <v>20250411</v>
      </c>
      <c r="N101" t="s">
        <v>263</v>
      </c>
      <c r="Q101" t="s">
        <v>55</v>
      </c>
      <c r="R101">
        <v>34029.769999999997</v>
      </c>
      <c r="T101">
        <v>3715569</v>
      </c>
      <c r="U101">
        <v>5424970654</v>
      </c>
      <c r="V101" t="s">
        <v>265</v>
      </c>
      <c r="W101" t="s">
        <v>53</v>
      </c>
      <c r="X101" t="s">
        <v>266</v>
      </c>
      <c r="Y101" t="s">
        <v>49</v>
      </c>
      <c r="Z101">
        <v>741</v>
      </c>
      <c r="AH101">
        <v>0</v>
      </c>
      <c r="AI101">
        <v>202504</v>
      </c>
      <c r="AJ101" t="s">
        <v>61</v>
      </c>
      <c r="AK101">
        <v>0</v>
      </c>
      <c r="AL101">
        <v>1</v>
      </c>
      <c r="AM101">
        <v>3715569</v>
      </c>
      <c r="AN101">
        <v>1</v>
      </c>
      <c r="AO101">
        <v>0</v>
      </c>
      <c r="AP101">
        <v>999</v>
      </c>
      <c r="AQ101">
        <v>430</v>
      </c>
      <c r="AR101">
        <v>430999</v>
      </c>
      <c r="AT101">
        <v>1</v>
      </c>
      <c r="AU101" t="s">
        <v>54</v>
      </c>
      <c r="AV101">
        <v>25045.55</v>
      </c>
      <c r="AW101">
        <v>26010.331999999999</v>
      </c>
      <c r="AX101">
        <v>27041.058000000001</v>
      </c>
      <c r="AY101">
        <v>28420.708999999999</v>
      </c>
      <c r="AZ101">
        <v>29962.351999999999</v>
      </c>
      <c r="BA101">
        <v>31788.16</v>
      </c>
      <c r="BB101">
        <v>34027.07</v>
      </c>
      <c r="BC101">
        <v>36641.5795</v>
      </c>
      <c r="BD101">
        <v>39840.642</v>
      </c>
      <c r="BE101">
        <v>40000</v>
      </c>
      <c r="BF101">
        <v>41343.269999999997</v>
      </c>
      <c r="BG101">
        <v>44702.324999999997</v>
      </c>
      <c r="BH101">
        <v>49392.076000000001</v>
      </c>
      <c r="BI101">
        <v>58375.907500000008</v>
      </c>
      <c r="BJ101">
        <v>70239.999999999985</v>
      </c>
      <c r="BK101">
        <v>81597.5</v>
      </c>
      <c r="BL101">
        <v>118941.322</v>
      </c>
      <c r="BM101">
        <v>163981.24299999949</v>
      </c>
      <c r="BN101">
        <v>270486.4050000002</v>
      </c>
      <c r="BO101">
        <v>446888.37399999989</v>
      </c>
      <c r="BP101">
        <v>2814221.66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 x14ac:dyDescent="0.35">
      <c r="A102">
        <v>340668</v>
      </c>
      <c r="B102" t="s">
        <v>259</v>
      </c>
      <c r="C102" t="s">
        <v>260</v>
      </c>
      <c r="D102" s="1">
        <v>45787</v>
      </c>
      <c r="E102">
        <v>53850</v>
      </c>
      <c r="F102">
        <v>154</v>
      </c>
      <c r="G102" t="s">
        <v>235</v>
      </c>
      <c r="H102" t="s">
        <v>262</v>
      </c>
      <c r="I102" t="s">
        <v>48</v>
      </c>
      <c r="L102">
        <v>1543300004860</v>
      </c>
      <c r="M102">
        <v>20250409</v>
      </c>
      <c r="N102" t="s">
        <v>279</v>
      </c>
      <c r="Q102" t="s">
        <v>55</v>
      </c>
      <c r="R102">
        <v>34805.199999999997</v>
      </c>
      <c r="T102">
        <v>3715569</v>
      </c>
      <c r="U102">
        <v>5424970654</v>
      </c>
      <c r="V102" t="s">
        <v>265</v>
      </c>
      <c r="W102" t="s">
        <v>53</v>
      </c>
      <c r="X102" t="s">
        <v>266</v>
      </c>
      <c r="Y102" t="s">
        <v>49</v>
      </c>
      <c r="Z102">
        <v>741</v>
      </c>
      <c r="AH102">
        <v>0</v>
      </c>
      <c r="AI102">
        <v>202504</v>
      </c>
      <c r="AJ102" t="s">
        <v>61</v>
      </c>
      <c r="AK102">
        <v>0</v>
      </c>
      <c r="AL102">
        <v>1</v>
      </c>
      <c r="AM102">
        <v>3715569</v>
      </c>
      <c r="AN102">
        <v>1</v>
      </c>
      <c r="AO102">
        <v>0</v>
      </c>
      <c r="AP102">
        <v>999</v>
      </c>
      <c r="AQ102">
        <v>430</v>
      </c>
      <c r="AR102">
        <v>430999</v>
      </c>
      <c r="AT102">
        <v>1</v>
      </c>
      <c r="AU102" t="s">
        <v>54</v>
      </c>
      <c r="AV102">
        <v>25045.55</v>
      </c>
      <c r="AW102">
        <v>26010.331999999999</v>
      </c>
      <c r="AX102">
        <v>27041.058000000001</v>
      </c>
      <c r="AY102">
        <v>28420.708999999999</v>
      </c>
      <c r="AZ102">
        <v>29962.351999999999</v>
      </c>
      <c r="BA102">
        <v>31788.16</v>
      </c>
      <c r="BB102">
        <v>34027.07</v>
      </c>
      <c r="BC102">
        <v>36641.5795</v>
      </c>
      <c r="BD102">
        <v>39840.642</v>
      </c>
      <c r="BE102">
        <v>40000</v>
      </c>
      <c r="BF102">
        <v>41343.269999999997</v>
      </c>
      <c r="BG102">
        <v>44702.324999999997</v>
      </c>
      <c r="BH102">
        <v>49392.076000000001</v>
      </c>
      <c r="BI102">
        <v>58375.907500000008</v>
      </c>
      <c r="BJ102">
        <v>70239.999999999985</v>
      </c>
      <c r="BK102">
        <v>81597.5</v>
      </c>
      <c r="BL102">
        <v>118941.322</v>
      </c>
      <c r="BM102">
        <v>163981.24299999949</v>
      </c>
      <c r="BN102">
        <v>270486.4050000002</v>
      </c>
      <c r="BO102">
        <v>446888.37399999989</v>
      </c>
      <c r="BP102">
        <v>2814221.66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 x14ac:dyDescent="0.35">
      <c r="A103">
        <v>340636</v>
      </c>
      <c r="B103" t="s">
        <v>259</v>
      </c>
      <c r="C103" t="s">
        <v>260</v>
      </c>
      <c r="D103" s="1">
        <v>45787</v>
      </c>
      <c r="E103">
        <v>53850</v>
      </c>
      <c r="F103">
        <v>154</v>
      </c>
      <c r="G103" t="s">
        <v>235</v>
      </c>
      <c r="H103" t="s">
        <v>262</v>
      </c>
      <c r="I103" t="s">
        <v>48</v>
      </c>
      <c r="L103">
        <v>1543300004860</v>
      </c>
      <c r="M103">
        <v>20250422</v>
      </c>
      <c r="N103" t="s">
        <v>263</v>
      </c>
      <c r="Q103" t="s">
        <v>55</v>
      </c>
      <c r="R103">
        <v>25099.07</v>
      </c>
      <c r="T103">
        <v>3715569</v>
      </c>
      <c r="U103">
        <v>5424970654</v>
      </c>
      <c r="V103" t="s">
        <v>265</v>
      </c>
      <c r="W103" t="s">
        <v>53</v>
      </c>
      <c r="X103" t="s">
        <v>266</v>
      </c>
      <c r="Y103" t="s">
        <v>49</v>
      </c>
      <c r="Z103">
        <v>741</v>
      </c>
      <c r="AH103">
        <v>0</v>
      </c>
      <c r="AI103">
        <v>202504</v>
      </c>
      <c r="AJ103" t="s">
        <v>61</v>
      </c>
      <c r="AK103">
        <v>0</v>
      </c>
      <c r="AL103">
        <v>1</v>
      </c>
      <c r="AM103">
        <v>3715569</v>
      </c>
      <c r="AN103">
        <v>1</v>
      </c>
      <c r="AO103">
        <v>0</v>
      </c>
      <c r="AP103">
        <v>999</v>
      </c>
      <c r="AQ103">
        <v>430</v>
      </c>
      <c r="AR103">
        <v>430999</v>
      </c>
      <c r="AT103">
        <v>1</v>
      </c>
      <c r="AU103" t="s">
        <v>54</v>
      </c>
      <c r="AV103">
        <v>25045.55</v>
      </c>
      <c r="AW103">
        <v>26010.331999999999</v>
      </c>
      <c r="AX103">
        <v>27041.058000000001</v>
      </c>
      <c r="AY103">
        <v>28420.708999999999</v>
      </c>
      <c r="AZ103">
        <v>29962.351999999999</v>
      </c>
      <c r="BA103">
        <v>31788.16</v>
      </c>
      <c r="BB103">
        <v>34027.07</v>
      </c>
      <c r="BC103">
        <v>36641.5795</v>
      </c>
      <c r="BD103">
        <v>39840.642</v>
      </c>
      <c r="BE103">
        <v>40000</v>
      </c>
      <c r="BF103">
        <v>41343.269999999997</v>
      </c>
      <c r="BG103">
        <v>44702.324999999997</v>
      </c>
      <c r="BH103">
        <v>49392.076000000001</v>
      </c>
      <c r="BI103">
        <v>58375.907500000008</v>
      </c>
      <c r="BJ103">
        <v>70239.999999999985</v>
      </c>
      <c r="BK103">
        <v>81597.5</v>
      </c>
      <c r="BL103">
        <v>118941.322</v>
      </c>
      <c r="BM103">
        <v>163981.24299999949</v>
      </c>
      <c r="BN103">
        <v>270486.4050000002</v>
      </c>
      <c r="BO103">
        <v>446888.37399999989</v>
      </c>
      <c r="BP103">
        <v>2814221.66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 x14ac:dyDescent="0.35">
      <c r="A104">
        <v>340635</v>
      </c>
      <c r="B104" t="s">
        <v>259</v>
      </c>
      <c r="C104" t="s">
        <v>260</v>
      </c>
      <c r="D104" s="1">
        <v>45787</v>
      </c>
      <c r="E104">
        <v>53850</v>
      </c>
      <c r="F104">
        <v>154</v>
      </c>
      <c r="G104" t="s">
        <v>235</v>
      </c>
      <c r="H104" t="s">
        <v>262</v>
      </c>
      <c r="I104" t="s">
        <v>48</v>
      </c>
      <c r="L104">
        <v>1543300004860</v>
      </c>
      <c r="M104">
        <v>20250429</v>
      </c>
      <c r="N104" t="s">
        <v>263</v>
      </c>
      <c r="Q104" t="s">
        <v>55</v>
      </c>
      <c r="R104">
        <v>42013.07</v>
      </c>
      <c r="T104">
        <v>3715569</v>
      </c>
      <c r="U104">
        <v>5424970654</v>
      </c>
      <c r="V104" t="s">
        <v>265</v>
      </c>
      <c r="W104" t="s">
        <v>53</v>
      </c>
      <c r="X104" t="s">
        <v>266</v>
      </c>
      <c r="Y104" t="s">
        <v>49</v>
      </c>
      <c r="Z104">
        <v>741</v>
      </c>
      <c r="AH104">
        <v>0</v>
      </c>
      <c r="AI104">
        <v>202504</v>
      </c>
      <c r="AJ104" t="s">
        <v>61</v>
      </c>
      <c r="AK104">
        <v>0</v>
      </c>
      <c r="AL104">
        <v>1</v>
      </c>
      <c r="AM104">
        <v>3715569</v>
      </c>
      <c r="AN104">
        <v>1</v>
      </c>
      <c r="AO104">
        <v>0</v>
      </c>
      <c r="AP104">
        <v>999</v>
      </c>
      <c r="AQ104">
        <v>430</v>
      </c>
      <c r="AR104">
        <v>430999</v>
      </c>
      <c r="AT104">
        <v>1</v>
      </c>
      <c r="AU104" t="s">
        <v>54</v>
      </c>
      <c r="AV104">
        <v>25045.55</v>
      </c>
      <c r="AW104">
        <v>26010.331999999999</v>
      </c>
      <c r="AX104">
        <v>27041.058000000001</v>
      </c>
      <c r="AY104">
        <v>28420.708999999999</v>
      </c>
      <c r="AZ104">
        <v>29962.351999999999</v>
      </c>
      <c r="BA104">
        <v>31788.16</v>
      </c>
      <c r="BB104">
        <v>34027.07</v>
      </c>
      <c r="BC104">
        <v>36641.5795</v>
      </c>
      <c r="BD104">
        <v>39840.642</v>
      </c>
      <c r="BE104">
        <v>40000</v>
      </c>
      <c r="BF104">
        <v>41343.269999999997</v>
      </c>
      <c r="BG104">
        <v>44702.324999999997</v>
      </c>
      <c r="BH104">
        <v>49392.076000000001</v>
      </c>
      <c r="BI104">
        <v>58375.907500000008</v>
      </c>
      <c r="BJ104">
        <v>70239.999999999985</v>
      </c>
      <c r="BK104">
        <v>81597.5</v>
      </c>
      <c r="BL104">
        <v>118941.322</v>
      </c>
      <c r="BM104">
        <v>163981.24299999949</v>
      </c>
      <c r="BN104">
        <v>270486.4050000002</v>
      </c>
      <c r="BO104">
        <v>446888.37399999989</v>
      </c>
      <c r="BP104">
        <v>2814221.66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 x14ac:dyDescent="0.35">
      <c r="A105">
        <v>340596</v>
      </c>
      <c r="B105" t="s">
        <v>259</v>
      </c>
      <c r="C105" t="s">
        <v>260</v>
      </c>
      <c r="D105" s="1">
        <v>45787</v>
      </c>
      <c r="E105">
        <v>53850</v>
      </c>
      <c r="F105">
        <v>122</v>
      </c>
      <c r="G105" t="s">
        <v>261</v>
      </c>
      <c r="H105" t="s">
        <v>262</v>
      </c>
      <c r="I105" t="s">
        <v>48</v>
      </c>
      <c r="L105">
        <v>1223300002128</v>
      </c>
      <c r="M105">
        <v>20250410</v>
      </c>
      <c r="N105" t="s">
        <v>263</v>
      </c>
      <c r="Q105" t="s">
        <v>55</v>
      </c>
      <c r="R105">
        <v>26068.880000000001</v>
      </c>
      <c r="T105">
        <v>3711207</v>
      </c>
      <c r="U105">
        <v>8825020723</v>
      </c>
      <c r="V105" t="s">
        <v>264</v>
      </c>
      <c r="W105" t="s">
        <v>53</v>
      </c>
      <c r="X105" t="s">
        <v>57</v>
      </c>
      <c r="Y105" t="s">
        <v>49</v>
      </c>
      <c r="Z105">
        <v>1696</v>
      </c>
      <c r="AH105">
        <v>0</v>
      </c>
      <c r="AI105">
        <v>202504</v>
      </c>
      <c r="AJ105" t="s">
        <v>51</v>
      </c>
      <c r="AK105">
        <v>0</v>
      </c>
      <c r="AL105">
        <v>1</v>
      </c>
      <c r="AO105">
        <v>0</v>
      </c>
      <c r="AP105">
        <v>620</v>
      </c>
      <c r="AQ105">
        <v>430</v>
      </c>
      <c r="AR105">
        <v>430620</v>
      </c>
      <c r="AS105" t="s">
        <v>58</v>
      </c>
      <c r="AU105" t="s">
        <v>58</v>
      </c>
      <c r="AV105">
        <v>25045.55</v>
      </c>
      <c r="AW105">
        <v>26010.331999999999</v>
      </c>
      <c r="AX105">
        <v>27041.058000000001</v>
      </c>
      <c r="AY105">
        <v>28420.708999999999</v>
      </c>
      <c r="AZ105">
        <v>29962.351999999999</v>
      </c>
      <c r="BA105">
        <v>31788.16</v>
      </c>
      <c r="BB105">
        <v>34027.07</v>
      </c>
      <c r="BC105">
        <v>36641.5795</v>
      </c>
      <c r="BD105">
        <v>39840.642</v>
      </c>
      <c r="BE105">
        <v>40000</v>
      </c>
      <c r="BF105">
        <v>41343.269999999997</v>
      </c>
      <c r="BG105">
        <v>44702.324999999997</v>
      </c>
      <c r="BH105">
        <v>49392.076000000001</v>
      </c>
      <c r="BI105">
        <v>58375.907500000008</v>
      </c>
      <c r="BJ105">
        <v>70239.999999999985</v>
      </c>
      <c r="BK105">
        <v>81597.5</v>
      </c>
      <c r="BL105">
        <v>118941.322</v>
      </c>
      <c r="BM105">
        <v>163981.24299999949</v>
      </c>
      <c r="BN105">
        <v>270486.4050000002</v>
      </c>
      <c r="BO105">
        <v>446888.37399999989</v>
      </c>
      <c r="BP105">
        <v>2814221.66</v>
      </c>
      <c r="BQ105">
        <v>1</v>
      </c>
      <c r="BR105">
        <v>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 x14ac:dyDescent="0.35">
      <c r="A106">
        <v>340484</v>
      </c>
      <c r="B106" t="s">
        <v>259</v>
      </c>
      <c r="C106" t="s">
        <v>260</v>
      </c>
      <c r="D106" s="1">
        <v>45787</v>
      </c>
      <c r="E106">
        <v>53850</v>
      </c>
      <c r="F106">
        <v>122</v>
      </c>
      <c r="G106" t="s">
        <v>261</v>
      </c>
      <c r="H106" t="s">
        <v>262</v>
      </c>
      <c r="I106" t="s">
        <v>48</v>
      </c>
      <c r="L106">
        <v>1223300002128</v>
      </c>
      <c r="M106">
        <v>20250424</v>
      </c>
      <c r="N106" t="s">
        <v>263</v>
      </c>
      <c r="Q106" t="s">
        <v>55</v>
      </c>
      <c r="R106">
        <v>27920.959999999999</v>
      </c>
      <c r="T106">
        <v>3711207</v>
      </c>
      <c r="U106">
        <v>8825020723</v>
      </c>
      <c r="V106" t="s">
        <v>264</v>
      </c>
      <c r="W106" t="s">
        <v>53</v>
      </c>
      <c r="X106" t="s">
        <v>57</v>
      </c>
      <c r="Y106" t="s">
        <v>49</v>
      </c>
      <c r="Z106">
        <v>1696</v>
      </c>
      <c r="AH106">
        <v>0</v>
      </c>
      <c r="AI106">
        <v>202504</v>
      </c>
      <c r="AJ106" t="s">
        <v>51</v>
      </c>
      <c r="AK106">
        <v>0</v>
      </c>
      <c r="AL106">
        <v>1</v>
      </c>
      <c r="AO106">
        <v>0</v>
      </c>
      <c r="AP106">
        <v>620</v>
      </c>
      <c r="AQ106">
        <v>430</v>
      </c>
      <c r="AR106">
        <v>430620</v>
      </c>
      <c r="AS106" t="s">
        <v>58</v>
      </c>
      <c r="AU106" t="s">
        <v>58</v>
      </c>
      <c r="AV106">
        <v>25045.55</v>
      </c>
      <c r="AW106">
        <v>26010.331999999999</v>
      </c>
      <c r="AX106">
        <v>27041.058000000001</v>
      </c>
      <c r="AY106">
        <v>28420.708999999999</v>
      </c>
      <c r="AZ106">
        <v>29962.351999999999</v>
      </c>
      <c r="BA106">
        <v>31788.16</v>
      </c>
      <c r="BB106">
        <v>34027.07</v>
      </c>
      <c r="BC106">
        <v>36641.5795</v>
      </c>
      <c r="BD106">
        <v>39840.642</v>
      </c>
      <c r="BE106">
        <v>40000</v>
      </c>
      <c r="BF106">
        <v>41343.269999999997</v>
      </c>
      <c r="BG106">
        <v>44702.324999999997</v>
      </c>
      <c r="BH106">
        <v>49392.076000000001</v>
      </c>
      <c r="BI106">
        <v>58375.907500000008</v>
      </c>
      <c r="BJ106">
        <v>70239.999999999985</v>
      </c>
      <c r="BK106">
        <v>81597.5</v>
      </c>
      <c r="BL106">
        <v>118941.322</v>
      </c>
      <c r="BM106">
        <v>163981.24299999949</v>
      </c>
      <c r="BN106">
        <v>270486.4050000002</v>
      </c>
      <c r="BO106">
        <v>446888.37399999989</v>
      </c>
      <c r="BP106">
        <v>2814221.66</v>
      </c>
      <c r="BQ106">
        <v>1</v>
      </c>
      <c r="BR106">
        <v>1</v>
      </c>
      <c r="BS106">
        <v>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 x14ac:dyDescent="0.35">
      <c r="A107">
        <v>340469</v>
      </c>
      <c r="B107" t="s">
        <v>259</v>
      </c>
      <c r="C107" t="s">
        <v>260</v>
      </c>
      <c r="D107" s="1">
        <v>45787</v>
      </c>
      <c r="E107">
        <v>53850</v>
      </c>
      <c r="F107">
        <v>122</v>
      </c>
      <c r="G107" t="s">
        <v>261</v>
      </c>
      <c r="H107" t="s">
        <v>262</v>
      </c>
      <c r="I107" t="s">
        <v>48</v>
      </c>
      <c r="L107">
        <v>1223300002128</v>
      </c>
      <c r="M107">
        <v>20250424</v>
      </c>
      <c r="N107" t="s">
        <v>263</v>
      </c>
      <c r="Q107" t="s">
        <v>55</v>
      </c>
      <c r="R107">
        <v>66879.039999999994</v>
      </c>
      <c r="T107">
        <v>3711207</v>
      </c>
      <c r="U107">
        <v>8825020723</v>
      </c>
      <c r="V107" t="s">
        <v>264</v>
      </c>
      <c r="W107" t="s">
        <v>53</v>
      </c>
      <c r="X107" t="s">
        <v>57</v>
      </c>
      <c r="Y107" t="s">
        <v>49</v>
      </c>
      <c r="Z107">
        <v>1696</v>
      </c>
      <c r="AH107">
        <v>0</v>
      </c>
      <c r="AI107">
        <v>202504</v>
      </c>
      <c r="AJ107" t="s">
        <v>51</v>
      </c>
      <c r="AK107">
        <v>0</v>
      </c>
      <c r="AL107">
        <v>1</v>
      </c>
      <c r="AO107">
        <v>0</v>
      </c>
      <c r="AP107">
        <v>620</v>
      </c>
      <c r="AQ107">
        <v>430</v>
      </c>
      <c r="AR107">
        <v>430620</v>
      </c>
      <c r="AS107" t="s">
        <v>58</v>
      </c>
      <c r="AU107" t="s">
        <v>58</v>
      </c>
      <c r="AV107">
        <v>25045.55</v>
      </c>
      <c r="AW107">
        <v>26010.331999999999</v>
      </c>
      <c r="AX107">
        <v>27041.058000000001</v>
      </c>
      <c r="AY107">
        <v>28420.708999999999</v>
      </c>
      <c r="AZ107">
        <v>29962.351999999999</v>
      </c>
      <c r="BA107">
        <v>31788.16</v>
      </c>
      <c r="BB107">
        <v>34027.07</v>
      </c>
      <c r="BC107">
        <v>36641.5795</v>
      </c>
      <c r="BD107">
        <v>39840.642</v>
      </c>
      <c r="BE107">
        <v>40000</v>
      </c>
      <c r="BF107">
        <v>41343.269999999997</v>
      </c>
      <c r="BG107">
        <v>44702.324999999997</v>
      </c>
      <c r="BH107">
        <v>49392.076000000001</v>
      </c>
      <c r="BI107">
        <v>58375.907500000008</v>
      </c>
      <c r="BJ107">
        <v>70239.999999999985</v>
      </c>
      <c r="BK107">
        <v>81597.5</v>
      </c>
      <c r="BL107">
        <v>118941.322</v>
      </c>
      <c r="BM107">
        <v>163981.24299999949</v>
      </c>
      <c r="BN107">
        <v>270486.4050000002</v>
      </c>
      <c r="BO107">
        <v>446888.37399999989</v>
      </c>
      <c r="BP107">
        <v>2814221.66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 x14ac:dyDescent="0.35">
      <c r="A108">
        <v>340343</v>
      </c>
      <c r="B108" t="s">
        <v>259</v>
      </c>
      <c r="C108" t="s">
        <v>260</v>
      </c>
      <c r="D108" s="1">
        <v>45787</v>
      </c>
      <c r="E108">
        <v>53850</v>
      </c>
      <c r="F108">
        <v>141</v>
      </c>
      <c r="G108" t="s">
        <v>76</v>
      </c>
      <c r="H108" t="s">
        <v>262</v>
      </c>
      <c r="I108" t="s">
        <v>48</v>
      </c>
      <c r="L108">
        <v>1413300003054</v>
      </c>
      <c r="M108">
        <v>20250423</v>
      </c>
      <c r="N108" t="s">
        <v>263</v>
      </c>
      <c r="Q108" t="s">
        <v>55</v>
      </c>
      <c r="R108">
        <v>44650</v>
      </c>
      <c r="T108">
        <v>4918593</v>
      </c>
      <c r="U108">
        <v>4968980757</v>
      </c>
      <c r="V108" t="s">
        <v>305</v>
      </c>
      <c r="W108" t="s">
        <v>53</v>
      </c>
      <c r="X108" t="s">
        <v>296</v>
      </c>
      <c r="Y108" t="s">
        <v>49</v>
      </c>
      <c r="Z108">
        <v>862</v>
      </c>
      <c r="AH108">
        <v>0</v>
      </c>
      <c r="AI108">
        <v>202504</v>
      </c>
      <c r="AJ108" t="s">
        <v>51</v>
      </c>
      <c r="AK108">
        <v>0</v>
      </c>
      <c r="AL108">
        <v>1</v>
      </c>
      <c r="AO108">
        <v>0</v>
      </c>
      <c r="AP108">
        <v>464</v>
      </c>
      <c r="AQ108">
        <v>430</v>
      </c>
      <c r="AR108">
        <v>430464</v>
      </c>
      <c r="AS108" t="s">
        <v>297</v>
      </c>
      <c r="AU108" t="s">
        <v>297</v>
      </c>
      <c r="AV108">
        <v>25045.55</v>
      </c>
      <c r="AW108">
        <v>26010.331999999999</v>
      </c>
      <c r="AX108">
        <v>27041.058000000001</v>
      </c>
      <c r="AY108">
        <v>28420.708999999999</v>
      </c>
      <c r="AZ108">
        <v>29962.351999999999</v>
      </c>
      <c r="BA108">
        <v>31788.16</v>
      </c>
      <c r="BB108">
        <v>34027.07</v>
      </c>
      <c r="BC108">
        <v>36641.5795</v>
      </c>
      <c r="BD108">
        <v>39840.642</v>
      </c>
      <c r="BE108">
        <v>40000</v>
      </c>
      <c r="BF108">
        <v>41343.269999999997</v>
      </c>
      <c r="BG108">
        <v>44702.324999999997</v>
      </c>
      <c r="BH108">
        <v>49392.076000000001</v>
      </c>
      <c r="BI108">
        <v>58375.907500000008</v>
      </c>
      <c r="BJ108">
        <v>70239.999999999985</v>
      </c>
      <c r="BK108">
        <v>81597.5</v>
      </c>
      <c r="BL108">
        <v>118941.322</v>
      </c>
      <c r="BM108">
        <v>163981.24299999949</v>
      </c>
      <c r="BN108">
        <v>270486.4050000002</v>
      </c>
      <c r="BO108">
        <v>446888.37399999989</v>
      </c>
      <c r="BP108">
        <v>2814221.66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 x14ac:dyDescent="0.35">
      <c r="A109">
        <v>340288</v>
      </c>
      <c r="B109" t="s">
        <v>259</v>
      </c>
      <c r="C109" t="s">
        <v>260</v>
      </c>
      <c r="D109" s="1">
        <v>45787</v>
      </c>
      <c r="E109">
        <v>53850</v>
      </c>
      <c r="F109">
        <v>273</v>
      </c>
      <c r="G109" t="s">
        <v>52</v>
      </c>
      <c r="H109" t="s">
        <v>262</v>
      </c>
      <c r="I109" t="s">
        <v>48</v>
      </c>
      <c r="L109">
        <v>2733300001403</v>
      </c>
      <c r="M109">
        <v>20250403</v>
      </c>
      <c r="N109" t="s">
        <v>263</v>
      </c>
      <c r="Q109" t="s">
        <v>55</v>
      </c>
      <c r="R109">
        <v>221462.01</v>
      </c>
      <c r="T109">
        <v>1649237</v>
      </c>
      <c r="U109">
        <v>2545430692</v>
      </c>
      <c r="V109" t="s">
        <v>306</v>
      </c>
      <c r="W109" t="s">
        <v>53</v>
      </c>
      <c r="X109" t="s">
        <v>307</v>
      </c>
      <c r="Y109" t="s">
        <v>49</v>
      </c>
      <c r="Z109">
        <v>1765</v>
      </c>
      <c r="AH109">
        <v>0</v>
      </c>
      <c r="AI109">
        <v>202504</v>
      </c>
      <c r="AJ109" t="s">
        <v>51</v>
      </c>
      <c r="AK109">
        <v>0</v>
      </c>
      <c r="AL109">
        <v>1</v>
      </c>
      <c r="AO109">
        <v>0</v>
      </c>
      <c r="AP109">
        <v>999</v>
      </c>
      <c r="AQ109">
        <v>430</v>
      </c>
      <c r="AR109">
        <v>430999</v>
      </c>
      <c r="AT109">
        <v>1</v>
      </c>
      <c r="AU109" t="s">
        <v>54</v>
      </c>
      <c r="AV109">
        <v>25045.55</v>
      </c>
      <c r="AW109">
        <v>26010.331999999999</v>
      </c>
      <c r="AX109">
        <v>27041.058000000001</v>
      </c>
      <c r="AY109">
        <v>28420.708999999999</v>
      </c>
      <c r="AZ109">
        <v>29962.351999999999</v>
      </c>
      <c r="BA109">
        <v>31788.16</v>
      </c>
      <c r="BB109">
        <v>34027.07</v>
      </c>
      <c r="BC109">
        <v>36641.5795</v>
      </c>
      <c r="BD109">
        <v>39840.642</v>
      </c>
      <c r="BE109">
        <v>40000</v>
      </c>
      <c r="BF109">
        <v>41343.269999999997</v>
      </c>
      <c r="BG109">
        <v>44702.324999999997</v>
      </c>
      <c r="BH109">
        <v>49392.076000000001</v>
      </c>
      <c r="BI109">
        <v>58375.907500000008</v>
      </c>
      <c r="BJ109">
        <v>70239.999999999985</v>
      </c>
      <c r="BK109">
        <v>81597.5</v>
      </c>
      <c r="BL109">
        <v>118941.322</v>
      </c>
      <c r="BM109">
        <v>163981.24299999949</v>
      </c>
      <c r="BN109">
        <v>270486.4050000002</v>
      </c>
      <c r="BO109">
        <v>446888.37399999989</v>
      </c>
      <c r="BP109">
        <v>2814221.66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0</v>
      </c>
      <c r="CJ109">
        <v>0</v>
      </c>
      <c r="CK109">
        <v>0</v>
      </c>
    </row>
    <row r="110" spans="1:89" x14ac:dyDescent="0.35">
      <c r="A110">
        <v>340254</v>
      </c>
      <c r="B110" t="s">
        <v>259</v>
      </c>
      <c r="C110" t="s">
        <v>260</v>
      </c>
      <c r="D110" s="1">
        <v>45787</v>
      </c>
      <c r="E110">
        <v>53850</v>
      </c>
      <c r="F110">
        <v>108</v>
      </c>
      <c r="G110" t="s">
        <v>88</v>
      </c>
      <c r="H110" t="s">
        <v>262</v>
      </c>
      <c r="I110" t="s">
        <v>48</v>
      </c>
      <c r="L110">
        <v>1083300011180</v>
      </c>
      <c r="M110">
        <v>20250424</v>
      </c>
      <c r="N110" t="s">
        <v>279</v>
      </c>
      <c r="Q110" t="s">
        <v>55</v>
      </c>
      <c r="R110">
        <v>140083.78</v>
      </c>
      <c r="T110">
        <v>1118</v>
      </c>
      <c r="U110">
        <v>3246700722</v>
      </c>
      <c r="V110" t="s">
        <v>302</v>
      </c>
      <c r="W110" t="s">
        <v>53</v>
      </c>
      <c r="X110" t="s">
        <v>286</v>
      </c>
      <c r="Y110" t="s">
        <v>49</v>
      </c>
      <c r="Z110">
        <v>1058</v>
      </c>
      <c r="AH110">
        <v>0</v>
      </c>
      <c r="AI110">
        <v>202504</v>
      </c>
      <c r="AJ110" t="s">
        <v>51</v>
      </c>
      <c r="AK110">
        <v>0</v>
      </c>
      <c r="AL110">
        <v>1</v>
      </c>
      <c r="AO110">
        <v>0</v>
      </c>
      <c r="AP110">
        <v>999</v>
      </c>
      <c r="AQ110">
        <v>430</v>
      </c>
      <c r="AR110">
        <v>430999</v>
      </c>
      <c r="AT110">
        <v>1</v>
      </c>
      <c r="AU110" t="s">
        <v>54</v>
      </c>
      <c r="AV110">
        <v>25045.55</v>
      </c>
      <c r="AW110">
        <v>26010.331999999999</v>
      </c>
      <c r="AX110">
        <v>27041.058000000001</v>
      </c>
      <c r="AY110">
        <v>28420.708999999999</v>
      </c>
      <c r="AZ110">
        <v>29962.351999999999</v>
      </c>
      <c r="BA110">
        <v>31788.16</v>
      </c>
      <c r="BB110">
        <v>34027.07</v>
      </c>
      <c r="BC110">
        <v>36641.5795</v>
      </c>
      <c r="BD110">
        <v>39840.642</v>
      </c>
      <c r="BE110">
        <v>40000</v>
      </c>
      <c r="BF110">
        <v>41343.269999999997</v>
      </c>
      <c r="BG110">
        <v>44702.324999999997</v>
      </c>
      <c r="BH110">
        <v>49392.076000000001</v>
      </c>
      <c r="BI110">
        <v>58375.907500000008</v>
      </c>
      <c r="BJ110">
        <v>70239.999999999985</v>
      </c>
      <c r="BK110">
        <v>81597.5</v>
      </c>
      <c r="BL110">
        <v>118941.322</v>
      </c>
      <c r="BM110">
        <v>163981.24299999949</v>
      </c>
      <c r="BN110">
        <v>270486.4050000002</v>
      </c>
      <c r="BO110">
        <v>446888.37399999989</v>
      </c>
      <c r="BP110">
        <v>2814221.66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0</v>
      </c>
      <c r="CI110">
        <v>0</v>
      </c>
      <c r="CJ110">
        <v>0</v>
      </c>
      <c r="CK110">
        <v>0</v>
      </c>
    </row>
    <row r="111" spans="1:89" x14ac:dyDescent="0.35">
      <c r="A111">
        <v>340188</v>
      </c>
      <c r="B111" t="s">
        <v>259</v>
      </c>
      <c r="C111" t="s">
        <v>260</v>
      </c>
      <c r="D111" s="1">
        <v>45787</v>
      </c>
      <c r="E111">
        <v>53850</v>
      </c>
      <c r="F111">
        <v>109</v>
      </c>
      <c r="G111" t="s">
        <v>65</v>
      </c>
      <c r="H111" t="s">
        <v>262</v>
      </c>
      <c r="I111" t="s">
        <v>48</v>
      </c>
      <c r="L111">
        <v>1093306674353</v>
      </c>
      <c r="M111">
        <v>20250417</v>
      </c>
      <c r="N111" t="s">
        <v>263</v>
      </c>
      <c r="Q111" t="s">
        <v>55</v>
      </c>
      <c r="R111">
        <v>77379.33</v>
      </c>
      <c r="T111">
        <v>4916449</v>
      </c>
      <c r="U111">
        <v>8176830720</v>
      </c>
      <c r="V111" t="s">
        <v>288</v>
      </c>
      <c r="W111" t="s">
        <v>53</v>
      </c>
      <c r="X111" t="s">
        <v>177</v>
      </c>
      <c r="Y111" t="s">
        <v>49</v>
      </c>
      <c r="Z111">
        <v>1903</v>
      </c>
      <c r="AH111">
        <v>0</v>
      </c>
      <c r="AI111">
        <v>202504</v>
      </c>
      <c r="AJ111" t="s">
        <v>61</v>
      </c>
      <c r="AK111">
        <v>0</v>
      </c>
      <c r="AL111">
        <v>1</v>
      </c>
      <c r="AO111">
        <v>0</v>
      </c>
      <c r="AP111">
        <v>451</v>
      </c>
      <c r="AQ111">
        <v>430</v>
      </c>
      <c r="AR111">
        <v>430451</v>
      </c>
      <c r="AS111" t="s">
        <v>58</v>
      </c>
      <c r="AU111" t="s">
        <v>58</v>
      </c>
      <c r="AV111">
        <v>25045.55</v>
      </c>
      <c r="AW111">
        <v>26010.331999999999</v>
      </c>
      <c r="AX111">
        <v>27041.058000000001</v>
      </c>
      <c r="AY111">
        <v>28420.708999999999</v>
      </c>
      <c r="AZ111">
        <v>29962.351999999999</v>
      </c>
      <c r="BA111">
        <v>31788.16</v>
      </c>
      <c r="BB111">
        <v>34027.07</v>
      </c>
      <c r="BC111">
        <v>36641.5795</v>
      </c>
      <c r="BD111">
        <v>39840.642</v>
      </c>
      <c r="BE111">
        <v>40000</v>
      </c>
      <c r="BF111">
        <v>41343.269999999997</v>
      </c>
      <c r="BG111">
        <v>44702.324999999997</v>
      </c>
      <c r="BH111">
        <v>49392.076000000001</v>
      </c>
      <c r="BI111">
        <v>58375.907500000008</v>
      </c>
      <c r="BJ111">
        <v>70239.999999999985</v>
      </c>
      <c r="BK111">
        <v>81597.5</v>
      </c>
      <c r="BL111">
        <v>118941.322</v>
      </c>
      <c r="BM111">
        <v>163981.24299999949</v>
      </c>
      <c r="BN111">
        <v>270486.4050000002</v>
      </c>
      <c r="BO111">
        <v>446888.37399999989</v>
      </c>
      <c r="BP111">
        <v>2814221.66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 x14ac:dyDescent="0.35">
      <c r="A112">
        <v>340138</v>
      </c>
      <c r="B112" t="s">
        <v>259</v>
      </c>
      <c r="C112" t="s">
        <v>260</v>
      </c>
      <c r="D112" s="1">
        <v>45787</v>
      </c>
      <c r="E112">
        <v>53850</v>
      </c>
      <c r="F112">
        <v>153</v>
      </c>
      <c r="G112" t="s">
        <v>81</v>
      </c>
      <c r="H112" t="s">
        <v>262</v>
      </c>
      <c r="I112" t="s">
        <v>48</v>
      </c>
      <c r="L112">
        <v>1533300663959</v>
      </c>
      <c r="M112">
        <v>20250407</v>
      </c>
      <c r="N112" t="s">
        <v>263</v>
      </c>
      <c r="Q112" t="s">
        <v>55</v>
      </c>
      <c r="R112">
        <v>49500</v>
      </c>
      <c r="T112">
        <v>3721097</v>
      </c>
      <c r="U112">
        <v>10391641213</v>
      </c>
      <c r="V112" t="s">
        <v>270</v>
      </c>
      <c r="W112" t="s">
        <v>53</v>
      </c>
      <c r="X112" t="s">
        <v>83</v>
      </c>
      <c r="Y112" t="s">
        <v>49</v>
      </c>
      <c r="Z112">
        <v>1237</v>
      </c>
      <c r="AH112">
        <v>0</v>
      </c>
      <c r="AI112">
        <v>202504</v>
      </c>
      <c r="AJ112" t="s">
        <v>61</v>
      </c>
      <c r="AK112">
        <v>0</v>
      </c>
      <c r="AL112">
        <v>1</v>
      </c>
      <c r="AO112">
        <v>0</v>
      </c>
      <c r="AP112">
        <v>462</v>
      </c>
      <c r="AQ112">
        <v>430</v>
      </c>
      <c r="AR112">
        <v>430462</v>
      </c>
      <c r="AS112" t="s">
        <v>58</v>
      </c>
      <c r="AU112" t="s">
        <v>58</v>
      </c>
      <c r="AV112">
        <v>25045.55</v>
      </c>
      <c r="AW112">
        <v>26010.331999999999</v>
      </c>
      <c r="AX112">
        <v>27041.058000000001</v>
      </c>
      <c r="AY112">
        <v>28420.708999999999</v>
      </c>
      <c r="AZ112">
        <v>29962.351999999999</v>
      </c>
      <c r="BA112">
        <v>31788.16</v>
      </c>
      <c r="BB112">
        <v>34027.07</v>
      </c>
      <c r="BC112">
        <v>36641.5795</v>
      </c>
      <c r="BD112">
        <v>39840.642</v>
      </c>
      <c r="BE112">
        <v>40000</v>
      </c>
      <c r="BF112">
        <v>41343.269999999997</v>
      </c>
      <c r="BG112">
        <v>44702.324999999997</v>
      </c>
      <c r="BH112">
        <v>49392.076000000001</v>
      </c>
      <c r="BI112">
        <v>58375.907500000008</v>
      </c>
      <c r="BJ112">
        <v>70239.999999999985</v>
      </c>
      <c r="BK112">
        <v>81597.5</v>
      </c>
      <c r="BL112">
        <v>118941.322</v>
      </c>
      <c r="BM112">
        <v>163981.24299999949</v>
      </c>
      <c r="BN112">
        <v>270486.4050000002</v>
      </c>
      <c r="BO112">
        <v>446888.37399999989</v>
      </c>
      <c r="BP112">
        <v>2814221.66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 x14ac:dyDescent="0.35">
      <c r="A113">
        <v>339984</v>
      </c>
      <c r="B113" t="s">
        <v>259</v>
      </c>
      <c r="C113" t="s">
        <v>260</v>
      </c>
      <c r="D113" s="1">
        <v>45787</v>
      </c>
      <c r="E113">
        <v>53850</v>
      </c>
      <c r="F113">
        <v>122</v>
      </c>
      <c r="G113" t="s">
        <v>261</v>
      </c>
      <c r="H113" t="s">
        <v>262</v>
      </c>
      <c r="I113" t="s">
        <v>48</v>
      </c>
      <c r="L113">
        <v>1223300002128</v>
      </c>
      <c r="M113">
        <v>20250424</v>
      </c>
      <c r="N113" t="s">
        <v>263</v>
      </c>
      <c r="Q113" t="s">
        <v>55</v>
      </c>
      <c r="R113">
        <v>89541.9</v>
      </c>
      <c r="T113">
        <v>3711207</v>
      </c>
      <c r="U113">
        <v>8825020723</v>
      </c>
      <c r="V113" t="s">
        <v>264</v>
      </c>
      <c r="W113" t="s">
        <v>53</v>
      </c>
      <c r="X113" t="s">
        <v>57</v>
      </c>
      <c r="Y113" t="s">
        <v>49</v>
      </c>
      <c r="Z113">
        <v>1696</v>
      </c>
      <c r="AH113">
        <v>0</v>
      </c>
      <c r="AI113">
        <v>202504</v>
      </c>
      <c r="AJ113" t="s">
        <v>51</v>
      </c>
      <c r="AK113">
        <v>0</v>
      </c>
      <c r="AL113">
        <v>1</v>
      </c>
      <c r="AO113">
        <v>0</v>
      </c>
      <c r="AP113">
        <v>620</v>
      </c>
      <c r="AQ113">
        <v>430</v>
      </c>
      <c r="AR113">
        <v>430620</v>
      </c>
      <c r="AS113" t="s">
        <v>58</v>
      </c>
      <c r="AU113" t="s">
        <v>58</v>
      </c>
      <c r="AV113">
        <v>25045.55</v>
      </c>
      <c r="AW113">
        <v>26010.331999999999</v>
      </c>
      <c r="AX113">
        <v>27041.058000000001</v>
      </c>
      <c r="AY113">
        <v>28420.708999999999</v>
      </c>
      <c r="AZ113">
        <v>29962.351999999999</v>
      </c>
      <c r="BA113">
        <v>31788.16</v>
      </c>
      <c r="BB113">
        <v>34027.07</v>
      </c>
      <c r="BC113">
        <v>36641.5795</v>
      </c>
      <c r="BD113">
        <v>39840.642</v>
      </c>
      <c r="BE113">
        <v>40000</v>
      </c>
      <c r="BF113">
        <v>41343.269999999997</v>
      </c>
      <c r="BG113">
        <v>44702.324999999997</v>
      </c>
      <c r="BH113">
        <v>49392.076000000001</v>
      </c>
      <c r="BI113">
        <v>58375.907500000008</v>
      </c>
      <c r="BJ113">
        <v>70239.999999999985</v>
      </c>
      <c r="BK113">
        <v>81597.5</v>
      </c>
      <c r="BL113">
        <v>118941.322</v>
      </c>
      <c r="BM113">
        <v>163981.24299999949</v>
      </c>
      <c r="BN113">
        <v>270486.4050000002</v>
      </c>
      <c r="BO113">
        <v>446888.37399999989</v>
      </c>
      <c r="BP113">
        <v>2814221.66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 x14ac:dyDescent="0.35">
      <c r="A114">
        <v>339975</v>
      </c>
      <c r="B114" t="s">
        <v>259</v>
      </c>
      <c r="C114" t="s">
        <v>260</v>
      </c>
      <c r="D114" s="1">
        <v>45787</v>
      </c>
      <c r="E114">
        <v>53850</v>
      </c>
      <c r="F114">
        <v>261</v>
      </c>
      <c r="G114" t="s">
        <v>78</v>
      </c>
      <c r="H114" t="s">
        <v>262</v>
      </c>
      <c r="I114" t="s">
        <v>48</v>
      </c>
      <c r="L114">
        <v>2613300010205</v>
      </c>
      <c r="M114">
        <v>20250423</v>
      </c>
      <c r="N114" t="s">
        <v>263</v>
      </c>
      <c r="Q114" t="s">
        <v>55</v>
      </c>
      <c r="R114">
        <v>30052.75</v>
      </c>
      <c r="T114">
        <v>4991786</v>
      </c>
      <c r="U114">
        <v>993400944</v>
      </c>
      <c r="V114" t="s">
        <v>247</v>
      </c>
      <c r="W114" t="s">
        <v>53</v>
      </c>
      <c r="X114" t="s">
        <v>237</v>
      </c>
      <c r="Y114" t="s">
        <v>49</v>
      </c>
      <c r="Z114">
        <v>1782</v>
      </c>
      <c r="AH114">
        <v>0</v>
      </c>
      <c r="AI114">
        <v>202504</v>
      </c>
      <c r="AJ114" t="s">
        <v>61</v>
      </c>
      <c r="AK114">
        <v>0</v>
      </c>
      <c r="AL114">
        <v>1</v>
      </c>
      <c r="AM114">
        <v>4991786</v>
      </c>
      <c r="AN114">
        <v>1</v>
      </c>
      <c r="AO114">
        <v>0</v>
      </c>
      <c r="AP114">
        <v>999</v>
      </c>
      <c r="AQ114">
        <v>430</v>
      </c>
      <c r="AR114">
        <v>430999</v>
      </c>
      <c r="AT114">
        <v>1</v>
      </c>
      <c r="AU114" t="s">
        <v>54</v>
      </c>
      <c r="AV114">
        <v>25045.55</v>
      </c>
      <c r="AW114">
        <v>26010.331999999999</v>
      </c>
      <c r="AX114">
        <v>27041.058000000001</v>
      </c>
      <c r="AY114">
        <v>28420.708999999999</v>
      </c>
      <c r="AZ114">
        <v>29962.351999999999</v>
      </c>
      <c r="BA114">
        <v>31788.16</v>
      </c>
      <c r="BB114">
        <v>34027.07</v>
      </c>
      <c r="BC114">
        <v>36641.5795</v>
      </c>
      <c r="BD114">
        <v>39840.642</v>
      </c>
      <c r="BE114">
        <v>40000</v>
      </c>
      <c r="BF114">
        <v>41343.269999999997</v>
      </c>
      <c r="BG114">
        <v>44702.324999999997</v>
      </c>
      <c r="BH114">
        <v>49392.076000000001</v>
      </c>
      <c r="BI114">
        <v>58375.907500000008</v>
      </c>
      <c r="BJ114">
        <v>70239.999999999985</v>
      </c>
      <c r="BK114">
        <v>81597.5</v>
      </c>
      <c r="BL114">
        <v>118941.322</v>
      </c>
      <c r="BM114">
        <v>163981.24299999949</v>
      </c>
      <c r="BN114">
        <v>270486.4050000002</v>
      </c>
      <c r="BO114">
        <v>446888.37399999989</v>
      </c>
      <c r="BP114">
        <v>2814221.66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 x14ac:dyDescent="0.35">
      <c r="A115">
        <v>339909</v>
      </c>
      <c r="B115" t="s">
        <v>259</v>
      </c>
      <c r="C115" t="s">
        <v>260</v>
      </c>
      <c r="D115" s="1">
        <v>45787</v>
      </c>
      <c r="E115">
        <v>53850</v>
      </c>
      <c r="F115">
        <v>122</v>
      </c>
      <c r="G115" t="s">
        <v>261</v>
      </c>
      <c r="H115" t="s">
        <v>262</v>
      </c>
      <c r="I115" t="s">
        <v>48</v>
      </c>
      <c r="L115">
        <v>1223300002128</v>
      </c>
      <c r="M115">
        <v>20250410</v>
      </c>
      <c r="N115" t="s">
        <v>263</v>
      </c>
      <c r="Q115" t="s">
        <v>55</v>
      </c>
      <c r="R115">
        <v>26068.880000000001</v>
      </c>
      <c r="T115">
        <v>3711207</v>
      </c>
      <c r="U115">
        <v>8825020723</v>
      </c>
      <c r="V115" t="s">
        <v>264</v>
      </c>
      <c r="W115" t="s">
        <v>53</v>
      </c>
      <c r="X115" t="s">
        <v>57</v>
      </c>
      <c r="Y115" t="s">
        <v>49</v>
      </c>
      <c r="Z115">
        <v>1696</v>
      </c>
      <c r="AH115">
        <v>0</v>
      </c>
      <c r="AI115">
        <v>202504</v>
      </c>
      <c r="AJ115" t="s">
        <v>51</v>
      </c>
      <c r="AK115">
        <v>0</v>
      </c>
      <c r="AL115">
        <v>1</v>
      </c>
      <c r="AO115">
        <v>0</v>
      </c>
      <c r="AP115">
        <v>620</v>
      </c>
      <c r="AQ115">
        <v>430</v>
      </c>
      <c r="AR115">
        <v>430620</v>
      </c>
      <c r="AS115" t="s">
        <v>58</v>
      </c>
      <c r="AU115" t="s">
        <v>58</v>
      </c>
      <c r="AV115">
        <v>25045.55</v>
      </c>
      <c r="AW115">
        <v>26010.331999999999</v>
      </c>
      <c r="AX115">
        <v>27041.058000000001</v>
      </c>
      <c r="AY115">
        <v>28420.708999999999</v>
      </c>
      <c r="AZ115">
        <v>29962.351999999999</v>
      </c>
      <c r="BA115">
        <v>31788.16</v>
      </c>
      <c r="BB115">
        <v>34027.07</v>
      </c>
      <c r="BC115">
        <v>36641.5795</v>
      </c>
      <c r="BD115">
        <v>39840.642</v>
      </c>
      <c r="BE115">
        <v>40000</v>
      </c>
      <c r="BF115">
        <v>41343.269999999997</v>
      </c>
      <c r="BG115">
        <v>44702.324999999997</v>
      </c>
      <c r="BH115">
        <v>49392.076000000001</v>
      </c>
      <c r="BI115">
        <v>58375.907500000008</v>
      </c>
      <c r="BJ115">
        <v>70239.999999999985</v>
      </c>
      <c r="BK115">
        <v>81597.5</v>
      </c>
      <c r="BL115">
        <v>118941.322</v>
      </c>
      <c r="BM115">
        <v>163981.24299999949</v>
      </c>
      <c r="BN115">
        <v>270486.4050000002</v>
      </c>
      <c r="BO115">
        <v>446888.37399999989</v>
      </c>
      <c r="BP115">
        <v>2814221.66</v>
      </c>
      <c r="BQ115">
        <v>1</v>
      </c>
      <c r="BR115">
        <v>1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 x14ac:dyDescent="0.35">
      <c r="A116">
        <v>339900</v>
      </c>
      <c r="B116" t="s">
        <v>259</v>
      </c>
      <c r="C116" t="s">
        <v>260</v>
      </c>
      <c r="D116" s="1">
        <v>45787</v>
      </c>
      <c r="E116">
        <v>53850</v>
      </c>
      <c r="F116">
        <v>132</v>
      </c>
      <c r="G116" t="s">
        <v>161</v>
      </c>
      <c r="H116" t="s">
        <v>262</v>
      </c>
      <c r="I116" t="s">
        <v>48</v>
      </c>
      <c r="L116">
        <v>1323300003714</v>
      </c>
      <c r="M116">
        <v>20250415</v>
      </c>
      <c r="N116" t="s">
        <v>263</v>
      </c>
      <c r="Q116" t="s">
        <v>55</v>
      </c>
      <c r="R116">
        <v>25700.400000000001</v>
      </c>
      <c r="T116">
        <v>3724103</v>
      </c>
      <c r="U116">
        <v>2178850760</v>
      </c>
      <c r="V116" t="s">
        <v>284</v>
      </c>
      <c r="W116" t="s">
        <v>53</v>
      </c>
      <c r="X116" t="s">
        <v>283</v>
      </c>
      <c r="Y116" t="s">
        <v>49</v>
      </c>
      <c r="Z116">
        <v>823</v>
      </c>
      <c r="AH116">
        <v>0</v>
      </c>
      <c r="AI116">
        <v>202504</v>
      </c>
      <c r="AJ116" t="s">
        <v>51</v>
      </c>
      <c r="AK116">
        <v>0</v>
      </c>
      <c r="AL116">
        <v>1</v>
      </c>
      <c r="AO116">
        <v>0</v>
      </c>
      <c r="AP116">
        <v>999</v>
      </c>
      <c r="AQ116">
        <v>430</v>
      </c>
      <c r="AR116">
        <v>430999</v>
      </c>
      <c r="AT116">
        <v>1</v>
      </c>
      <c r="AU116" t="s">
        <v>54</v>
      </c>
      <c r="AV116">
        <v>25045.55</v>
      </c>
      <c r="AW116">
        <v>26010.331999999999</v>
      </c>
      <c r="AX116">
        <v>27041.058000000001</v>
      </c>
      <c r="AY116">
        <v>28420.708999999999</v>
      </c>
      <c r="AZ116">
        <v>29962.351999999999</v>
      </c>
      <c r="BA116">
        <v>31788.16</v>
      </c>
      <c r="BB116">
        <v>34027.07</v>
      </c>
      <c r="BC116">
        <v>36641.5795</v>
      </c>
      <c r="BD116">
        <v>39840.642</v>
      </c>
      <c r="BE116">
        <v>40000</v>
      </c>
      <c r="BF116">
        <v>41343.269999999997</v>
      </c>
      <c r="BG116">
        <v>44702.324999999997</v>
      </c>
      <c r="BH116">
        <v>49392.076000000001</v>
      </c>
      <c r="BI116">
        <v>58375.907500000008</v>
      </c>
      <c r="BJ116">
        <v>70239.999999999985</v>
      </c>
      <c r="BK116">
        <v>81597.5</v>
      </c>
      <c r="BL116">
        <v>118941.322</v>
      </c>
      <c r="BM116">
        <v>163981.24299999949</v>
      </c>
      <c r="BN116">
        <v>270486.4050000002</v>
      </c>
      <c r="BO116">
        <v>446888.37399999989</v>
      </c>
      <c r="BP116">
        <v>2814221.66</v>
      </c>
      <c r="BQ116">
        <v>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 x14ac:dyDescent="0.35">
      <c r="A117">
        <v>339568</v>
      </c>
      <c r="B117" t="s">
        <v>259</v>
      </c>
      <c r="C117" t="s">
        <v>260</v>
      </c>
      <c r="D117" s="1">
        <v>45787</v>
      </c>
      <c r="E117">
        <v>53850</v>
      </c>
      <c r="F117">
        <v>125</v>
      </c>
      <c r="G117" t="s">
        <v>277</v>
      </c>
      <c r="H117" t="s">
        <v>262</v>
      </c>
      <c r="I117" t="s">
        <v>48</v>
      </c>
      <c r="L117">
        <v>1253309512895</v>
      </c>
      <c r="M117">
        <v>20250403</v>
      </c>
      <c r="N117" t="s">
        <v>263</v>
      </c>
      <c r="Q117" t="s">
        <v>55</v>
      </c>
      <c r="R117">
        <v>38656.800000000003</v>
      </c>
      <c r="T117">
        <v>4795279</v>
      </c>
      <c r="U117">
        <v>1020090658</v>
      </c>
      <c r="V117" t="s">
        <v>278</v>
      </c>
      <c r="W117" t="s">
        <v>53</v>
      </c>
      <c r="X117" t="s">
        <v>237</v>
      </c>
      <c r="Y117" t="s">
        <v>49</v>
      </c>
      <c r="Z117">
        <v>982</v>
      </c>
      <c r="AH117">
        <v>0</v>
      </c>
      <c r="AI117">
        <v>202504</v>
      </c>
      <c r="AJ117" t="s">
        <v>51</v>
      </c>
      <c r="AK117">
        <v>0</v>
      </c>
      <c r="AL117">
        <v>1</v>
      </c>
      <c r="AO117">
        <v>0</v>
      </c>
      <c r="AP117">
        <v>999</v>
      </c>
      <c r="AQ117">
        <v>430</v>
      </c>
      <c r="AR117">
        <v>430999</v>
      </c>
      <c r="AT117">
        <v>1</v>
      </c>
      <c r="AU117" t="s">
        <v>54</v>
      </c>
      <c r="AV117">
        <v>25045.55</v>
      </c>
      <c r="AW117">
        <v>26010.331999999999</v>
      </c>
      <c r="AX117">
        <v>27041.058000000001</v>
      </c>
      <c r="AY117">
        <v>28420.708999999999</v>
      </c>
      <c r="AZ117">
        <v>29962.351999999999</v>
      </c>
      <c r="BA117">
        <v>31788.16</v>
      </c>
      <c r="BB117">
        <v>34027.07</v>
      </c>
      <c r="BC117">
        <v>36641.5795</v>
      </c>
      <c r="BD117">
        <v>39840.642</v>
      </c>
      <c r="BE117">
        <v>40000</v>
      </c>
      <c r="BF117">
        <v>41343.269999999997</v>
      </c>
      <c r="BG117">
        <v>44702.324999999997</v>
      </c>
      <c r="BH117">
        <v>49392.076000000001</v>
      </c>
      <c r="BI117">
        <v>58375.907500000008</v>
      </c>
      <c r="BJ117">
        <v>70239.999999999985</v>
      </c>
      <c r="BK117">
        <v>81597.5</v>
      </c>
      <c r="BL117">
        <v>118941.322</v>
      </c>
      <c r="BM117">
        <v>163981.24299999949</v>
      </c>
      <c r="BN117">
        <v>270486.4050000002</v>
      </c>
      <c r="BO117">
        <v>446888.37399999989</v>
      </c>
      <c r="BP117">
        <v>2814221.66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 x14ac:dyDescent="0.35">
      <c r="A118">
        <v>339514</v>
      </c>
      <c r="B118" t="s">
        <v>259</v>
      </c>
      <c r="C118" t="s">
        <v>260</v>
      </c>
      <c r="D118" s="1">
        <v>45787</v>
      </c>
      <c r="E118">
        <v>53850</v>
      </c>
      <c r="F118">
        <v>148</v>
      </c>
      <c r="G118" t="s">
        <v>90</v>
      </c>
      <c r="H118" t="s">
        <v>262</v>
      </c>
      <c r="I118" t="s">
        <v>48</v>
      </c>
      <c r="L118">
        <v>1483300006067</v>
      </c>
      <c r="M118">
        <v>20250414</v>
      </c>
      <c r="N118" t="s">
        <v>263</v>
      </c>
      <c r="Q118" t="s">
        <v>55</v>
      </c>
      <c r="R118">
        <v>42956.67</v>
      </c>
      <c r="T118">
        <v>3737044</v>
      </c>
      <c r="U118">
        <v>15554071009</v>
      </c>
      <c r="V118" t="s">
        <v>282</v>
      </c>
      <c r="W118" t="s">
        <v>53</v>
      </c>
      <c r="X118" t="s">
        <v>283</v>
      </c>
      <c r="Y118" t="s">
        <v>49</v>
      </c>
      <c r="Z118">
        <v>1196</v>
      </c>
      <c r="AH118">
        <v>0</v>
      </c>
      <c r="AI118">
        <v>202504</v>
      </c>
      <c r="AJ118" t="s">
        <v>61</v>
      </c>
      <c r="AK118">
        <v>0</v>
      </c>
      <c r="AL118">
        <v>1</v>
      </c>
      <c r="AO118">
        <v>0</v>
      </c>
      <c r="AP118">
        <v>999</v>
      </c>
      <c r="AQ118">
        <v>430</v>
      </c>
      <c r="AR118">
        <v>430999</v>
      </c>
      <c r="AT118">
        <v>1</v>
      </c>
      <c r="AU118" t="s">
        <v>54</v>
      </c>
      <c r="AV118">
        <v>25045.55</v>
      </c>
      <c r="AW118">
        <v>26010.331999999999</v>
      </c>
      <c r="AX118">
        <v>27041.058000000001</v>
      </c>
      <c r="AY118">
        <v>28420.708999999999</v>
      </c>
      <c r="AZ118">
        <v>29962.351999999999</v>
      </c>
      <c r="BA118">
        <v>31788.16</v>
      </c>
      <c r="BB118">
        <v>34027.07</v>
      </c>
      <c r="BC118">
        <v>36641.5795</v>
      </c>
      <c r="BD118">
        <v>39840.642</v>
      </c>
      <c r="BE118">
        <v>40000</v>
      </c>
      <c r="BF118">
        <v>41343.269999999997</v>
      </c>
      <c r="BG118">
        <v>44702.324999999997</v>
      </c>
      <c r="BH118">
        <v>49392.076000000001</v>
      </c>
      <c r="BI118">
        <v>58375.907500000008</v>
      </c>
      <c r="BJ118">
        <v>70239.999999999985</v>
      </c>
      <c r="BK118">
        <v>81597.5</v>
      </c>
      <c r="BL118">
        <v>118941.322</v>
      </c>
      <c r="BM118">
        <v>163981.24299999949</v>
      </c>
      <c r="BN118">
        <v>270486.4050000002</v>
      </c>
      <c r="BO118">
        <v>446888.37399999989</v>
      </c>
      <c r="BP118">
        <v>2814221.66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 x14ac:dyDescent="0.35">
      <c r="A119">
        <v>339484</v>
      </c>
      <c r="B119" t="s">
        <v>259</v>
      </c>
      <c r="C119" t="s">
        <v>260</v>
      </c>
      <c r="D119" s="1">
        <v>45787</v>
      </c>
      <c r="E119">
        <v>53850</v>
      </c>
      <c r="F119">
        <v>154</v>
      </c>
      <c r="G119" t="s">
        <v>235</v>
      </c>
      <c r="H119" t="s">
        <v>262</v>
      </c>
      <c r="I119" t="s">
        <v>48</v>
      </c>
      <c r="L119">
        <v>1543300004860</v>
      </c>
      <c r="M119">
        <v>20250429</v>
      </c>
      <c r="N119" t="s">
        <v>263</v>
      </c>
      <c r="Q119" t="s">
        <v>55</v>
      </c>
      <c r="R119">
        <v>40294.15</v>
      </c>
      <c r="T119">
        <v>3715569</v>
      </c>
      <c r="U119">
        <v>5424970654</v>
      </c>
      <c r="V119" t="s">
        <v>265</v>
      </c>
      <c r="W119" t="s">
        <v>53</v>
      </c>
      <c r="X119" t="s">
        <v>266</v>
      </c>
      <c r="Y119" t="s">
        <v>49</v>
      </c>
      <c r="Z119">
        <v>741</v>
      </c>
      <c r="AH119">
        <v>0</v>
      </c>
      <c r="AI119">
        <v>202504</v>
      </c>
      <c r="AJ119" t="s">
        <v>61</v>
      </c>
      <c r="AK119">
        <v>0</v>
      </c>
      <c r="AL119">
        <v>1</v>
      </c>
      <c r="AM119">
        <v>3715569</v>
      </c>
      <c r="AN119">
        <v>1</v>
      </c>
      <c r="AO119">
        <v>0</v>
      </c>
      <c r="AP119">
        <v>999</v>
      </c>
      <c r="AQ119">
        <v>430</v>
      </c>
      <c r="AR119">
        <v>430999</v>
      </c>
      <c r="AT119">
        <v>1</v>
      </c>
      <c r="AU119" t="s">
        <v>54</v>
      </c>
      <c r="AV119">
        <v>25045.55</v>
      </c>
      <c r="AW119">
        <v>26010.331999999999</v>
      </c>
      <c r="AX119">
        <v>27041.058000000001</v>
      </c>
      <c r="AY119">
        <v>28420.708999999999</v>
      </c>
      <c r="AZ119">
        <v>29962.351999999999</v>
      </c>
      <c r="BA119">
        <v>31788.16</v>
      </c>
      <c r="BB119">
        <v>34027.07</v>
      </c>
      <c r="BC119">
        <v>36641.5795</v>
      </c>
      <c r="BD119">
        <v>39840.642</v>
      </c>
      <c r="BE119">
        <v>40000</v>
      </c>
      <c r="BF119">
        <v>41343.269999999997</v>
      </c>
      <c r="BG119">
        <v>44702.324999999997</v>
      </c>
      <c r="BH119">
        <v>49392.076000000001</v>
      </c>
      <c r="BI119">
        <v>58375.907500000008</v>
      </c>
      <c r="BJ119">
        <v>70239.999999999985</v>
      </c>
      <c r="BK119">
        <v>81597.5</v>
      </c>
      <c r="BL119">
        <v>118941.322</v>
      </c>
      <c r="BM119">
        <v>163981.24299999949</v>
      </c>
      <c r="BN119">
        <v>270486.4050000002</v>
      </c>
      <c r="BO119">
        <v>446888.37399999989</v>
      </c>
      <c r="BP119">
        <v>2814221.66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 x14ac:dyDescent="0.35">
      <c r="A120">
        <v>339458</v>
      </c>
      <c r="B120" t="s">
        <v>259</v>
      </c>
      <c r="C120" t="s">
        <v>260</v>
      </c>
      <c r="D120" s="1">
        <v>45787</v>
      </c>
      <c r="E120">
        <v>53850</v>
      </c>
      <c r="F120">
        <v>148</v>
      </c>
      <c r="G120" t="s">
        <v>90</v>
      </c>
      <c r="H120" t="s">
        <v>262</v>
      </c>
      <c r="I120" t="s">
        <v>48</v>
      </c>
      <c r="L120">
        <v>1483300006067</v>
      </c>
      <c r="M120">
        <v>20250414</v>
      </c>
      <c r="N120" t="s">
        <v>263</v>
      </c>
      <c r="Q120" t="s">
        <v>55</v>
      </c>
      <c r="R120">
        <v>40000</v>
      </c>
      <c r="T120">
        <v>3737044</v>
      </c>
      <c r="U120">
        <v>15554071009</v>
      </c>
      <c r="V120" t="s">
        <v>282</v>
      </c>
      <c r="W120" t="s">
        <v>53</v>
      </c>
      <c r="X120" t="s">
        <v>283</v>
      </c>
      <c r="Y120" t="s">
        <v>49</v>
      </c>
      <c r="Z120">
        <v>1196</v>
      </c>
      <c r="AH120">
        <v>0</v>
      </c>
      <c r="AI120">
        <v>202504</v>
      </c>
      <c r="AJ120" t="s">
        <v>61</v>
      </c>
      <c r="AK120">
        <v>0</v>
      </c>
      <c r="AL120">
        <v>1</v>
      </c>
      <c r="AO120">
        <v>0</v>
      </c>
      <c r="AP120">
        <v>999</v>
      </c>
      <c r="AQ120">
        <v>430</v>
      </c>
      <c r="AR120">
        <v>430999</v>
      </c>
      <c r="AT120">
        <v>1</v>
      </c>
      <c r="AU120" t="s">
        <v>54</v>
      </c>
      <c r="AV120">
        <v>25045.55</v>
      </c>
      <c r="AW120">
        <v>26010.331999999999</v>
      </c>
      <c r="AX120">
        <v>27041.058000000001</v>
      </c>
      <c r="AY120">
        <v>28420.708999999999</v>
      </c>
      <c r="AZ120">
        <v>29962.351999999999</v>
      </c>
      <c r="BA120">
        <v>31788.16</v>
      </c>
      <c r="BB120">
        <v>34027.07</v>
      </c>
      <c r="BC120">
        <v>36641.5795</v>
      </c>
      <c r="BD120">
        <v>39840.642</v>
      </c>
      <c r="BE120">
        <v>40000</v>
      </c>
      <c r="BF120">
        <v>41343.269999999997</v>
      </c>
      <c r="BG120">
        <v>44702.324999999997</v>
      </c>
      <c r="BH120">
        <v>49392.076000000001</v>
      </c>
      <c r="BI120">
        <v>58375.907500000008</v>
      </c>
      <c r="BJ120">
        <v>70239.999999999985</v>
      </c>
      <c r="BK120">
        <v>81597.5</v>
      </c>
      <c r="BL120">
        <v>118941.322</v>
      </c>
      <c r="BM120">
        <v>163981.24299999949</v>
      </c>
      <c r="BN120">
        <v>270486.4050000002</v>
      </c>
      <c r="BO120">
        <v>446888.37399999989</v>
      </c>
      <c r="BP120">
        <v>2814221.66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 x14ac:dyDescent="0.35">
      <c r="A121">
        <v>352674</v>
      </c>
      <c r="B121" t="s">
        <v>259</v>
      </c>
      <c r="C121" t="s">
        <v>260</v>
      </c>
      <c r="D121" s="1">
        <v>45822</v>
      </c>
      <c r="E121">
        <v>53850</v>
      </c>
      <c r="F121">
        <v>268</v>
      </c>
      <c r="G121" t="s">
        <v>168</v>
      </c>
      <c r="H121" t="s">
        <v>262</v>
      </c>
      <c r="I121" t="s">
        <v>48</v>
      </c>
      <c r="L121">
        <v>2683300010038</v>
      </c>
      <c r="M121">
        <v>20250523</v>
      </c>
      <c r="N121" t="s">
        <v>263</v>
      </c>
      <c r="Q121" t="s">
        <v>55</v>
      </c>
      <c r="R121">
        <v>239552.98</v>
      </c>
      <c r="T121">
        <v>1604219</v>
      </c>
      <c r="U121">
        <v>952850790</v>
      </c>
      <c r="V121" t="s">
        <v>281</v>
      </c>
      <c r="W121" t="s">
        <v>53</v>
      </c>
      <c r="X121" t="s">
        <v>232</v>
      </c>
      <c r="Y121" t="s">
        <v>49</v>
      </c>
      <c r="Z121">
        <v>1627</v>
      </c>
      <c r="AH121">
        <v>0</v>
      </c>
      <c r="AI121">
        <v>202505</v>
      </c>
      <c r="AJ121" t="s">
        <v>160</v>
      </c>
      <c r="AK121">
        <v>1</v>
      </c>
      <c r="AL121">
        <v>1</v>
      </c>
      <c r="AO121">
        <v>0</v>
      </c>
      <c r="AP121">
        <v>999</v>
      </c>
      <c r="AQ121">
        <v>430</v>
      </c>
      <c r="AR121">
        <v>430999</v>
      </c>
      <c r="AT121">
        <v>1</v>
      </c>
      <c r="AU121" t="s">
        <v>54</v>
      </c>
      <c r="AV121">
        <v>25045.55</v>
      </c>
      <c r="AW121">
        <v>26010.331999999999</v>
      </c>
      <c r="AX121">
        <v>27041.058000000001</v>
      </c>
      <c r="AY121">
        <v>28420.708999999999</v>
      </c>
      <c r="AZ121">
        <v>29962.351999999999</v>
      </c>
      <c r="BA121">
        <v>31788.16</v>
      </c>
      <c r="BB121">
        <v>34027.07</v>
      </c>
      <c r="BC121">
        <v>36641.5795</v>
      </c>
      <c r="BD121">
        <v>39840.642</v>
      </c>
      <c r="BE121">
        <v>40000</v>
      </c>
      <c r="BF121">
        <v>41343.269999999997</v>
      </c>
      <c r="BG121">
        <v>44702.324999999997</v>
      </c>
      <c r="BH121">
        <v>49392.076000000001</v>
      </c>
      <c r="BI121">
        <v>58375.907500000008</v>
      </c>
      <c r="BJ121">
        <v>70239.999999999985</v>
      </c>
      <c r="BK121">
        <v>81597.5</v>
      </c>
      <c r="BL121">
        <v>118941.322</v>
      </c>
      <c r="BM121">
        <v>163981.24299999949</v>
      </c>
      <c r="BN121">
        <v>270486.4050000002</v>
      </c>
      <c r="BO121">
        <v>446888.37399999989</v>
      </c>
      <c r="BP121">
        <v>2814221.66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0</v>
      </c>
      <c r="CJ121">
        <v>0</v>
      </c>
      <c r="CK121">
        <v>0</v>
      </c>
    </row>
    <row r="122" spans="1:89" x14ac:dyDescent="0.35">
      <c r="A122">
        <v>352672</v>
      </c>
      <c r="B122" t="s">
        <v>259</v>
      </c>
      <c r="C122" t="s">
        <v>260</v>
      </c>
      <c r="D122" s="1">
        <v>45822</v>
      </c>
      <c r="E122">
        <v>53850</v>
      </c>
      <c r="F122">
        <v>148</v>
      </c>
      <c r="G122" t="s">
        <v>90</v>
      </c>
      <c r="H122" t="s">
        <v>262</v>
      </c>
      <c r="I122" t="s">
        <v>48</v>
      </c>
      <c r="L122">
        <v>1483300006067</v>
      </c>
      <c r="M122">
        <v>20250507</v>
      </c>
      <c r="N122" t="s">
        <v>263</v>
      </c>
      <c r="Q122" t="s">
        <v>55</v>
      </c>
      <c r="R122">
        <v>40000</v>
      </c>
      <c r="T122">
        <v>3737044</v>
      </c>
      <c r="U122">
        <v>15554071009</v>
      </c>
      <c r="V122" t="s">
        <v>282</v>
      </c>
      <c r="W122" t="s">
        <v>53</v>
      </c>
      <c r="X122" t="s">
        <v>283</v>
      </c>
      <c r="Y122" t="s">
        <v>49</v>
      </c>
      <c r="Z122">
        <v>1196</v>
      </c>
      <c r="AH122">
        <v>0</v>
      </c>
      <c r="AI122">
        <v>202505</v>
      </c>
      <c r="AJ122" t="s">
        <v>61</v>
      </c>
      <c r="AK122">
        <v>0</v>
      </c>
      <c r="AL122">
        <v>1</v>
      </c>
      <c r="AO122">
        <v>0</v>
      </c>
      <c r="AP122">
        <v>999</v>
      </c>
      <c r="AQ122">
        <v>430</v>
      </c>
      <c r="AR122">
        <v>430999</v>
      </c>
      <c r="AT122">
        <v>1</v>
      </c>
      <c r="AU122" t="s">
        <v>54</v>
      </c>
      <c r="AV122">
        <v>25045.55</v>
      </c>
      <c r="AW122">
        <v>26010.331999999999</v>
      </c>
      <c r="AX122">
        <v>27041.058000000001</v>
      </c>
      <c r="AY122">
        <v>28420.708999999999</v>
      </c>
      <c r="AZ122">
        <v>29962.351999999999</v>
      </c>
      <c r="BA122">
        <v>31788.16</v>
      </c>
      <c r="BB122">
        <v>34027.07</v>
      </c>
      <c r="BC122">
        <v>36641.5795</v>
      </c>
      <c r="BD122">
        <v>39840.642</v>
      </c>
      <c r="BE122">
        <v>40000</v>
      </c>
      <c r="BF122">
        <v>41343.269999999997</v>
      </c>
      <c r="BG122">
        <v>44702.324999999997</v>
      </c>
      <c r="BH122">
        <v>49392.076000000001</v>
      </c>
      <c r="BI122">
        <v>58375.907500000008</v>
      </c>
      <c r="BJ122">
        <v>70239.999999999985</v>
      </c>
      <c r="BK122">
        <v>81597.5</v>
      </c>
      <c r="BL122">
        <v>118941.322</v>
      </c>
      <c r="BM122">
        <v>163981.24299999949</v>
      </c>
      <c r="BN122">
        <v>270486.4050000002</v>
      </c>
      <c r="BO122">
        <v>446888.37399999989</v>
      </c>
      <c r="BP122">
        <v>2814221.66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 x14ac:dyDescent="0.35">
      <c r="A123">
        <v>352658</v>
      </c>
      <c r="B123" t="s">
        <v>259</v>
      </c>
      <c r="C123" t="s">
        <v>260</v>
      </c>
      <c r="D123" s="1">
        <v>45822</v>
      </c>
      <c r="E123">
        <v>53850</v>
      </c>
      <c r="F123">
        <v>147</v>
      </c>
      <c r="G123" t="s">
        <v>84</v>
      </c>
      <c r="H123" t="s">
        <v>262</v>
      </c>
      <c r="I123" t="s">
        <v>48</v>
      </c>
      <c r="L123">
        <v>1473300002800</v>
      </c>
      <c r="M123">
        <v>20250507</v>
      </c>
      <c r="N123" t="s">
        <v>263</v>
      </c>
      <c r="Q123" t="s">
        <v>55</v>
      </c>
      <c r="R123">
        <v>315100</v>
      </c>
      <c r="T123">
        <v>4932680</v>
      </c>
      <c r="U123">
        <v>4423920612</v>
      </c>
      <c r="V123" t="s">
        <v>308</v>
      </c>
      <c r="W123" t="s">
        <v>53</v>
      </c>
      <c r="X123" t="s">
        <v>60</v>
      </c>
      <c r="Y123" t="s">
        <v>49</v>
      </c>
      <c r="Z123">
        <v>1196</v>
      </c>
      <c r="AH123">
        <v>0</v>
      </c>
      <c r="AI123">
        <v>202505</v>
      </c>
      <c r="AJ123" t="s">
        <v>61</v>
      </c>
      <c r="AK123">
        <v>0</v>
      </c>
      <c r="AL123">
        <v>1</v>
      </c>
      <c r="AO123">
        <v>0</v>
      </c>
      <c r="AP123">
        <v>412</v>
      </c>
      <c r="AQ123">
        <v>430</v>
      </c>
      <c r="AR123">
        <v>430412</v>
      </c>
      <c r="AS123" t="s">
        <v>58</v>
      </c>
      <c r="AU123" t="s">
        <v>58</v>
      </c>
      <c r="AV123">
        <v>25045.55</v>
      </c>
      <c r="AW123">
        <v>26010.331999999999</v>
      </c>
      <c r="AX123">
        <v>27041.058000000001</v>
      </c>
      <c r="AY123">
        <v>28420.708999999999</v>
      </c>
      <c r="AZ123">
        <v>29962.351999999999</v>
      </c>
      <c r="BA123">
        <v>31788.16</v>
      </c>
      <c r="BB123">
        <v>34027.07</v>
      </c>
      <c r="BC123">
        <v>36641.5795</v>
      </c>
      <c r="BD123">
        <v>39840.642</v>
      </c>
      <c r="BE123">
        <v>40000</v>
      </c>
      <c r="BF123">
        <v>41343.269999999997</v>
      </c>
      <c r="BG123">
        <v>44702.324999999997</v>
      </c>
      <c r="BH123">
        <v>49392.076000000001</v>
      </c>
      <c r="BI123">
        <v>58375.907500000008</v>
      </c>
      <c r="BJ123">
        <v>70239.999999999985</v>
      </c>
      <c r="BK123">
        <v>81597.5</v>
      </c>
      <c r="BL123">
        <v>118941.322</v>
      </c>
      <c r="BM123">
        <v>163981.24299999949</v>
      </c>
      <c r="BN123">
        <v>270486.4050000002</v>
      </c>
      <c r="BO123">
        <v>446888.37399999989</v>
      </c>
      <c r="BP123">
        <v>2814221.66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0</v>
      </c>
      <c r="CK123">
        <v>0</v>
      </c>
    </row>
    <row r="124" spans="1:89" x14ac:dyDescent="0.35">
      <c r="A124">
        <v>352657</v>
      </c>
      <c r="B124" t="s">
        <v>259</v>
      </c>
      <c r="C124" t="s">
        <v>260</v>
      </c>
      <c r="D124" s="1">
        <v>45822</v>
      </c>
      <c r="E124">
        <v>53850</v>
      </c>
      <c r="F124">
        <v>226</v>
      </c>
      <c r="G124" t="s">
        <v>164</v>
      </c>
      <c r="H124" t="s">
        <v>262</v>
      </c>
      <c r="I124" t="s">
        <v>48</v>
      </c>
      <c r="L124">
        <v>2263300010989</v>
      </c>
      <c r="M124">
        <v>20250505</v>
      </c>
      <c r="N124" t="s">
        <v>263</v>
      </c>
      <c r="Q124" t="s">
        <v>55</v>
      </c>
      <c r="R124">
        <v>45269.67</v>
      </c>
      <c r="T124">
        <v>4804128</v>
      </c>
      <c r="U124">
        <v>6363770725</v>
      </c>
      <c r="V124" t="s">
        <v>304</v>
      </c>
      <c r="W124" t="s">
        <v>53</v>
      </c>
      <c r="X124" t="s">
        <v>79</v>
      </c>
      <c r="Y124" t="s">
        <v>49</v>
      </c>
      <c r="Z124">
        <v>1696</v>
      </c>
      <c r="AH124">
        <v>0</v>
      </c>
      <c r="AI124">
        <v>202505</v>
      </c>
      <c r="AJ124" t="s">
        <v>167</v>
      </c>
      <c r="AK124">
        <v>1</v>
      </c>
      <c r="AL124">
        <v>1</v>
      </c>
      <c r="AO124">
        <v>0</v>
      </c>
      <c r="AP124">
        <v>477</v>
      </c>
      <c r="AQ124">
        <v>430</v>
      </c>
      <c r="AR124">
        <v>430477</v>
      </c>
      <c r="AS124" t="s">
        <v>58</v>
      </c>
      <c r="AU124" t="s">
        <v>58</v>
      </c>
      <c r="AV124">
        <v>25045.55</v>
      </c>
      <c r="AW124">
        <v>26010.331999999999</v>
      </c>
      <c r="AX124">
        <v>27041.058000000001</v>
      </c>
      <c r="AY124">
        <v>28420.708999999999</v>
      </c>
      <c r="AZ124">
        <v>29962.351999999999</v>
      </c>
      <c r="BA124">
        <v>31788.16</v>
      </c>
      <c r="BB124">
        <v>34027.07</v>
      </c>
      <c r="BC124">
        <v>36641.5795</v>
      </c>
      <c r="BD124">
        <v>39840.642</v>
      </c>
      <c r="BE124">
        <v>40000</v>
      </c>
      <c r="BF124">
        <v>41343.269999999997</v>
      </c>
      <c r="BG124">
        <v>44702.324999999997</v>
      </c>
      <c r="BH124">
        <v>49392.076000000001</v>
      </c>
      <c r="BI124">
        <v>58375.907500000008</v>
      </c>
      <c r="BJ124">
        <v>70239.999999999985</v>
      </c>
      <c r="BK124">
        <v>81597.5</v>
      </c>
      <c r="BL124">
        <v>118941.322</v>
      </c>
      <c r="BM124">
        <v>163981.24299999949</v>
      </c>
      <c r="BN124">
        <v>270486.4050000002</v>
      </c>
      <c r="BO124">
        <v>446888.37399999989</v>
      </c>
      <c r="BP124">
        <v>2814221.66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 x14ac:dyDescent="0.35">
      <c r="A125">
        <v>352653</v>
      </c>
      <c r="B125" t="s">
        <v>259</v>
      </c>
      <c r="C125" t="s">
        <v>260</v>
      </c>
      <c r="D125" s="1">
        <v>45822</v>
      </c>
      <c r="E125">
        <v>53850</v>
      </c>
      <c r="F125">
        <v>175</v>
      </c>
      <c r="G125" t="s">
        <v>63</v>
      </c>
      <c r="H125" t="s">
        <v>262</v>
      </c>
      <c r="I125" t="s">
        <v>48</v>
      </c>
      <c r="L125">
        <v>1753302203813</v>
      </c>
      <c r="M125">
        <v>20250522</v>
      </c>
      <c r="N125" t="s">
        <v>263</v>
      </c>
      <c r="Q125" t="s">
        <v>55</v>
      </c>
      <c r="R125">
        <v>150000</v>
      </c>
      <c r="T125">
        <v>4907691</v>
      </c>
      <c r="U125">
        <v>1146400773</v>
      </c>
      <c r="V125" t="s">
        <v>309</v>
      </c>
      <c r="W125" t="s">
        <v>53</v>
      </c>
      <c r="X125" t="s">
        <v>174</v>
      </c>
      <c r="Y125" t="s">
        <v>49</v>
      </c>
      <c r="Z125">
        <v>1926</v>
      </c>
      <c r="AH125">
        <v>0</v>
      </c>
      <c r="AI125">
        <v>202505</v>
      </c>
      <c r="AJ125" t="s">
        <v>160</v>
      </c>
      <c r="AK125">
        <v>1</v>
      </c>
      <c r="AL125">
        <v>1</v>
      </c>
      <c r="AO125">
        <v>0</v>
      </c>
      <c r="AP125">
        <v>999</v>
      </c>
      <c r="AQ125">
        <v>430</v>
      </c>
      <c r="AR125">
        <v>430999</v>
      </c>
      <c r="AT125">
        <v>1</v>
      </c>
      <c r="AU125" t="s">
        <v>54</v>
      </c>
      <c r="AV125">
        <v>25045.55</v>
      </c>
      <c r="AW125">
        <v>26010.331999999999</v>
      </c>
      <c r="AX125">
        <v>27041.058000000001</v>
      </c>
      <c r="AY125">
        <v>28420.708999999999</v>
      </c>
      <c r="AZ125">
        <v>29962.351999999999</v>
      </c>
      <c r="BA125">
        <v>31788.16</v>
      </c>
      <c r="BB125">
        <v>34027.07</v>
      </c>
      <c r="BC125">
        <v>36641.5795</v>
      </c>
      <c r="BD125">
        <v>39840.642</v>
      </c>
      <c r="BE125">
        <v>40000</v>
      </c>
      <c r="BF125">
        <v>41343.269999999997</v>
      </c>
      <c r="BG125">
        <v>44702.324999999997</v>
      </c>
      <c r="BH125">
        <v>49392.076000000001</v>
      </c>
      <c r="BI125">
        <v>58375.907500000008</v>
      </c>
      <c r="BJ125">
        <v>70239.999999999985</v>
      </c>
      <c r="BK125">
        <v>81597.5</v>
      </c>
      <c r="BL125">
        <v>118941.322</v>
      </c>
      <c r="BM125">
        <v>163981.24299999949</v>
      </c>
      <c r="BN125">
        <v>270486.4050000002</v>
      </c>
      <c r="BO125">
        <v>446888.37399999989</v>
      </c>
      <c r="BP125">
        <v>2814221.66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0</v>
      </c>
      <c r="CI125">
        <v>0</v>
      </c>
      <c r="CJ125">
        <v>0</v>
      </c>
      <c r="CK125">
        <v>0</v>
      </c>
    </row>
    <row r="126" spans="1:89" x14ac:dyDescent="0.35">
      <c r="A126">
        <v>352652</v>
      </c>
      <c r="B126" t="s">
        <v>259</v>
      </c>
      <c r="C126" t="s">
        <v>260</v>
      </c>
      <c r="D126" s="1">
        <v>45822</v>
      </c>
      <c r="E126">
        <v>53850</v>
      </c>
      <c r="F126">
        <v>109</v>
      </c>
      <c r="G126" t="s">
        <v>65</v>
      </c>
      <c r="H126" t="s">
        <v>262</v>
      </c>
      <c r="I126" t="s">
        <v>48</v>
      </c>
      <c r="L126">
        <v>1093306674353</v>
      </c>
      <c r="M126">
        <v>20250519</v>
      </c>
      <c r="N126" t="s">
        <v>263</v>
      </c>
      <c r="Q126" t="s">
        <v>55</v>
      </c>
      <c r="R126">
        <v>118651.23</v>
      </c>
      <c r="T126">
        <v>4916449</v>
      </c>
      <c r="U126">
        <v>8176830720</v>
      </c>
      <c r="V126" t="s">
        <v>288</v>
      </c>
      <c r="W126" t="s">
        <v>53</v>
      </c>
      <c r="X126" t="s">
        <v>177</v>
      </c>
      <c r="Y126" t="s">
        <v>49</v>
      </c>
      <c r="Z126">
        <v>1903</v>
      </c>
      <c r="AH126">
        <v>0</v>
      </c>
      <c r="AI126">
        <v>202505</v>
      </c>
      <c r="AJ126" t="s">
        <v>61</v>
      </c>
      <c r="AK126">
        <v>0</v>
      </c>
      <c r="AL126">
        <v>1</v>
      </c>
      <c r="AM126">
        <v>4916449</v>
      </c>
      <c r="AN126">
        <v>1</v>
      </c>
      <c r="AO126">
        <v>0</v>
      </c>
      <c r="AP126">
        <v>451</v>
      </c>
      <c r="AQ126">
        <v>430</v>
      </c>
      <c r="AR126">
        <v>430451</v>
      </c>
      <c r="AS126" t="s">
        <v>58</v>
      </c>
      <c r="AU126" t="s">
        <v>58</v>
      </c>
      <c r="AV126">
        <v>25045.55</v>
      </c>
      <c r="AW126">
        <v>26010.331999999999</v>
      </c>
      <c r="AX126">
        <v>27041.058000000001</v>
      </c>
      <c r="AY126">
        <v>28420.708999999999</v>
      </c>
      <c r="AZ126">
        <v>29962.351999999999</v>
      </c>
      <c r="BA126">
        <v>31788.16</v>
      </c>
      <c r="BB126">
        <v>34027.07</v>
      </c>
      <c r="BC126">
        <v>36641.5795</v>
      </c>
      <c r="BD126">
        <v>39840.642</v>
      </c>
      <c r="BE126">
        <v>40000</v>
      </c>
      <c r="BF126">
        <v>41343.269999999997</v>
      </c>
      <c r="BG126">
        <v>44702.324999999997</v>
      </c>
      <c r="BH126">
        <v>49392.076000000001</v>
      </c>
      <c r="BI126">
        <v>58375.907500000008</v>
      </c>
      <c r="BJ126">
        <v>70239.999999999985</v>
      </c>
      <c r="BK126">
        <v>81597.5</v>
      </c>
      <c r="BL126">
        <v>118941.322</v>
      </c>
      <c r="BM126">
        <v>163981.24299999949</v>
      </c>
      <c r="BN126">
        <v>270486.4050000002</v>
      </c>
      <c r="BO126">
        <v>446888.37399999989</v>
      </c>
      <c r="BP126">
        <v>2814221.66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 x14ac:dyDescent="0.35">
      <c r="A127">
        <v>352650</v>
      </c>
      <c r="B127" t="s">
        <v>259</v>
      </c>
      <c r="C127" t="s">
        <v>260</v>
      </c>
      <c r="D127" s="1">
        <v>45822</v>
      </c>
      <c r="E127">
        <v>53850</v>
      </c>
      <c r="F127">
        <v>108</v>
      </c>
      <c r="G127" t="s">
        <v>88</v>
      </c>
      <c r="H127" t="s">
        <v>262</v>
      </c>
      <c r="I127" t="s">
        <v>48</v>
      </c>
      <c r="L127">
        <v>1083300011180</v>
      </c>
      <c r="M127">
        <v>20250502</v>
      </c>
      <c r="N127" t="s">
        <v>263</v>
      </c>
      <c r="Q127" t="s">
        <v>55</v>
      </c>
      <c r="R127">
        <v>79846.03</v>
      </c>
      <c r="T127">
        <v>1118</v>
      </c>
      <c r="U127">
        <v>3246700722</v>
      </c>
      <c r="V127" t="s">
        <v>302</v>
      </c>
      <c r="W127" t="s">
        <v>53</v>
      </c>
      <c r="X127" t="s">
        <v>286</v>
      </c>
      <c r="Y127" t="s">
        <v>49</v>
      </c>
      <c r="Z127">
        <v>1058</v>
      </c>
      <c r="AH127">
        <v>0</v>
      </c>
      <c r="AI127">
        <v>202505</v>
      </c>
      <c r="AJ127" t="s">
        <v>51</v>
      </c>
      <c r="AK127">
        <v>0</v>
      </c>
      <c r="AL127">
        <v>1</v>
      </c>
      <c r="AO127">
        <v>0</v>
      </c>
      <c r="AP127">
        <v>999</v>
      </c>
      <c r="AQ127">
        <v>430</v>
      </c>
      <c r="AR127">
        <v>430999</v>
      </c>
      <c r="AT127">
        <v>1</v>
      </c>
      <c r="AU127" t="s">
        <v>54</v>
      </c>
      <c r="AV127">
        <v>25045.55</v>
      </c>
      <c r="AW127">
        <v>26010.331999999999</v>
      </c>
      <c r="AX127">
        <v>27041.058000000001</v>
      </c>
      <c r="AY127">
        <v>28420.708999999999</v>
      </c>
      <c r="AZ127">
        <v>29962.351999999999</v>
      </c>
      <c r="BA127">
        <v>31788.16</v>
      </c>
      <c r="BB127">
        <v>34027.07</v>
      </c>
      <c r="BC127">
        <v>36641.5795</v>
      </c>
      <c r="BD127">
        <v>39840.642</v>
      </c>
      <c r="BE127">
        <v>40000</v>
      </c>
      <c r="BF127">
        <v>41343.269999999997</v>
      </c>
      <c r="BG127">
        <v>44702.324999999997</v>
      </c>
      <c r="BH127">
        <v>49392.076000000001</v>
      </c>
      <c r="BI127">
        <v>58375.907500000008</v>
      </c>
      <c r="BJ127">
        <v>70239.999999999985</v>
      </c>
      <c r="BK127">
        <v>81597.5</v>
      </c>
      <c r="BL127">
        <v>118941.322</v>
      </c>
      <c r="BM127">
        <v>163981.24299999949</v>
      </c>
      <c r="BN127">
        <v>270486.4050000002</v>
      </c>
      <c r="BO127">
        <v>446888.37399999989</v>
      </c>
      <c r="BP127">
        <v>2814221.66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 x14ac:dyDescent="0.35">
      <c r="A128">
        <v>352649</v>
      </c>
      <c r="B128" t="s">
        <v>259</v>
      </c>
      <c r="C128" t="s">
        <v>260</v>
      </c>
      <c r="D128" s="1">
        <v>45822</v>
      </c>
      <c r="E128">
        <v>53850</v>
      </c>
      <c r="F128">
        <v>108</v>
      </c>
      <c r="G128" t="s">
        <v>88</v>
      </c>
      <c r="H128" t="s">
        <v>262</v>
      </c>
      <c r="I128" t="s">
        <v>48</v>
      </c>
      <c r="L128">
        <v>1083300011180</v>
      </c>
      <c r="M128">
        <v>20250523</v>
      </c>
      <c r="N128" t="s">
        <v>279</v>
      </c>
      <c r="Q128" t="s">
        <v>55</v>
      </c>
      <c r="R128">
        <v>60584.52</v>
      </c>
      <c r="T128">
        <v>1118</v>
      </c>
      <c r="U128">
        <v>3246700722</v>
      </c>
      <c r="V128" t="s">
        <v>302</v>
      </c>
      <c r="W128" t="s">
        <v>53</v>
      </c>
      <c r="X128" t="s">
        <v>286</v>
      </c>
      <c r="Y128" t="s">
        <v>49</v>
      </c>
      <c r="Z128">
        <v>1058</v>
      </c>
      <c r="AH128">
        <v>0</v>
      </c>
      <c r="AI128">
        <v>202505</v>
      </c>
      <c r="AJ128" t="s">
        <v>51</v>
      </c>
      <c r="AK128">
        <v>0</v>
      </c>
      <c r="AL128">
        <v>1</v>
      </c>
      <c r="AO128">
        <v>0</v>
      </c>
      <c r="AP128">
        <v>999</v>
      </c>
      <c r="AQ128">
        <v>430</v>
      </c>
      <c r="AR128">
        <v>430999</v>
      </c>
      <c r="AT128">
        <v>1</v>
      </c>
      <c r="AU128" t="s">
        <v>54</v>
      </c>
      <c r="AV128">
        <v>25045.55</v>
      </c>
      <c r="AW128">
        <v>26010.331999999999</v>
      </c>
      <c r="AX128">
        <v>27041.058000000001</v>
      </c>
      <c r="AY128">
        <v>28420.708999999999</v>
      </c>
      <c r="AZ128">
        <v>29962.351999999999</v>
      </c>
      <c r="BA128">
        <v>31788.16</v>
      </c>
      <c r="BB128">
        <v>34027.07</v>
      </c>
      <c r="BC128">
        <v>36641.5795</v>
      </c>
      <c r="BD128">
        <v>39840.642</v>
      </c>
      <c r="BE128">
        <v>40000</v>
      </c>
      <c r="BF128">
        <v>41343.269999999997</v>
      </c>
      <c r="BG128">
        <v>44702.324999999997</v>
      </c>
      <c r="BH128">
        <v>49392.076000000001</v>
      </c>
      <c r="BI128">
        <v>58375.907500000008</v>
      </c>
      <c r="BJ128">
        <v>70239.999999999985</v>
      </c>
      <c r="BK128">
        <v>81597.5</v>
      </c>
      <c r="BL128">
        <v>118941.322</v>
      </c>
      <c r="BM128">
        <v>163981.24299999949</v>
      </c>
      <c r="BN128">
        <v>270486.4050000002</v>
      </c>
      <c r="BO128">
        <v>446888.37399999989</v>
      </c>
      <c r="BP128">
        <v>2814221.66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 x14ac:dyDescent="0.35">
      <c r="A129">
        <v>352646</v>
      </c>
      <c r="B129" t="s">
        <v>259</v>
      </c>
      <c r="C129" t="s">
        <v>260</v>
      </c>
      <c r="D129" s="1">
        <v>45822</v>
      </c>
      <c r="E129">
        <v>53850</v>
      </c>
      <c r="F129">
        <v>170</v>
      </c>
      <c r="G129" t="s">
        <v>80</v>
      </c>
      <c r="H129" t="s">
        <v>262</v>
      </c>
      <c r="I129" t="s">
        <v>48</v>
      </c>
      <c r="L129">
        <v>1703306288195</v>
      </c>
      <c r="M129">
        <v>20250520</v>
      </c>
      <c r="N129" t="s">
        <v>263</v>
      </c>
      <c r="Q129" t="s">
        <v>55</v>
      </c>
      <c r="R129">
        <v>300000</v>
      </c>
      <c r="T129">
        <v>4401631</v>
      </c>
      <c r="U129">
        <v>4724350725</v>
      </c>
      <c r="V129" t="s">
        <v>310</v>
      </c>
      <c r="W129" t="s">
        <v>53</v>
      </c>
      <c r="X129" t="s">
        <v>86</v>
      </c>
      <c r="Y129" t="s">
        <v>49</v>
      </c>
      <c r="Z129">
        <v>1919</v>
      </c>
      <c r="AH129">
        <v>0</v>
      </c>
      <c r="AI129">
        <v>202505</v>
      </c>
      <c r="AJ129" t="s">
        <v>160</v>
      </c>
      <c r="AK129">
        <v>1</v>
      </c>
      <c r="AL129">
        <v>1</v>
      </c>
      <c r="AO129">
        <v>0</v>
      </c>
      <c r="AP129">
        <v>999</v>
      </c>
      <c r="AQ129">
        <v>430</v>
      </c>
      <c r="AR129">
        <v>430999</v>
      </c>
      <c r="AT129">
        <v>1</v>
      </c>
      <c r="AU129" t="s">
        <v>54</v>
      </c>
      <c r="AV129">
        <v>25045.55</v>
      </c>
      <c r="AW129">
        <v>26010.331999999999</v>
      </c>
      <c r="AX129">
        <v>27041.058000000001</v>
      </c>
      <c r="AY129">
        <v>28420.708999999999</v>
      </c>
      <c r="AZ129">
        <v>29962.351999999999</v>
      </c>
      <c r="BA129">
        <v>31788.16</v>
      </c>
      <c r="BB129">
        <v>34027.07</v>
      </c>
      <c r="BC129">
        <v>36641.5795</v>
      </c>
      <c r="BD129">
        <v>39840.642</v>
      </c>
      <c r="BE129">
        <v>40000</v>
      </c>
      <c r="BF129">
        <v>41343.269999999997</v>
      </c>
      <c r="BG129">
        <v>44702.324999999997</v>
      </c>
      <c r="BH129">
        <v>49392.076000000001</v>
      </c>
      <c r="BI129">
        <v>58375.907500000008</v>
      </c>
      <c r="BJ129">
        <v>70239.999999999985</v>
      </c>
      <c r="BK129">
        <v>81597.5</v>
      </c>
      <c r="BL129">
        <v>118941.322</v>
      </c>
      <c r="BM129">
        <v>163981.24299999949</v>
      </c>
      <c r="BN129">
        <v>270486.4050000002</v>
      </c>
      <c r="BO129">
        <v>446888.37399999989</v>
      </c>
      <c r="BP129">
        <v>2814221.66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0</v>
      </c>
      <c r="CK129">
        <v>0</v>
      </c>
    </row>
    <row r="130" spans="1:89" x14ac:dyDescent="0.35">
      <c r="A130">
        <v>352645</v>
      </c>
      <c r="B130" t="s">
        <v>259</v>
      </c>
      <c r="C130" t="s">
        <v>260</v>
      </c>
      <c r="D130" s="1">
        <v>45822</v>
      </c>
      <c r="E130">
        <v>53850</v>
      </c>
      <c r="F130">
        <v>165</v>
      </c>
      <c r="G130" t="s">
        <v>311</v>
      </c>
      <c r="H130" t="s">
        <v>262</v>
      </c>
      <c r="I130" t="s">
        <v>48</v>
      </c>
      <c r="L130">
        <v>1653300628596</v>
      </c>
      <c r="M130">
        <v>20250516</v>
      </c>
      <c r="N130" t="s">
        <v>263</v>
      </c>
      <c r="Q130" t="s">
        <v>55</v>
      </c>
      <c r="R130">
        <v>33543.4</v>
      </c>
      <c r="T130">
        <v>4813580</v>
      </c>
      <c r="U130">
        <v>3996180711</v>
      </c>
      <c r="V130" t="s">
        <v>312</v>
      </c>
      <c r="W130" t="s">
        <v>53</v>
      </c>
      <c r="X130" t="s">
        <v>74</v>
      </c>
      <c r="Y130" t="s">
        <v>49</v>
      </c>
      <c r="Z130">
        <v>844</v>
      </c>
      <c r="AH130">
        <v>0</v>
      </c>
      <c r="AI130">
        <v>202505</v>
      </c>
      <c r="AJ130" t="s">
        <v>61</v>
      </c>
      <c r="AK130">
        <v>0</v>
      </c>
      <c r="AL130">
        <v>1</v>
      </c>
      <c r="AO130">
        <v>0</v>
      </c>
      <c r="AP130">
        <v>463</v>
      </c>
      <c r="AQ130">
        <v>430</v>
      </c>
      <c r="AR130">
        <v>430463</v>
      </c>
      <c r="AS130" t="s">
        <v>58</v>
      </c>
      <c r="AU130" t="s">
        <v>58</v>
      </c>
      <c r="AV130">
        <v>25045.55</v>
      </c>
      <c r="AW130">
        <v>26010.331999999999</v>
      </c>
      <c r="AX130">
        <v>27041.058000000001</v>
      </c>
      <c r="AY130">
        <v>28420.708999999999</v>
      </c>
      <c r="AZ130">
        <v>29962.351999999999</v>
      </c>
      <c r="BA130">
        <v>31788.16</v>
      </c>
      <c r="BB130">
        <v>34027.07</v>
      </c>
      <c r="BC130">
        <v>36641.5795</v>
      </c>
      <c r="BD130">
        <v>39840.642</v>
      </c>
      <c r="BE130">
        <v>40000</v>
      </c>
      <c r="BF130">
        <v>41343.269999999997</v>
      </c>
      <c r="BG130">
        <v>44702.324999999997</v>
      </c>
      <c r="BH130">
        <v>49392.076000000001</v>
      </c>
      <c r="BI130">
        <v>58375.907500000008</v>
      </c>
      <c r="BJ130">
        <v>70239.999999999985</v>
      </c>
      <c r="BK130">
        <v>81597.5</v>
      </c>
      <c r="BL130">
        <v>118941.322</v>
      </c>
      <c r="BM130">
        <v>163981.24299999949</v>
      </c>
      <c r="BN130">
        <v>270486.4050000002</v>
      </c>
      <c r="BO130">
        <v>446888.37399999989</v>
      </c>
      <c r="BP130">
        <v>2814221.66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 x14ac:dyDescent="0.35">
      <c r="A131">
        <v>352644</v>
      </c>
      <c r="B131" t="s">
        <v>259</v>
      </c>
      <c r="C131" t="s">
        <v>260</v>
      </c>
      <c r="D131" s="1">
        <v>45822</v>
      </c>
      <c r="E131">
        <v>53850</v>
      </c>
      <c r="F131">
        <v>116</v>
      </c>
      <c r="G131" t="s">
        <v>165</v>
      </c>
      <c r="H131" t="s">
        <v>262</v>
      </c>
      <c r="I131" t="s">
        <v>48</v>
      </c>
      <c r="L131">
        <v>1163307619784</v>
      </c>
      <c r="M131">
        <v>20250522</v>
      </c>
      <c r="N131" t="s">
        <v>263</v>
      </c>
      <c r="Q131" t="s">
        <v>55</v>
      </c>
      <c r="R131">
        <v>367200</v>
      </c>
      <c r="T131">
        <v>4826274</v>
      </c>
      <c r="U131">
        <v>4414960759</v>
      </c>
      <c r="V131" t="s">
        <v>313</v>
      </c>
      <c r="W131" t="s">
        <v>53</v>
      </c>
      <c r="X131" t="s">
        <v>79</v>
      </c>
      <c r="Y131" t="s">
        <v>49</v>
      </c>
      <c r="Z131">
        <v>1903</v>
      </c>
      <c r="AH131">
        <v>0</v>
      </c>
      <c r="AI131">
        <v>202505</v>
      </c>
      <c r="AJ131" t="s">
        <v>160</v>
      </c>
      <c r="AK131">
        <v>1</v>
      </c>
      <c r="AL131">
        <v>1</v>
      </c>
      <c r="AO131">
        <v>0</v>
      </c>
      <c r="AP131">
        <v>477</v>
      </c>
      <c r="AQ131">
        <v>430</v>
      </c>
      <c r="AR131">
        <v>430477</v>
      </c>
      <c r="AS131" t="s">
        <v>58</v>
      </c>
      <c r="AU131" t="s">
        <v>58</v>
      </c>
      <c r="AV131">
        <v>25045.55</v>
      </c>
      <c r="AW131">
        <v>26010.331999999999</v>
      </c>
      <c r="AX131">
        <v>27041.058000000001</v>
      </c>
      <c r="AY131">
        <v>28420.708999999999</v>
      </c>
      <c r="AZ131">
        <v>29962.351999999999</v>
      </c>
      <c r="BA131">
        <v>31788.16</v>
      </c>
      <c r="BB131">
        <v>34027.07</v>
      </c>
      <c r="BC131">
        <v>36641.5795</v>
      </c>
      <c r="BD131">
        <v>39840.642</v>
      </c>
      <c r="BE131">
        <v>40000</v>
      </c>
      <c r="BF131">
        <v>41343.269999999997</v>
      </c>
      <c r="BG131">
        <v>44702.324999999997</v>
      </c>
      <c r="BH131">
        <v>49392.076000000001</v>
      </c>
      <c r="BI131">
        <v>58375.907500000008</v>
      </c>
      <c r="BJ131">
        <v>70239.999999999985</v>
      </c>
      <c r="BK131">
        <v>81597.5</v>
      </c>
      <c r="BL131">
        <v>118941.322</v>
      </c>
      <c r="BM131">
        <v>163981.24299999949</v>
      </c>
      <c r="BN131">
        <v>270486.4050000002</v>
      </c>
      <c r="BO131">
        <v>446888.37399999989</v>
      </c>
      <c r="BP131">
        <v>2814221.66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0</v>
      </c>
      <c r="CK131">
        <v>0</v>
      </c>
    </row>
    <row r="132" spans="1:89" x14ac:dyDescent="0.35">
      <c r="A132">
        <v>352642</v>
      </c>
      <c r="B132" t="s">
        <v>259</v>
      </c>
      <c r="C132" t="s">
        <v>260</v>
      </c>
      <c r="D132" s="1">
        <v>45822</v>
      </c>
      <c r="E132">
        <v>53850</v>
      </c>
      <c r="F132">
        <v>148</v>
      </c>
      <c r="G132" t="s">
        <v>90</v>
      </c>
      <c r="H132" t="s">
        <v>262</v>
      </c>
      <c r="I132" t="s">
        <v>48</v>
      </c>
      <c r="L132">
        <v>1483300005779</v>
      </c>
      <c r="M132">
        <v>20250520</v>
      </c>
      <c r="N132" t="s">
        <v>263</v>
      </c>
      <c r="Q132" t="s">
        <v>55</v>
      </c>
      <c r="R132">
        <v>66000</v>
      </c>
      <c r="T132">
        <v>3722303</v>
      </c>
      <c r="U132">
        <v>1652800622</v>
      </c>
      <c r="V132" t="s">
        <v>314</v>
      </c>
      <c r="W132" t="s">
        <v>53</v>
      </c>
      <c r="X132" t="s">
        <v>74</v>
      </c>
      <c r="Y132" t="s">
        <v>49</v>
      </c>
      <c r="AH132">
        <v>0</v>
      </c>
      <c r="AI132">
        <v>202505</v>
      </c>
      <c r="AJ132" t="s">
        <v>61</v>
      </c>
      <c r="AK132">
        <v>0</v>
      </c>
      <c r="AL132">
        <v>1</v>
      </c>
      <c r="AO132">
        <v>0</v>
      </c>
      <c r="AP132">
        <v>463</v>
      </c>
      <c r="AQ132">
        <v>430</v>
      </c>
      <c r="AR132">
        <v>430463</v>
      </c>
      <c r="AS132" t="s">
        <v>58</v>
      </c>
      <c r="AU132" t="s">
        <v>58</v>
      </c>
      <c r="AV132">
        <v>25045.55</v>
      </c>
      <c r="AW132">
        <v>26010.331999999999</v>
      </c>
      <c r="AX132">
        <v>27041.058000000001</v>
      </c>
      <c r="AY132">
        <v>28420.708999999999</v>
      </c>
      <c r="AZ132">
        <v>29962.351999999999</v>
      </c>
      <c r="BA132">
        <v>31788.16</v>
      </c>
      <c r="BB132">
        <v>34027.07</v>
      </c>
      <c r="BC132">
        <v>36641.5795</v>
      </c>
      <c r="BD132">
        <v>39840.642</v>
      </c>
      <c r="BE132">
        <v>40000</v>
      </c>
      <c r="BF132">
        <v>41343.269999999997</v>
      </c>
      <c r="BG132">
        <v>44702.324999999997</v>
      </c>
      <c r="BH132">
        <v>49392.076000000001</v>
      </c>
      <c r="BI132">
        <v>58375.907500000008</v>
      </c>
      <c r="BJ132">
        <v>70239.999999999985</v>
      </c>
      <c r="BK132">
        <v>81597.5</v>
      </c>
      <c r="BL132">
        <v>118941.322</v>
      </c>
      <c r="BM132">
        <v>163981.24299999949</v>
      </c>
      <c r="BN132">
        <v>270486.4050000002</v>
      </c>
      <c r="BO132">
        <v>446888.37399999989</v>
      </c>
      <c r="BP132">
        <v>2814221.66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 x14ac:dyDescent="0.35">
      <c r="A133">
        <v>352640</v>
      </c>
      <c r="B133" t="s">
        <v>259</v>
      </c>
      <c r="C133" t="s">
        <v>260</v>
      </c>
      <c r="D133" s="1">
        <v>45822</v>
      </c>
      <c r="E133">
        <v>53850</v>
      </c>
      <c r="F133">
        <v>273</v>
      </c>
      <c r="G133" t="s">
        <v>52</v>
      </c>
      <c r="H133" t="s">
        <v>262</v>
      </c>
      <c r="I133" t="s">
        <v>48</v>
      </c>
      <c r="L133">
        <v>2733300000419</v>
      </c>
      <c r="M133">
        <v>20250502</v>
      </c>
      <c r="N133" t="s">
        <v>263</v>
      </c>
      <c r="Q133" t="s">
        <v>55</v>
      </c>
      <c r="R133">
        <v>35133.78</v>
      </c>
      <c r="T133">
        <v>1615741</v>
      </c>
      <c r="U133">
        <v>1399580693</v>
      </c>
      <c r="V133" t="s">
        <v>315</v>
      </c>
      <c r="W133" t="s">
        <v>53</v>
      </c>
      <c r="X133" t="s">
        <v>307</v>
      </c>
      <c r="Y133" t="s">
        <v>49</v>
      </c>
      <c r="Z133">
        <v>1856</v>
      </c>
      <c r="AH133">
        <v>0</v>
      </c>
      <c r="AI133">
        <v>202505</v>
      </c>
      <c r="AJ133" t="s">
        <v>61</v>
      </c>
      <c r="AK133">
        <v>0</v>
      </c>
      <c r="AL133">
        <v>1</v>
      </c>
      <c r="AO133">
        <v>0</v>
      </c>
      <c r="AP133">
        <v>999</v>
      </c>
      <c r="AQ133">
        <v>430</v>
      </c>
      <c r="AR133">
        <v>430999</v>
      </c>
      <c r="AT133">
        <v>1</v>
      </c>
      <c r="AU133" t="s">
        <v>54</v>
      </c>
      <c r="AV133">
        <v>25045.55</v>
      </c>
      <c r="AW133">
        <v>26010.331999999999</v>
      </c>
      <c r="AX133">
        <v>27041.058000000001</v>
      </c>
      <c r="AY133">
        <v>28420.708999999999</v>
      </c>
      <c r="AZ133">
        <v>29962.351999999999</v>
      </c>
      <c r="BA133">
        <v>31788.16</v>
      </c>
      <c r="BB133">
        <v>34027.07</v>
      </c>
      <c r="BC133">
        <v>36641.5795</v>
      </c>
      <c r="BD133">
        <v>39840.642</v>
      </c>
      <c r="BE133">
        <v>40000</v>
      </c>
      <c r="BF133">
        <v>41343.269999999997</v>
      </c>
      <c r="BG133">
        <v>44702.324999999997</v>
      </c>
      <c r="BH133">
        <v>49392.076000000001</v>
      </c>
      <c r="BI133">
        <v>58375.907500000008</v>
      </c>
      <c r="BJ133">
        <v>70239.999999999985</v>
      </c>
      <c r="BK133">
        <v>81597.5</v>
      </c>
      <c r="BL133">
        <v>118941.322</v>
      </c>
      <c r="BM133">
        <v>163981.24299999949</v>
      </c>
      <c r="BN133">
        <v>270486.4050000002</v>
      </c>
      <c r="BO133">
        <v>446888.37399999989</v>
      </c>
      <c r="BP133">
        <v>2814221.66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 x14ac:dyDescent="0.35">
      <c r="A134">
        <v>352633</v>
      </c>
      <c r="B134" t="s">
        <v>259</v>
      </c>
      <c r="C134" t="s">
        <v>260</v>
      </c>
      <c r="D134" s="1">
        <v>45822</v>
      </c>
      <c r="E134">
        <v>53850</v>
      </c>
      <c r="F134">
        <v>161</v>
      </c>
      <c r="G134" t="s">
        <v>298</v>
      </c>
      <c r="H134" t="s">
        <v>262</v>
      </c>
      <c r="I134" t="s">
        <v>48</v>
      </c>
      <c r="L134">
        <v>1613300032597</v>
      </c>
      <c r="M134">
        <v>20250519</v>
      </c>
      <c r="N134" t="s">
        <v>263</v>
      </c>
      <c r="Q134" t="s">
        <v>55</v>
      </c>
      <c r="R134">
        <v>65000</v>
      </c>
      <c r="T134">
        <v>4848422</v>
      </c>
      <c r="U134">
        <v>7580050727</v>
      </c>
      <c r="V134" t="s">
        <v>316</v>
      </c>
      <c r="W134" t="s">
        <v>317</v>
      </c>
      <c r="X134" t="s">
        <v>229</v>
      </c>
      <c r="Y134" t="s">
        <v>49</v>
      </c>
      <c r="Z134">
        <v>1903</v>
      </c>
      <c r="AH134">
        <v>0</v>
      </c>
      <c r="AI134">
        <v>202505</v>
      </c>
      <c r="AJ134" t="s">
        <v>61</v>
      </c>
      <c r="AK134">
        <v>0</v>
      </c>
      <c r="AL134">
        <v>1</v>
      </c>
      <c r="AO134">
        <v>0</v>
      </c>
      <c r="AP134">
        <v>999</v>
      </c>
      <c r="AQ134">
        <v>491</v>
      </c>
      <c r="AR134">
        <v>491999</v>
      </c>
      <c r="AT134">
        <v>1</v>
      </c>
      <c r="AU134" t="s">
        <v>62</v>
      </c>
      <c r="AV134">
        <v>25045.55</v>
      </c>
      <c r="AW134">
        <v>26010.331999999999</v>
      </c>
      <c r="AX134">
        <v>27041.058000000001</v>
      </c>
      <c r="AY134">
        <v>28420.708999999999</v>
      </c>
      <c r="AZ134">
        <v>29962.351999999999</v>
      </c>
      <c r="BA134">
        <v>31788.16</v>
      </c>
      <c r="BB134">
        <v>34027.07</v>
      </c>
      <c r="BC134">
        <v>36641.5795</v>
      </c>
      <c r="BD134">
        <v>39840.642</v>
      </c>
      <c r="BE134">
        <v>40000</v>
      </c>
      <c r="BF134">
        <v>41343.269999999997</v>
      </c>
      <c r="BG134">
        <v>44702.324999999997</v>
      </c>
      <c r="BH134">
        <v>49392.076000000001</v>
      </c>
      <c r="BI134">
        <v>58375.907500000008</v>
      </c>
      <c r="BJ134">
        <v>70239.999999999985</v>
      </c>
      <c r="BK134">
        <v>81597.5</v>
      </c>
      <c r="BL134">
        <v>118941.322</v>
      </c>
      <c r="BM134">
        <v>163981.24299999949</v>
      </c>
      <c r="BN134">
        <v>270486.4050000002</v>
      </c>
      <c r="BO134">
        <v>446888.37399999989</v>
      </c>
      <c r="BP134">
        <v>2814221.66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 x14ac:dyDescent="0.35">
      <c r="A135">
        <v>352625</v>
      </c>
      <c r="B135" t="s">
        <v>259</v>
      </c>
      <c r="C135" t="s">
        <v>260</v>
      </c>
      <c r="D135" s="1">
        <v>45822</v>
      </c>
      <c r="E135">
        <v>53850</v>
      </c>
      <c r="F135">
        <v>132</v>
      </c>
      <c r="G135" t="s">
        <v>161</v>
      </c>
      <c r="H135" t="s">
        <v>262</v>
      </c>
      <c r="I135" t="s">
        <v>48</v>
      </c>
      <c r="L135">
        <v>1323300003714</v>
      </c>
      <c r="M135">
        <v>20250507</v>
      </c>
      <c r="N135" t="s">
        <v>263</v>
      </c>
      <c r="Q135" t="s">
        <v>55</v>
      </c>
      <c r="R135">
        <v>26036</v>
      </c>
      <c r="T135">
        <v>3724103</v>
      </c>
      <c r="U135">
        <v>2178850760</v>
      </c>
      <c r="V135" t="s">
        <v>284</v>
      </c>
      <c r="W135" t="s">
        <v>53</v>
      </c>
      <c r="X135" t="s">
        <v>283</v>
      </c>
      <c r="Y135" t="s">
        <v>49</v>
      </c>
      <c r="Z135">
        <v>823</v>
      </c>
      <c r="AH135">
        <v>0</v>
      </c>
      <c r="AI135">
        <v>202505</v>
      </c>
      <c r="AJ135" t="s">
        <v>160</v>
      </c>
      <c r="AK135">
        <v>1</v>
      </c>
      <c r="AL135">
        <v>1</v>
      </c>
      <c r="AO135">
        <v>0</v>
      </c>
      <c r="AP135">
        <v>999</v>
      </c>
      <c r="AQ135">
        <v>430</v>
      </c>
      <c r="AR135">
        <v>430999</v>
      </c>
      <c r="AT135">
        <v>1</v>
      </c>
      <c r="AU135" t="s">
        <v>54</v>
      </c>
      <c r="AV135">
        <v>25045.55</v>
      </c>
      <c r="AW135">
        <v>26010.331999999999</v>
      </c>
      <c r="AX135">
        <v>27041.058000000001</v>
      </c>
      <c r="AY135">
        <v>28420.708999999999</v>
      </c>
      <c r="AZ135">
        <v>29962.351999999999</v>
      </c>
      <c r="BA135">
        <v>31788.16</v>
      </c>
      <c r="BB135">
        <v>34027.07</v>
      </c>
      <c r="BC135">
        <v>36641.5795</v>
      </c>
      <c r="BD135">
        <v>39840.642</v>
      </c>
      <c r="BE135">
        <v>40000</v>
      </c>
      <c r="BF135">
        <v>41343.269999999997</v>
      </c>
      <c r="BG135">
        <v>44702.324999999997</v>
      </c>
      <c r="BH135">
        <v>49392.076000000001</v>
      </c>
      <c r="BI135">
        <v>58375.907500000008</v>
      </c>
      <c r="BJ135">
        <v>70239.999999999985</v>
      </c>
      <c r="BK135">
        <v>81597.5</v>
      </c>
      <c r="BL135">
        <v>118941.322</v>
      </c>
      <c r="BM135">
        <v>163981.24299999949</v>
      </c>
      <c r="BN135">
        <v>270486.4050000002</v>
      </c>
      <c r="BO135">
        <v>446888.37399999989</v>
      </c>
      <c r="BP135">
        <v>2814221.66</v>
      </c>
      <c r="BQ135">
        <v>1</v>
      </c>
      <c r="BR135">
        <v>1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 x14ac:dyDescent="0.35">
      <c r="A136">
        <v>352624</v>
      </c>
      <c r="B136" t="s">
        <v>259</v>
      </c>
      <c r="C136" t="s">
        <v>260</v>
      </c>
      <c r="D136" s="1">
        <v>45822</v>
      </c>
      <c r="E136">
        <v>53850</v>
      </c>
      <c r="F136">
        <v>118</v>
      </c>
      <c r="G136" t="s">
        <v>92</v>
      </c>
      <c r="H136" t="s">
        <v>262</v>
      </c>
      <c r="I136" t="s">
        <v>48</v>
      </c>
      <c r="L136">
        <v>1183306277717</v>
      </c>
      <c r="M136">
        <v>20250506</v>
      </c>
      <c r="N136" t="s">
        <v>263</v>
      </c>
      <c r="Q136" t="s">
        <v>55</v>
      </c>
      <c r="R136">
        <v>68573.66</v>
      </c>
      <c r="T136">
        <v>4237439</v>
      </c>
      <c r="U136">
        <v>5982410721</v>
      </c>
      <c r="V136" t="s">
        <v>241</v>
      </c>
      <c r="W136" t="s">
        <v>53</v>
      </c>
      <c r="X136" t="s">
        <v>83</v>
      </c>
      <c r="Y136" t="s">
        <v>49</v>
      </c>
      <c r="Z136">
        <v>1203</v>
      </c>
      <c r="AH136">
        <v>0</v>
      </c>
      <c r="AI136">
        <v>202505</v>
      </c>
      <c r="AJ136" t="s">
        <v>160</v>
      </c>
      <c r="AK136">
        <v>1</v>
      </c>
      <c r="AL136">
        <v>1</v>
      </c>
      <c r="AO136">
        <v>0</v>
      </c>
      <c r="AP136">
        <v>462</v>
      </c>
      <c r="AQ136">
        <v>430</v>
      </c>
      <c r="AR136">
        <v>430462</v>
      </c>
      <c r="AS136" t="s">
        <v>58</v>
      </c>
      <c r="AU136" t="s">
        <v>58</v>
      </c>
      <c r="AV136">
        <v>25045.55</v>
      </c>
      <c r="AW136">
        <v>26010.331999999999</v>
      </c>
      <c r="AX136">
        <v>27041.058000000001</v>
      </c>
      <c r="AY136">
        <v>28420.708999999999</v>
      </c>
      <c r="AZ136">
        <v>29962.351999999999</v>
      </c>
      <c r="BA136">
        <v>31788.16</v>
      </c>
      <c r="BB136">
        <v>34027.07</v>
      </c>
      <c r="BC136">
        <v>36641.5795</v>
      </c>
      <c r="BD136">
        <v>39840.642</v>
      </c>
      <c r="BE136">
        <v>40000</v>
      </c>
      <c r="BF136">
        <v>41343.269999999997</v>
      </c>
      <c r="BG136">
        <v>44702.324999999997</v>
      </c>
      <c r="BH136">
        <v>49392.076000000001</v>
      </c>
      <c r="BI136">
        <v>58375.907500000008</v>
      </c>
      <c r="BJ136">
        <v>70239.999999999985</v>
      </c>
      <c r="BK136">
        <v>81597.5</v>
      </c>
      <c r="BL136">
        <v>118941.322</v>
      </c>
      <c r="BM136">
        <v>163981.24299999949</v>
      </c>
      <c r="BN136">
        <v>270486.4050000002</v>
      </c>
      <c r="BO136">
        <v>446888.37399999989</v>
      </c>
      <c r="BP136">
        <v>2814221.66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 x14ac:dyDescent="0.35">
      <c r="A137">
        <v>352618</v>
      </c>
      <c r="B137" t="s">
        <v>259</v>
      </c>
      <c r="C137" t="s">
        <v>260</v>
      </c>
      <c r="D137" s="1">
        <v>45822</v>
      </c>
      <c r="E137">
        <v>53850</v>
      </c>
      <c r="F137">
        <v>105</v>
      </c>
      <c r="G137" t="s">
        <v>47</v>
      </c>
      <c r="H137" t="s">
        <v>262</v>
      </c>
      <c r="I137" t="s">
        <v>48</v>
      </c>
      <c r="L137">
        <v>1053306287103</v>
      </c>
      <c r="M137">
        <v>20250522</v>
      </c>
      <c r="N137" t="s">
        <v>263</v>
      </c>
      <c r="Q137" t="s">
        <v>55</v>
      </c>
      <c r="R137">
        <v>425976.13</v>
      </c>
      <c r="T137">
        <v>4263360</v>
      </c>
      <c r="U137">
        <v>5982300724</v>
      </c>
      <c r="V137" t="s">
        <v>268</v>
      </c>
      <c r="W137" t="s">
        <v>53</v>
      </c>
      <c r="X137" t="s">
        <v>269</v>
      </c>
      <c r="Y137" t="s">
        <v>49</v>
      </c>
      <c r="Z137">
        <v>1058</v>
      </c>
      <c r="AH137">
        <v>0</v>
      </c>
      <c r="AI137">
        <v>202505</v>
      </c>
      <c r="AJ137" t="s">
        <v>61</v>
      </c>
      <c r="AK137">
        <v>0</v>
      </c>
      <c r="AL137">
        <v>1</v>
      </c>
      <c r="AO137">
        <v>0</v>
      </c>
      <c r="AP137">
        <v>999</v>
      </c>
      <c r="AQ137">
        <v>430</v>
      </c>
      <c r="AR137">
        <v>430999</v>
      </c>
      <c r="AT137">
        <v>1</v>
      </c>
      <c r="AU137" t="s">
        <v>54</v>
      </c>
      <c r="AV137">
        <v>25045.55</v>
      </c>
      <c r="AW137">
        <v>26010.331999999999</v>
      </c>
      <c r="AX137">
        <v>27041.058000000001</v>
      </c>
      <c r="AY137">
        <v>28420.708999999999</v>
      </c>
      <c r="AZ137">
        <v>29962.351999999999</v>
      </c>
      <c r="BA137">
        <v>31788.16</v>
      </c>
      <c r="BB137">
        <v>34027.07</v>
      </c>
      <c r="BC137">
        <v>36641.5795</v>
      </c>
      <c r="BD137">
        <v>39840.642</v>
      </c>
      <c r="BE137">
        <v>40000</v>
      </c>
      <c r="BF137">
        <v>41343.269999999997</v>
      </c>
      <c r="BG137">
        <v>44702.324999999997</v>
      </c>
      <c r="BH137">
        <v>49392.076000000001</v>
      </c>
      <c r="BI137">
        <v>58375.907500000008</v>
      </c>
      <c r="BJ137">
        <v>70239.999999999985</v>
      </c>
      <c r="BK137">
        <v>81597.5</v>
      </c>
      <c r="BL137">
        <v>118941.322</v>
      </c>
      <c r="BM137">
        <v>163981.24299999949</v>
      </c>
      <c r="BN137">
        <v>270486.4050000002</v>
      </c>
      <c r="BO137">
        <v>446888.37399999989</v>
      </c>
      <c r="BP137">
        <v>2814221.66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0</v>
      </c>
      <c r="CK137">
        <v>0</v>
      </c>
    </row>
    <row r="138" spans="1:89" x14ac:dyDescent="0.35">
      <c r="A138">
        <v>352617</v>
      </c>
      <c r="B138" t="s">
        <v>259</v>
      </c>
      <c r="C138" t="s">
        <v>260</v>
      </c>
      <c r="D138" s="1">
        <v>45822</v>
      </c>
      <c r="E138">
        <v>53850</v>
      </c>
      <c r="F138">
        <v>105</v>
      </c>
      <c r="G138" t="s">
        <v>47</v>
      </c>
      <c r="H138" t="s">
        <v>262</v>
      </c>
      <c r="I138" t="s">
        <v>48</v>
      </c>
      <c r="L138">
        <v>1053306287103</v>
      </c>
      <c r="M138">
        <v>20250519</v>
      </c>
      <c r="N138" t="s">
        <v>263</v>
      </c>
      <c r="Q138" t="s">
        <v>55</v>
      </c>
      <c r="R138">
        <v>140000</v>
      </c>
      <c r="T138">
        <v>4263360</v>
      </c>
      <c r="U138">
        <v>5982300724</v>
      </c>
      <c r="V138" t="s">
        <v>268</v>
      </c>
      <c r="W138" t="s">
        <v>53</v>
      </c>
      <c r="X138" t="s">
        <v>269</v>
      </c>
      <c r="Y138" t="s">
        <v>49</v>
      </c>
      <c r="Z138">
        <v>1058</v>
      </c>
      <c r="AH138">
        <v>0</v>
      </c>
      <c r="AI138">
        <v>202505</v>
      </c>
      <c r="AJ138" t="s">
        <v>61</v>
      </c>
      <c r="AK138">
        <v>0</v>
      </c>
      <c r="AL138">
        <v>1</v>
      </c>
      <c r="AO138">
        <v>0</v>
      </c>
      <c r="AP138">
        <v>999</v>
      </c>
      <c r="AQ138">
        <v>430</v>
      </c>
      <c r="AR138">
        <v>430999</v>
      </c>
      <c r="AT138">
        <v>1</v>
      </c>
      <c r="AU138" t="s">
        <v>54</v>
      </c>
      <c r="AV138">
        <v>25045.55</v>
      </c>
      <c r="AW138">
        <v>26010.331999999999</v>
      </c>
      <c r="AX138">
        <v>27041.058000000001</v>
      </c>
      <c r="AY138">
        <v>28420.708999999999</v>
      </c>
      <c r="AZ138">
        <v>29962.351999999999</v>
      </c>
      <c r="BA138">
        <v>31788.16</v>
      </c>
      <c r="BB138">
        <v>34027.07</v>
      </c>
      <c r="BC138">
        <v>36641.5795</v>
      </c>
      <c r="BD138">
        <v>39840.642</v>
      </c>
      <c r="BE138">
        <v>40000</v>
      </c>
      <c r="BF138">
        <v>41343.269999999997</v>
      </c>
      <c r="BG138">
        <v>44702.324999999997</v>
      </c>
      <c r="BH138">
        <v>49392.076000000001</v>
      </c>
      <c r="BI138">
        <v>58375.907500000008</v>
      </c>
      <c r="BJ138">
        <v>70239.999999999985</v>
      </c>
      <c r="BK138">
        <v>81597.5</v>
      </c>
      <c r="BL138">
        <v>118941.322</v>
      </c>
      <c r="BM138">
        <v>163981.24299999949</v>
      </c>
      <c r="BN138">
        <v>270486.4050000002</v>
      </c>
      <c r="BO138">
        <v>446888.37399999989</v>
      </c>
      <c r="BP138">
        <v>2814221.66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0</v>
      </c>
      <c r="CI138">
        <v>0</v>
      </c>
      <c r="CJ138">
        <v>0</v>
      </c>
      <c r="CK138">
        <v>0</v>
      </c>
    </row>
    <row r="139" spans="1:89" x14ac:dyDescent="0.35">
      <c r="A139">
        <v>352609</v>
      </c>
      <c r="B139" t="s">
        <v>259</v>
      </c>
      <c r="C139" t="s">
        <v>260</v>
      </c>
      <c r="D139" s="1">
        <v>45822</v>
      </c>
      <c r="E139">
        <v>53850</v>
      </c>
      <c r="F139">
        <v>261</v>
      </c>
      <c r="G139" t="s">
        <v>78</v>
      </c>
      <c r="H139" t="s">
        <v>262</v>
      </c>
      <c r="I139" t="s">
        <v>48</v>
      </c>
      <c r="L139">
        <v>2613300010205</v>
      </c>
      <c r="M139">
        <v>20250529</v>
      </c>
      <c r="N139" t="s">
        <v>263</v>
      </c>
      <c r="Q139" t="s">
        <v>55</v>
      </c>
      <c r="R139">
        <v>29862</v>
      </c>
      <c r="T139">
        <v>4991786</v>
      </c>
      <c r="U139">
        <v>993400944</v>
      </c>
      <c r="V139" t="s">
        <v>247</v>
      </c>
      <c r="W139" t="s">
        <v>53</v>
      </c>
      <c r="X139" t="s">
        <v>237</v>
      </c>
      <c r="Y139" t="s">
        <v>49</v>
      </c>
      <c r="Z139">
        <v>1782</v>
      </c>
      <c r="AH139">
        <v>0</v>
      </c>
      <c r="AI139">
        <v>202505</v>
      </c>
      <c r="AJ139" t="s">
        <v>61</v>
      </c>
      <c r="AK139">
        <v>0</v>
      </c>
      <c r="AL139">
        <v>1</v>
      </c>
      <c r="AM139">
        <v>4991786</v>
      </c>
      <c r="AN139">
        <v>1</v>
      </c>
      <c r="AO139">
        <v>0</v>
      </c>
      <c r="AP139">
        <v>999</v>
      </c>
      <c r="AQ139">
        <v>430</v>
      </c>
      <c r="AR139">
        <v>430999</v>
      </c>
      <c r="AT139">
        <v>1</v>
      </c>
      <c r="AU139" t="s">
        <v>54</v>
      </c>
      <c r="AV139">
        <v>25045.55</v>
      </c>
      <c r="AW139">
        <v>26010.331999999999</v>
      </c>
      <c r="AX139">
        <v>27041.058000000001</v>
      </c>
      <c r="AY139">
        <v>28420.708999999999</v>
      </c>
      <c r="AZ139">
        <v>29962.351999999999</v>
      </c>
      <c r="BA139">
        <v>31788.16</v>
      </c>
      <c r="BB139">
        <v>34027.07</v>
      </c>
      <c r="BC139">
        <v>36641.5795</v>
      </c>
      <c r="BD139">
        <v>39840.642</v>
      </c>
      <c r="BE139">
        <v>40000</v>
      </c>
      <c r="BF139">
        <v>41343.269999999997</v>
      </c>
      <c r="BG139">
        <v>44702.324999999997</v>
      </c>
      <c r="BH139">
        <v>49392.076000000001</v>
      </c>
      <c r="BI139">
        <v>58375.907500000008</v>
      </c>
      <c r="BJ139">
        <v>70239.999999999985</v>
      </c>
      <c r="BK139">
        <v>81597.5</v>
      </c>
      <c r="BL139">
        <v>118941.322</v>
      </c>
      <c r="BM139">
        <v>163981.24299999949</v>
      </c>
      <c r="BN139">
        <v>270486.4050000002</v>
      </c>
      <c r="BO139">
        <v>446888.37399999989</v>
      </c>
      <c r="BP139">
        <v>2814221.66</v>
      </c>
      <c r="BQ139">
        <v>1</v>
      </c>
      <c r="BR139">
        <v>1</v>
      </c>
      <c r="BS139">
        <v>1</v>
      </c>
      <c r="BT139">
        <v>1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 x14ac:dyDescent="0.35">
      <c r="A140">
        <v>352600</v>
      </c>
      <c r="B140" t="s">
        <v>259</v>
      </c>
      <c r="C140" t="s">
        <v>260</v>
      </c>
      <c r="D140" s="1">
        <v>45822</v>
      </c>
      <c r="E140">
        <v>53850</v>
      </c>
      <c r="F140">
        <v>108</v>
      </c>
      <c r="G140" t="s">
        <v>88</v>
      </c>
      <c r="H140" t="s">
        <v>262</v>
      </c>
      <c r="I140" t="s">
        <v>48</v>
      </c>
      <c r="L140">
        <v>1083300011180</v>
      </c>
      <c r="M140">
        <v>20250520</v>
      </c>
      <c r="N140" t="s">
        <v>279</v>
      </c>
      <c r="Q140" t="s">
        <v>55</v>
      </c>
      <c r="R140">
        <v>122693.54</v>
      </c>
      <c r="T140">
        <v>1118</v>
      </c>
      <c r="U140">
        <v>3246700722</v>
      </c>
      <c r="V140" t="s">
        <v>302</v>
      </c>
      <c r="W140" t="s">
        <v>53</v>
      </c>
      <c r="X140" t="s">
        <v>286</v>
      </c>
      <c r="Y140" t="s">
        <v>49</v>
      </c>
      <c r="Z140">
        <v>1058</v>
      </c>
      <c r="AH140">
        <v>0</v>
      </c>
      <c r="AI140">
        <v>202505</v>
      </c>
      <c r="AJ140" t="s">
        <v>51</v>
      </c>
      <c r="AK140">
        <v>0</v>
      </c>
      <c r="AL140">
        <v>1</v>
      </c>
      <c r="AO140">
        <v>0</v>
      </c>
      <c r="AP140">
        <v>999</v>
      </c>
      <c r="AQ140">
        <v>430</v>
      </c>
      <c r="AR140">
        <v>430999</v>
      </c>
      <c r="AT140">
        <v>1</v>
      </c>
      <c r="AU140" t="s">
        <v>54</v>
      </c>
      <c r="AV140">
        <v>25045.55</v>
      </c>
      <c r="AW140">
        <v>26010.331999999999</v>
      </c>
      <c r="AX140">
        <v>27041.058000000001</v>
      </c>
      <c r="AY140">
        <v>28420.708999999999</v>
      </c>
      <c r="AZ140">
        <v>29962.351999999999</v>
      </c>
      <c r="BA140">
        <v>31788.16</v>
      </c>
      <c r="BB140">
        <v>34027.07</v>
      </c>
      <c r="BC140">
        <v>36641.5795</v>
      </c>
      <c r="BD140">
        <v>39840.642</v>
      </c>
      <c r="BE140">
        <v>40000</v>
      </c>
      <c r="BF140">
        <v>41343.269999999997</v>
      </c>
      <c r="BG140">
        <v>44702.324999999997</v>
      </c>
      <c r="BH140">
        <v>49392.076000000001</v>
      </c>
      <c r="BI140">
        <v>58375.907500000008</v>
      </c>
      <c r="BJ140">
        <v>70239.999999999985</v>
      </c>
      <c r="BK140">
        <v>81597.5</v>
      </c>
      <c r="BL140">
        <v>118941.322</v>
      </c>
      <c r="BM140">
        <v>163981.24299999949</v>
      </c>
      <c r="BN140">
        <v>270486.4050000002</v>
      </c>
      <c r="BO140">
        <v>446888.37399999989</v>
      </c>
      <c r="BP140">
        <v>2814221.66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0</v>
      </c>
      <c r="CI140">
        <v>0</v>
      </c>
      <c r="CJ140">
        <v>0</v>
      </c>
      <c r="CK140">
        <v>0</v>
      </c>
    </row>
    <row r="141" spans="1:89" x14ac:dyDescent="0.35">
      <c r="A141">
        <v>352583</v>
      </c>
      <c r="B141" t="s">
        <v>259</v>
      </c>
      <c r="C141" t="s">
        <v>260</v>
      </c>
      <c r="D141" s="1">
        <v>45822</v>
      </c>
      <c r="E141">
        <v>53850</v>
      </c>
      <c r="F141">
        <v>187</v>
      </c>
      <c r="G141" t="s">
        <v>66</v>
      </c>
      <c r="H141" t="s">
        <v>262</v>
      </c>
      <c r="I141" t="s">
        <v>48</v>
      </c>
      <c r="L141">
        <v>999361870311</v>
      </c>
      <c r="M141">
        <v>20250516</v>
      </c>
      <c r="N141" t="s">
        <v>263</v>
      </c>
      <c r="Q141" t="s">
        <v>55</v>
      </c>
      <c r="R141">
        <v>25162.68</v>
      </c>
      <c r="T141">
        <v>3004644</v>
      </c>
      <c r="U141">
        <v>80008750731</v>
      </c>
      <c r="V141" t="s">
        <v>318</v>
      </c>
      <c r="W141" t="s">
        <v>319</v>
      </c>
      <c r="Y141" t="s">
        <v>49</v>
      </c>
      <c r="Z141">
        <v>1627</v>
      </c>
      <c r="AH141">
        <v>0</v>
      </c>
      <c r="AI141">
        <v>202505</v>
      </c>
      <c r="AJ141" t="s">
        <v>61</v>
      </c>
      <c r="AK141">
        <v>0</v>
      </c>
      <c r="AL141">
        <v>1</v>
      </c>
      <c r="AO141">
        <v>0</v>
      </c>
      <c r="AP141">
        <v>999</v>
      </c>
      <c r="AQ141">
        <v>173</v>
      </c>
      <c r="AR141">
        <v>173999</v>
      </c>
      <c r="AS141" t="s">
        <v>59</v>
      </c>
      <c r="AU141" t="s">
        <v>59</v>
      </c>
      <c r="AV141">
        <v>25045.55</v>
      </c>
      <c r="AW141">
        <v>26010.331999999999</v>
      </c>
      <c r="AX141">
        <v>27041.058000000001</v>
      </c>
      <c r="AY141">
        <v>28420.708999999999</v>
      </c>
      <c r="AZ141">
        <v>29962.351999999999</v>
      </c>
      <c r="BA141">
        <v>31788.16</v>
      </c>
      <c r="BB141">
        <v>34027.07</v>
      </c>
      <c r="BC141">
        <v>36641.5795</v>
      </c>
      <c r="BD141">
        <v>39840.642</v>
      </c>
      <c r="BE141">
        <v>40000</v>
      </c>
      <c r="BF141">
        <v>41343.269999999997</v>
      </c>
      <c r="BG141">
        <v>44702.324999999997</v>
      </c>
      <c r="BH141">
        <v>49392.076000000001</v>
      </c>
      <c r="BI141">
        <v>58375.907500000008</v>
      </c>
      <c r="BJ141">
        <v>70239.999999999985</v>
      </c>
      <c r="BK141">
        <v>81597.5</v>
      </c>
      <c r="BL141">
        <v>118941.322</v>
      </c>
      <c r="BM141">
        <v>163981.24299999949</v>
      </c>
      <c r="BN141">
        <v>270486.4050000002</v>
      </c>
      <c r="BO141">
        <v>446888.37399999989</v>
      </c>
      <c r="BP141">
        <v>2814221.66</v>
      </c>
      <c r="BQ141">
        <v>1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 x14ac:dyDescent="0.35">
      <c r="A142">
        <v>352579</v>
      </c>
      <c r="B142" t="s">
        <v>259</v>
      </c>
      <c r="C142" t="s">
        <v>260</v>
      </c>
      <c r="D142" s="1">
        <v>45822</v>
      </c>
      <c r="E142">
        <v>53850</v>
      </c>
      <c r="F142">
        <v>105</v>
      </c>
      <c r="G142" t="s">
        <v>47</v>
      </c>
      <c r="H142" t="s">
        <v>262</v>
      </c>
      <c r="I142" t="s">
        <v>48</v>
      </c>
      <c r="L142">
        <v>1053306287103</v>
      </c>
      <c r="M142">
        <v>20250526</v>
      </c>
      <c r="N142" t="s">
        <v>263</v>
      </c>
      <c r="Q142" t="s">
        <v>55</v>
      </c>
      <c r="R142">
        <v>1000000</v>
      </c>
      <c r="T142">
        <v>4263360</v>
      </c>
      <c r="U142">
        <v>5982300724</v>
      </c>
      <c r="V142" t="s">
        <v>268</v>
      </c>
      <c r="W142" t="s">
        <v>53</v>
      </c>
      <c r="X142" t="s">
        <v>269</v>
      </c>
      <c r="Y142" t="s">
        <v>49</v>
      </c>
      <c r="Z142">
        <v>1058</v>
      </c>
      <c r="AH142">
        <v>0</v>
      </c>
      <c r="AI142">
        <v>202505</v>
      </c>
      <c r="AJ142" t="s">
        <v>61</v>
      </c>
      <c r="AK142">
        <v>0</v>
      </c>
      <c r="AL142">
        <v>1</v>
      </c>
      <c r="AO142">
        <v>0</v>
      </c>
      <c r="AP142">
        <v>999</v>
      </c>
      <c r="AQ142">
        <v>430</v>
      </c>
      <c r="AR142">
        <v>430999</v>
      </c>
      <c r="AT142">
        <v>1</v>
      </c>
      <c r="AU142" t="s">
        <v>54</v>
      </c>
      <c r="AV142">
        <v>25045.55</v>
      </c>
      <c r="AW142">
        <v>26010.331999999999</v>
      </c>
      <c r="AX142">
        <v>27041.058000000001</v>
      </c>
      <c r="AY142">
        <v>28420.708999999999</v>
      </c>
      <c r="AZ142">
        <v>29962.351999999999</v>
      </c>
      <c r="BA142">
        <v>31788.16</v>
      </c>
      <c r="BB142">
        <v>34027.07</v>
      </c>
      <c r="BC142">
        <v>36641.5795</v>
      </c>
      <c r="BD142">
        <v>39840.642</v>
      </c>
      <c r="BE142">
        <v>40000</v>
      </c>
      <c r="BF142">
        <v>41343.269999999997</v>
      </c>
      <c r="BG142">
        <v>44702.324999999997</v>
      </c>
      <c r="BH142">
        <v>49392.076000000001</v>
      </c>
      <c r="BI142">
        <v>58375.907500000008</v>
      </c>
      <c r="BJ142">
        <v>70239.999999999985</v>
      </c>
      <c r="BK142">
        <v>81597.5</v>
      </c>
      <c r="BL142">
        <v>118941.322</v>
      </c>
      <c r="BM142">
        <v>163981.24299999949</v>
      </c>
      <c r="BN142">
        <v>270486.4050000002</v>
      </c>
      <c r="BO142">
        <v>446888.37399999989</v>
      </c>
      <c r="BP142">
        <v>2814221.66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0</v>
      </c>
    </row>
    <row r="143" spans="1:89" x14ac:dyDescent="0.35">
      <c r="A143">
        <v>352578</v>
      </c>
      <c r="B143" t="s">
        <v>259</v>
      </c>
      <c r="C143" t="s">
        <v>260</v>
      </c>
      <c r="D143" s="1">
        <v>45822</v>
      </c>
      <c r="E143">
        <v>53850</v>
      </c>
      <c r="F143">
        <v>109</v>
      </c>
      <c r="G143" t="s">
        <v>65</v>
      </c>
      <c r="H143" t="s">
        <v>262</v>
      </c>
      <c r="I143" t="s">
        <v>48</v>
      </c>
      <c r="L143">
        <v>1093306674353</v>
      </c>
      <c r="M143">
        <v>20250516</v>
      </c>
      <c r="N143" t="s">
        <v>263</v>
      </c>
      <c r="Q143" t="s">
        <v>55</v>
      </c>
      <c r="R143">
        <v>127798.39999999999</v>
      </c>
      <c r="T143">
        <v>4916449</v>
      </c>
      <c r="U143">
        <v>8176830720</v>
      </c>
      <c r="V143" t="s">
        <v>288</v>
      </c>
      <c r="W143" t="s">
        <v>53</v>
      </c>
      <c r="X143" t="s">
        <v>177</v>
      </c>
      <c r="Y143" t="s">
        <v>49</v>
      </c>
      <c r="Z143">
        <v>1903</v>
      </c>
      <c r="AH143">
        <v>0</v>
      </c>
      <c r="AI143">
        <v>202505</v>
      </c>
      <c r="AJ143" t="s">
        <v>61</v>
      </c>
      <c r="AK143">
        <v>0</v>
      </c>
      <c r="AL143">
        <v>1</v>
      </c>
      <c r="AM143">
        <v>4916449</v>
      </c>
      <c r="AN143">
        <v>1</v>
      </c>
      <c r="AO143">
        <v>0</v>
      </c>
      <c r="AP143">
        <v>451</v>
      </c>
      <c r="AQ143">
        <v>430</v>
      </c>
      <c r="AR143">
        <v>430451</v>
      </c>
      <c r="AS143" t="s">
        <v>58</v>
      </c>
      <c r="AU143" t="s">
        <v>58</v>
      </c>
      <c r="AV143">
        <v>25045.55</v>
      </c>
      <c r="AW143">
        <v>26010.331999999999</v>
      </c>
      <c r="AX143">
        <v>27041.058000000001</v>
      </c>
      <c r="AY143">
        <v>28420.708999999999</v>
      </c>
      <c r="AZ143">
        <v>29962.351999999999</v>
      </c>
      <c r="BA143">
        <v>31788.16</v>
      </c>
      <c r="BB143">
        <v>34027.07</v>
      </c>
      <c r="BC143">
        <v>36641.5795</v>
      </c>
      <c r="BD143">
        <v>39840.642</v>
      </c>
      <c r="BE143">
        <v>40000</v>
      </c>
      <c r="BF143">
        <v>41343.269999999997</v>
      </c>
      <c r="BG143">
        <v>44702.324999999997</v>
      </c>
      <c r="BH143">
        <v>49392.076000000001</v>
      </c>
      <c r="BI143">
        <v>58375.907500000008</v>
      </c>
      <c r="BJ143">
        <v>70239.999999999985</v>
      </c>
      <c r="BK143">
        <v>81597.5</v>
      </c>
      <c r="BL143">
        <v>118941.322</v>
      </c>
      <c r="BM143">
        <v>163981.24299999949</v>
      </c>
      <c r="BN143">
        <v>270486.4050000002</v>
      </c>
      <c r="BO143">
        <v>446888.37399999989</v>
      </c>
      <c r="BP143">
        <v>2814221.66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0</v>
      </c>
      <c r="CI143">
        <v>0</v>
      </c>
      <c r="CJ143">
        <v>0</v>
      </c>
      <c r="CK143">
        <v>0</v>
      </c>
    </row>
    <row r="144" spans="1:89" x14ac:dyDescent="0.35">
      <c r="A144">
        <v>352572</v>
      </c>
      <c r="B144" t="s">
        <v>259</v>
      </c>
      <c r="C144" t="s">
        <v>260</v>
      </c>
      <c r="D144" s="1">
        <v>45822</v>
      </c>
      <c r="E144">
        <v>53850</v>
      </c>
      <c r="F144">
        <v>108</v>
      </c>
      <c r="G144" t="s">
        <v>88</v>
      </c>
      <c r="H144" t="s">
        <v>262</v>
      </c>
      <c r="I144" t="s">
        <v>48</v>
      </c>
      <c r="L144">
        <v>1083300011180</v>
      </c>
      <c r="M144">
        <v>20250502</v>
      </c>
      <c r="N144" t="s">
        <v>263</v>
      </c>
      <c r="Q144" t="s">
        <v>55</v>
      </c>
      <c r="R144">
        <v>260373.79</v>
      </c>
      <c r="T144">
        <v>1118</v>
      </c>
      <c r="U144">
        <v>3246700722</v>
      </c>
      <c r="V144" t="s">
        <v>302</v>
      </c>
      <c r="W144" t="s">
        <v>53</v>
      </c>
      <c r="X144" t="s">
        <v>286</v>
      </c>
      <c r="Y144" t="s">
        <v>49</v>
      </c>
      <c r="Z144">
        <v>1058</v>
      </c>
      <c r="AH144">
        <v>0</v>
      </c>
      <c r="AI144">
        <v>202505</v>
      </c>
      <c r="AJ144" t="s">
        <v>51</v>
      </c>
      <c r="AK144">
        <v>0</v>
      </c>
      <c r="AL144">
        <v>1</v>
      </c>
      <c r="AO144">
        <v>0</v>
      </c>
      <c r="AP144">
        <v>999</v>
      </c>
      <c r="AQ144">
        <v>430</v>
      </c>
      <c r="AR144">
        <v>430999</v>
      </c>
      <c r="AT144">
        <v>1</v>
      </c>
      <c r="AU144" t="s">
        <v>54</v>
      </c>
      <c r="AV144">
        <v>25045.55</v>
      </c>
      <c r="AW144">
        <v>26010.331999999999</v>
      </c>
      <c r="AX144">
        <v>27041.058000000001</v>
      </c>
      <c r="AY144">
        <v>28420.708999999999</v>
      </c>
      <c r="AZ144">
        <v>29962.351999999999</v>
      </c>
      <c r="BA144">
        <v>31788.16</v>
      </c>
      <c r="BB144">
        <v>34027.07</v>
      </c>
      <c r="BC144">
        <v>36641.5795</v>
      </c>
      <c r="BD144">
        <v>39840.642</v>
      </c>
      <c r="BE144">
        <v>40000</v>
      </c>
      <c r="BF144">
        <v>41343.269999999997</v>
      </c>
      <c r="BG144">
        <v>44702.324999999997</v>
      </c>
      <c r="BH144">
        <v>49392.076000000001</v>
      </c>
      <c r="BI144">
        <v>58375.907500000008</v>
      </c>
      <c r="BJ144">
        <v>70239.999999999985</v>
      </c>
      <c r="BK144">
        <v>81597.5</v>
      </c>
      <c r="BL144">
        <v>118941.322</v>
      </c>
      <c r="BM144">
        <v>163981.24299999949</v>
      </c>
      <c r="BN144">
        <v>270486.4050000002</v>
      </c>
      <c r="BO144">
        <v>446888.37399999989</v>
      </c>
      <c r="BP144">
        <v>2814221.66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0</v>
      </c>
      <c r="CJ144">
        <v>0</v>
      </c>
      <c r="CK144">
        <v>0</v>
      </c>
    </row>
    <row r="145" spans="1:89" x14ac:dyDescent="0.35">
      <c r="A145">
        <v>352566</v>
      </c>
      <c r="B145" t="s">
        <v>259</v>
      </c>
      <c r="C145" t="s">
        <v>260</v>
      </c>
      <c r="D145" s="1">
        <v>45822</v>
      </c>
      <c r="E145">
        <v>53850</v>
      </c>
      <c r="F145">
        <v>187</v>
      </c>
      <c r="G145" t="s">
        <v>66</v>
      </c>
      <c r="H145" t="s">
        <v>262</v>
      </c>
      <c r="I145" t="s">
        <v>48</v>
      </c>
      <c r="L145">
        <v>999361870311</v>
      </c>
      <c r="M145">
        <v>20250513</v>
      </c>
      <c r="N145" t="s">
        <v>263</v>
      </c>
      <c r="Q145" t="s">
        <v>55</v>
      </c>
      <c r="R145">
        <v>110485.34</v>
      </c>
      <c r="T145">
        <v>3004644</v>
      </c>
      <c r="U145">
        <v>80008750731</v>
      </c>
      <c r="V145" t="s">
        <v>318</v>
      </c>
      <c r="W145" t="s">
        <v>319</v>
      </c>
      <c r="Y145" t="s">
        <v>49</v>
      </c>
      <c r="Z145">
        <v>1627</v>
      </c>
      <c r="AH145">
        <v>0</v>
      </c>
      <c r="AI145">
        <v>202505</v>
      </c>
      <c r="AJ145" t="s">
        <v>61</v>
      </c>
      <c r="AK145">
        <v>0</v>
      </c>
      <c r="AL145">
        <v>1</v>
      </c>
      <c r="AO145">
        <v>0</v>
      </c>
      <c r="AP145">
        <v>999</v>
      </c>
      <c r="AQ145">
        <v>173</v>
      </c>
      <c r="AR145">
        <v>173999</v>
      </c>
      <c r="AS145" t="s">
        <v>59</v>
      </c>
      <c r="AU145" t="s">
        <v>59</v>
      </c>
      <c r="AV145">
        <v>25045.55</v>
      </c>
      <c r="AW145">
        <v>26010.331999999999</v>
      </c>
      <c r="AX145">
        <v>27041.058000000001</v>
      </c>
      <c r="AY145">
        <v>28420.708999999999</v>
      </c>
      <c r="AZ145">
        <v>29962.351999999999</v>
      </c>
      <c r="BA145">
        <v>31788.16</v>
      </c>
      <c r="BB145">
        <v>34027.07</v>
      </c>
      <c r="BC145">
        <v>36641.5795</v>
      </c>
      <c r="BD145">
        <v>39840.642</v>
      </c>
      <c r="BE145">
        <v>40000</v>
      </c>
      <c r="BF145">
        <v>41343.269999999997</v>
      </c>
      <c r="BG145">
        <v>44702.324999999997</v>
      </c>
      <c r="BH145">
        <v>49392.076000000001</v>
      </c>
      <c r="BI145">
        <v>58375.907500000008</v>
      </c>
      <c r="BJ145">
        <v>70239.999999999985</v>
      </c>
      <c r="BK145">
        <v>81597.5</v>
      </c>
      <c r="BL145">
        <v>118941.322</v>
      </c>
      <c r="BM145">
        <v>163981.24299999949</v>
      </c>
      <c r="BN145">
        <v>270486.4050000002</v>
      </c>
      <c r="BO145">
        <v>446888.37399999989</v>
      </c>
      <c r="BP145">
        <v>2814221.66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 x14ac:dyDescent="0.35">
      <c r="A146">
        <v>352561</v>
      </c>
      <c r="B146" t="s">
        <v>259</v>
      </c>
      <c r="C146" t="s">
        <v>260</v>
      </c>
      <c r="D146" s="1">
        <v>45822</v>
      </c>
      <c r="E146">
        <v>53850</v>
      </c>
      <c r="F146">
        <v>108</v>
      </c>
      <c r="G146" t="s">
        <v>88</v>
      </c>
      <c r="H146" t="s">
        <v>262</v>
      </c>
      <c r="I146" t="s">
        <v>48</v>
      </c>
      <c r="L146">
        <v>1083300011180</v>
      </c>
      <c r="M146">
        <v>20250519</v>
      </c>
      <c r="N146" t="s">
        <v>279</v>
      </c>
      <c r="Q146" t="s">
        <v>55</v>
      </c>
      <c r="R146">
        <v>40244.620000000003</v>
      </c>
      <c r="T146">
        <v>1118</v>
      </c>
      <c r="U146">
        <v>3246700722</v>
      </c>
      <c r="V146" t="s">
        <v>302</v>
      </c>
      <c r="W146" t="s">
        <v>53</v>
      </c>
      <c r="X146" t="s">
        <v>286</v>
      </c>
      <c r="Y146" t="s">
        <v>49</v>
      </c>
      <c r="Z146">
        <v>1058</v>
      </c>
      <c r="AH146">
        <v>0</v>
      </c>
      <c r="AI146">
        <v>202505</v>
      </c>
      <c r="AJ146" t="s">
        <v>51</v>
      </c>
      <c r="AK146">
        <v>0</v>
      </c>
      <c r="AL146">
        <v>1</v>
      </c>
      <c r="AO146">
        <v>0</v>
      </c>
      <c r="AP146">
        <v>999</v>
      </c>
      <c r="AQ146">
        <v>430</v>
      </c>
      <c r="AR146">
        <v>430999</v>
      </c>
      <c r="AT146">
        <v>1</v>
      </c>
      <c r="AU146" t="s">
        <v>54</v>
      </c>
      <c r="AV146">
        <v>25045.55</v>
      </c>
      <c r="AW146">
        <v>26010.331999999999</v>
      </c>
      <c r="AX146">
        <v>27041.058000000001</v>
      </c>
      <c r="AY146">
        <v>28420.708999999999</v>
      </c>
      <c r="AZ146">
        <v>29962.351999999999</v>
      </c>
      <c r="BA146">
        <v>31788.16</v>
      </c>
      <c r="BB146">
        <v>34027.07</v>
      </c>
      <c r="BC146">
        <v>36641.5795</v>
      </c>
      <c r="BD146">
        <v>39840.642</v>
      </c>
      <c r="BE146">
        <v>40000</v>
      </c>
      <c r="BF146">
        <v>41343.269999999997</v>
      </c>
      <c r="BG146">
        <v>44702.324999999997</v>
      </c>
      <c r="BH146">
        <v>49392.076000000001</v>
      </c>
      <c r="BI146">
        <v>58375.907500000008</v>
      </c>
      <c r="BJ146">
        <v>70239.999999999985</v>
      </c>
      <c r="BK146">
        <v>81597.5</v>
      </c>
      <c r="BL146">
        <v>118941.322</v>
      </c>
      <c r="BM146">
        <v>163981.24299999949</v>
      </c>
      <c r="BN146">
        <v>270486.4050000002</v>
      </c>
      <c r="BO146">
        <v>446888.37399999989</v>
      </c>
      <c r="BP146">
        <v>2814221.66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 x14ac:dyDescent="0.35">
      <c r="A147">
        <v>352558</v>
      </c>
      <c r="B147" t="s">
        <v>259</v>
      </c>
      <c r="C147" t="s">
        <v>260</v>
      </c>
      <c r="D147" s="1">
        <v>45822</v>
      </c>
      <c r="E147">
        <v>53850</v>
      </c>
      <c r="F147">
        <v>171</v>
      </c>
      <c r="G147" t="s">
        <v>72</v>
      </c>
      <c r="H147" t="s">
        <v>262</v>
      </c>
      <c r="I147" t="s">
        <v>48</v>
      </c>
      <c r="L147">
        <v>1713302213842</v>
      </c>
      <c r="M147">
        <v>20250526</v>
      </c>
      <c r="N147" t="s">
        <v>263</v>
      </c>
      <c r="Q147" t="s">
        <v>55</v>
      </c>
      <c r="R147">
        <v>240000</v>
      </c>
      <c r="T147">
        <v>4148505</v>
      </c>
      <c r="U147">
        <v>5848860721</v>
      </c>
      <c r="V147" t="s">
        <v>171</v>
      </c>
      <c r="W147" t="s">
        <v>53</v>
      </c>
      <c r="X147" t="s">
        <v>85</v>
      </c>
      <c r="Y147" t="s">
        <v>49</v>
      </c>
      <c r="Z147">
        <v>1903</v>
      </c>
      <c r="AH147">
        <v>0</v>
      </c>
      <c r="AI147">
        <v>202505</v>
      </c>
      <c r="AJ147" t="s">
        <v>167</v>
      </c>
      <c r="AK147">
        <v>1</v>
      </c>
      <c r="AL147">
        <v>1</v>
      </c>
      <c r="AO147">
        <v>0</v>
      </c>
      <c r="AP147">
        <v>999</v>
      </c>
      <c r="AQ147">
        <v>430</v>
      </c>
      <c r="AR147">
        <v>430999</v>
      </c>
      <c r="AT147">
        <v>1</v>
      </c>
      <c r="AU147" t="s">
        <v>54</v>
      </c>
      <c r="AV147">
        <v>25045.55</v>
      </c>
      <c r="AW147">
        <v>26010.331999999999</v>
      </c>
      <c r="AX147">
        <v>27041.058000000001</v>
      </c>
      <c r="AY147">
        <v>28420.708999999999</v>
      </c>
      <c r="AZ147">
        <v>29962.351999999999</v>
      </c>
      <c r="BA147">
        <v>31788.16</v>
      </c>
      <c r="BB147">
        <v>34027.07</v>
      </c>
      <c r="BC147">
        <v>36641.5795</v>
      </c>
      <c r="BD147">
        <v>39840.642</v>
      </c>
      <c r="BE147">
        <v>40000</v>
      </c>
      <c r="BF147">
        <v>41343.269999999997</v>
      </c>
      <c r="BG147">
        <v>44702.324999999997</v>
      </c>
      <c r="BH147">
        <v>49392.076000000001</v>
      </c>
      <c r="BI147">
        <v>58375.907500000008</v>
      </c>
      <c r="BJ147">
        <v>70239.999999999985</v>
      </c>
      <c r="BK147">
        <v>81597.5</v>
      </c>
      <c r="BL147">
        <v>118941.322</v>
      </c>
      <c r="BM147">
        <v>163981.24299999949</v>
      </c>
      <c r="BN147">
        <v>270486.4050000002</v>
      </c>
      <c r="BO147">
        <v>446888.37399999989</v>
      </c>
      <c r="BP147">
        <v>2814221.66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0</v>
      </c>
      <c r="CJ147">
        <v>0</v>
      </c>
      <c r="CK147">
        <v>0</v>
      </c>
    </row>
    <row r="148" spans="1:89" x14ac:dyDescent="0.35">
      <c r="A148">
        <v>352553</v>
      </c>
      <c r="B148" t="s">
        <v>259</v>
      </c>
      <c r="C148" t="s">
        <v>260</v>
      </c>
      <c r="D148" s="1">
        <v>45822</v>
      </c>
      <c r="E148">
        <v>53850</v>
      </c>
      <c r="F148">
        <v>122</v>
      </c>
      <c r="G148" t="s">
        <v>261</v>
      </c>
      <c r="H148" t="s">
        <v>262</v>
      </c>
      <c r="I148" t="s">
        <v>48</v>
      </c>
      <c r="L148">
        <v>1223300001682</v>
      </c>
      <c r="M148">
        <v>20250529</v>
      </c>
      <c r="N148" t="s">
        <v>263</v>
      </c>
      <c r="Q148" t="s">
        <v>55</v>
      </c>
      <c r="R148">
        <v>329680.36</v>
      </c>
      <c r="T148">
        <v>3711207</v>
      </c>
      <c r="U148">
        <v>8825020723</v>
      </c>
      <c r="V148" t="s">
        <v>264</v>
      </c>
      <c r="W148" t="s">
        <v>53</v>
      </c>
      <c r="X148" t="s">
        <v>57</v>
      </c>
      <c r="Y148" t="s">
        <v>49</v>
      </c>
      <c r="Z148">
        <v>1696</v>
      </c>
      <c r="AH148">
        <v>0</v>
      </c>
      <c r="AI148">
        <v>202505</v>
      </c>
      <c r="AJ148" t="s">
        <v>160</v>
      </c>
      <c r="AK148">
        <v>1</v>
      </c>
      <c r="AL148">
        <v>1</v>
      </c>
      <c r="AO148">
        <v>0</v>
      </c>
      <c r="AP148">
        <v>620</v>
      </c>
      <c r="AQ148">
        <v>430</v>
      </c>
      <c r="AR148">
        <v>430620</v>
      </c>
      <c r="AS148" t="s">
        <v>58</v>
      </c>
      <c r="AU148" t="s">
        <v>58</v>
      </c>
      <c r="AV148">
        <v>25045.55</v>
      </c>
      <c r="AW148">
        <v>26010.331999999999</v>
      </c>
      <c r="AX148">
        <v>27041.058000000001</v>
      </c>
      <c r="AY148">
        <v>28420.708999999999</v>
      </c>
      <c r="AZ148">
        <v>29962.351999999999</v>
      </c>
      <c r="BA148">
        <v>31788.16</v>
      </c>
      <c r="BB148">
        <v>34027.07</v>
      </c>
      <c r="BC148">
        <v>36641.5795</v>
      </c>
      <c r="BD148">
        <v>39840.642</v>
      </c>
      <c r="BE148">
        <v>40000</v>
      </c>
      <c r="BF148">
        <v>41343.269999999997</v>
      </c>
      <c r="BG148">
        <v>44702.324999999997</v>
      </c>
      <c r="BH148">
        <v>49392.076000000001</v>
      </c>
      <c r="BI148">
        <v>58375.907500000008</v>
      </c>
      <c r="BJ148">
        <v>70239.999999999985</v>
      </c>
      <c r="BK148">
        <v>81597.5</v>
      </c>
      <c r="BL148">
        <v>118941.322</v>
      </c>
      <c r="BM148">
        <v>163981.24299999949</v>
      </c>
      <c r="BN148">
        <v>270486.4050000002</v>
      </c>
      <c r="BO148">
        <v>446888.37399999989</v>
      </c>
      <c r="BP148">
        <v>2814221.66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0</v>
      </c>
      <c r="CK148">
        <v>0</v>
      </c>
    </row>
    <row r="149" spans="1:89" x14ac:dyDescent="0.35">
      <c r="A149">
        <v>352548</v>
      </c>
      <c r="B149" t="s">
        <v>259</v>
      </c>
      <c r="C149" t="s">
        <v>260</v>
      </c>
      <c r="D149" s="1">
        <v>45822</v>
      </c>
      <c r="E149">
        <v>53850</v>
      </c>
      <c r="F149">
        <v>122</v>
      </c>
      <c r="G149" t="s">
        <v>261</v>
      </c>
      <c r="H149" t="s">
        <v>262</v>
      </c>
      <c r="I149" t="s">
        <v>48</v>
      </c>
      <c r="L149">
        <v>1223300002128</v>
      </c>
      <c r="M149">
        <v>20250528</v>
      </c>
      <c r="N149" t="s">
        <v>263</v>
      </c>
      <c r="Q149" t="s">
        <v>55</v>
      </c>
      <c r="R149">
        <v>40618.199999999997</v>
      </c>
      <c r="T149">
        <v>3711207</v>
      </c>
      <c r="U149">
        <v>8825020723</v>
      </c>
      <c r="V149" t="s">
        <v>264</v>
      </c>
      <c r="W149" t="s">
        <v>53</v>
      </c>
      <c r="X149" t="s">
        <v>57</v>
      </c>
      <c r="Y149" t="s">
        <v>49</v>
      </c>
      <c r="Z149">
        <v>1696</v>
      </c>
      <c r="AH149">
        <v>0</v>
      </c>
      <c r="AI149">
        <v>202505</v>
      </c>
      <c r="AJ149" t="s">
        <v>160</v>
      </c>
      <c r="AK149">
        <v>1</v>
      </c>
      <c r="AL149">
        <v>1</v>
      </c>
      <c r="AO149">
        <v>0</v>
      </c>
      <c r="AP149">
        <v>620</v>
      </c>
      <c r="AQ149">
        <v>430</v>
      </c>
      <c r="AR149">
        <v>430620</v>
      </c>
      <c r="AS149" t="s">
        <v>58</v>
      </c>
      <c r="AU149" t="s">
        <v>58</v>
      </c>
      <c r="AV149">
        <v>25045.55</v>
      </c>
      <c r="AW149">
        <v>26010.331999999999</v>
      </c>
      <c r="AX149">
        <v>27041.058000000001</v>
      </c>
      <c r="AY149">
        <v>28420.708999999999</v>
      </c>
      <c r="AZ149">
        <v>29962.351999999999</v>
      </c>
      <c r="BA149">
        <v>31788.16</v>
      </c>
      <c r="BB149">
        <v>34027.07</v>
      </c>
      <c r="BC149">
        <v>36641.5795</v>
      </c>
      <c r="BD149">
        <v>39840.642</v>
      </c>
      <c r="BE149">
        <v>40000</v>
      </c>
      <c r="BF149">
        <v>41343.269999999997</v>
      </c>
      <c r="BG149">
        <v>44702.324999999997</v>
      </c>
      <c r="BH149">
        <v>49392.076000000001</v>
      </c>
      <c r="BI149">
        <v>58375.907500000008</v>
      </c>
      <c r="BJ149">
        <v>70239.999999999985</v>
      </c>
      <c r="BK149">
        <v>81597.5</v>
      </c>
      <c r="BL149">
        <v>118941.322</v>
      </c>
      <c r="BM149">
        <v>163981.24299999949</v>
      </c>
      <c r="BN149">
        <v>270486.4050000002</v>
      </c>
      <c r="BO149">
        <v>446888.37399999989</v>
      </c>
      <c r="BP149">
        <v>2814221.66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 x14ac:dyDescent="0.35">
      <c r="A150">
        <v>352541</v>
      </c>
      <c r="B150" t="s">
        <v>259</v>
      </c>
      <c r="C150" t="s">
        <v>260</v>
      </c>
      <c r="D150" s="1">
        <v>45822</v>
      </c>
      <c r="E150">
        <v>53850</v>
      </c>
      <c r="F150">
        <v>171</v>
      </c>
      <c r="G150" t="s">
        <v>72</v>
      </c>
      <c r="H150" t="s">
        <v>262</v>
      </c>
      <c r="I150" t="s">
        <v>48</v>
      </c>
      <c r="L150">
        <v>1713302213842</v>
      </c>
      <c r="M150">
        <v>20250507</v>
      </c>
      <c r="N150" t="s">
        <v>263</v>
      </c>
      <c r="Q150" t="s">
        <v>55</v>
      </c>
      <c r="R150">
        <v>100000</v>
      </c>
      <c r="T150">
        <v>4148505</v>
      </c>
      <c r="U150">
        <v>5848860721</v>
      </c>
      <c r="V150" t="s">
        <v>171</v>
      </c>
      <c r="W150" t="s">
        <v>53</v>
      </c>
      <c r="X150" t="s">
        <v>85</v>
      </c>
      <c r="Y150" t="s">
        <v>49</v>
      </c>
      <c r="Z150">
        <v>1903</v>
      </c>
      <c r="AH150">
        <v>0</v>
      </c>
      <c r="AI150">
        <v>202505</v>
      </c>
      <c r="AJ150" t="s">
        <v>167</v>
      </c>
      <c r="AK150">
        <v>1</v>
      </c>
      <c r="AL150">
        <v>1</v>
      </c>
      <c r="AO150">
        <v>0</v>
      </c>
      <c r="AP150">
        <v>999</v>
      </c>
      <c r="AQ150">
        <v>430</v>
      </c>
      <c r="AR150">
        <v>430999</v>
      </c>
      <c r="AT150">
        <v>1</v>
      </c>
      <c r="AU150" t="s">
        <v>54</v>
      </c>
      <c r="AV150">
        <v>25045.55</v>
      </c>
      <c r="AW150">
        <v>26010.331999999999</v>
      </c>
      <c r="AX150">
        <v>27041.058000000001</v>
      </c>
      <c r="AY150">
        <v>28420.708999999999</v>
      </c>
      <c r="AZ150">
        <v>29962.351999999999</v>
      </c>
      <c r="BA150">
        <v>31788.16</v>
      </c>
      <c r="BB150">
        <v>34027.07</v>
      </c>
      <c r="BC150">
        <v>36641.5795</v>
      </c>
      <c r="BD150">
        <v>39840.642</v>
      </c>
      <c r="BE150">
        <v>40000</v>
      </c>
      <c r="BF150">
        <v>41343.269999999997</v>
      </c>
      <c r="BG150">
        <v>44702.324999999997</v>
      </c>
      <c r="BH150">
        <v>49392.076000000001</v>
      </c>
      <c r="BI150">
        <v>58375.907500000008</v>
      </c>
      <c r="BJ150">
        <v>70239.999999999985</v>
      </c>
      <c r="BK150">
        <v>81597.5</v>
      </c>
      <c r="BL150">
        <v>118941.322</v>
      </c>
      <c r="BM150">
        <v>163981.24299999949</v>
      </c>
      <c r="BN150">
        <v>270486.4050000002</v>
      </c>
      <c r="BO150">
        <v>446888.37399999989</v>
      </c>
      <c r="BP150">
        <v>2814221.66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 x14ac:dyDescent="0.35">
      <c r="A151">
        <v>352540</v>
      </c>
      <c r="B151" t="s">
        <v>259</v>
      </c>
      <c r="C151" t="s">
        <v>260</v>
      </c>
      <c r="D151" s="1">
        <v>45822</v>
      </c>
      <c r="E151">
        <v>53850</v>
      </c>
      <c r="F151">
        <v>153</v>
      </c>
      <c r="G151" t="s">
        <v>81</v>
      </c>
      <c r="H151" t="s">
        <v>262</v>
      </c>
      <c r="I151" t="s">
        <v>48</v>
      </c>
      <c r="L151">
        <v>1533300663954</v>
      </c>
      <c r="M151">
        <v>20250516</v>
      </c>
      <c r="N151" t="s">
        <v>263</v>
      </c>
      <c r="Q151" t="s">
        <v>55</v>
      </c>
      <c r="R151">
        <v>177434.65</v>
      </c>
      <c r="T151">
        <v>3716076</v>
      </c>
      <c r="U151">
        <v>11929640966</v>
      </c>
      <c r="V151" t="s">
        <v>320</v>
      </c>
      <c r="W151" t="s">
        <v>321</v>
      </c>
      <c r="X151" t="s">
        <v>236</v>
      </c>
      <c r="Y151" t="s">
        <v>49</v>
      </c>
      <c r="Z151">
        <v>1055</v>
      </c>
      <c r="AH151">
        <v>0</v>
      </c>
      <c r="AI151">
        <v>202505</v>
      </c>
      <c r="AJ151" t="s">
        <v>61</v>
      </c>
      <c r="AK151">
        <v>0</v>
      </c>
      <c r="AL151">
        <v>1</v>
      </c>
      <c r="AO151">
        <v>0</v>
      </c>
      <c r="AP151">
        <v>999</v>
      </c>
      <c r="AQ151">
        <v>284</v>
      </c>
      <c r="AR151">
        <v>284999</v>
      </c>
      <c r="AT151">
        <v>1</v>
      </c>
      <c r="AU151" t="s">
        <v>59</v>
      </c>
      <c r="AV151">
        <v>25045.55</v>
      </c>
      <c r="AW151">
        <v>26010.331999999999</v>
      </c>
      <c r="AX151">
        <v>27041.058000000001</v>
      </c>
      <c r="AY151">
        <v>28420.708999999999</v>
      </c>
      <c r="AZ151">
        <v>29962.351999999999</v>
      </c>
      <c r="BA151">
        <v>31788.16</v>
      </c>
      <c r="BB151">
        <v>34027.07</v>
      </c>
      <c r="BC151">
        <v>36641.5795</v>
      </c>
      <c r="BD151">
        <v>39840.642</v>
      </c>
      <c r="BE151">
        <v>40000</v>
      </c>
      <c r="BF151">
        <v>41343.269999999997</v>
      </c>
      <c r="BG151">
        <v>44702.324999999997</v>
      </c>
      <c r="BH151">
        <v>49392.076000000001</v>
      </c>
      <c r="BI151">
        <v>58375.907500000008</v>
      </c>
      <c r="BJ151">
        <v>70239.999999999985</v>
      </c>
      <c r="BK151">
        <v>81597.5</v>
      </c>
      <c r="BL151">
        <v>118941.322</v>
      </c>
      <c r="BM151">
        <v>163981.24299999949</v>
      </c>
      <c r="BN151">
        <v>270486.4050000002</v>
      </c>
      <c r="BO151">
        <v>446888.37399999989</v>
      </c>
      <c r="BP151">
        <v>2814221.66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0</v>
      </c>
      <c r="CJ151">
        <v>0</v>
      </c>
      <c r="CK151">
        <v>0</v>
      </c>
    </row>
    <row r="152" spans="1:89" x14ac:dyDescent="0.35">
      <c r="A152">
        <v>352530</v>
      </c>
      <c r="B152" t="s">
        <v>259</v>
      </c>
      <c r="C152" t="s">
        <v>260</v>
      </c>
      <c r="D152" s="1">
        <v>45822</v>
      </c>
      <c r="E152">
        <v>53850</v>
      </c>
      <c r="F152">
        <v>148</v>
      </c>
      <c r="G152" t="s">
        <v>90</v>
      </c>
      <c r="H152" t="s">
        <v>262</v>
      </c>
      <c r="I152" t="s">
        <v>48</v>
      </c>
      <c r="L152">
        <v>1483300006067</v>
      </c>
      <c r="M152">
        <v>20250507</v>
      </c>
      <c r="N152" t="s">
        <v>263</v>
      </c>
      <c r="Q152" t="s">
        <v>55</v>
      </c>
      <c r="R152">
        <v>40000</v>
      </c>
      <c r="T152">
        <v>3737044</v>
      </c>
      <c r="U152">
        <v>15554071009</v>
      </c>
      <c r="V152" t="s">
        <v>282</v>
      </c>
      <c r="W152" t="s">
        <v>53</v>
      </c>
      <c r="X152" t="s">
        <v>283</v>
      </c>
      <c r="Y152" t="s">
        <v>49</v>
      </c>
      <c r="Z152">
        <v>1196</v>
      </c>
      <c r="AH152">
        <v>0</v>
      </c>
      <c r="AI152">
        <v>202505</v>
      </c>
      <c r="AJ152" t="s">
        <v>61</v>
      </c>
      <c r="AK152">
        <v>0</v>
      </c>
      <c r="AL152">
        <v>1</v>
      </c>
      <c r="AO152">
        <v>0</v>
      </c>
      <c r="AP152">
        <v>999</v>
      </c>
      <c r="AQ152">
        <v>430</v>
      </c>
      <c r="AR152">
        <v>430999</v>
      </c>
      <c r="AT152">
        <v>1</v>
      </c>
      <c r="AU152" t="s">
        <v>54</v>
      </c>
      <c r="AV152">
        <v>25045.55</v>
      </c>
      <c r="AW152">
        <v>26010.331999999999</v>
      </c>
      <c r="AX152">
        <v>27041.058000000001</v>
      </c>
      <c r="AY152">
        <v>28420.708999999999</v>
      </c>
      <c r="AZ152">
        <v>29962.351999999999</v>
      </c>
      <c r="BA152">
        <v>31788.16</v>
      </c>
      <c r="BB152">
        <v>34027.07</v>
      </c>
      <c r="BC152">
        <v>36641.5795</v>
      </c>
      <c r="BD152">
        <v>39840.642</v>
      </c>
      <c r="BE152">
        <v>40000</v>
      </c>
      <c r="BF152">
        <v>41343.269999999997</v>
      </c>
      <c r="BG152">
        <v>44702.324999999997</v>
      </c>
      <c r="BH152">
        <v>49392.076000000001</v>
      </c>
      <c r="BI152">
        <v>58375.907500000008</v>
      </c>
      <c r="BJ152">
        <v>70239.999999999985</v>
      </c>
      <c r="BK152">
        <v>81597.5</v>
      </c>
      <c r="BL152">
        <v>118941.322</v>
      </c>
      <c r="BM152">
        <v>163981.24299999949</v>
      </c>
      <c r="BN152">
        <v>270486.4050000002</v>
      </c>
      <c r="BO152">
        <v>446888.37399999989</v>
      </c>
      <c r="BP152">
        <v>2814221.66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 x14ac:dyDescent="0.35">
      <c r="A153">
        <v>352529</v>
      </c>
      <c r="B153" t="s">
        <v>259</v>
      </c>
      <c r="C153" t="s">
        <v>260</v>
      </c>
      <c r="D153" s="1">
        <v>45822</v>
      </c>
      <c r="E153">
        <v>53850</v>
      </c>
      <c r="F153">
        <v>171</v>
      </c>
      <c r="G153" t="s">
        <v>72</v>
      </c>
      <c r="H153" t="s">
        <v>262</v>
      </c>
      <c r="I153" t="s">
        <v>48</v>
      </c>
      <c r="L153">
        <v>1713302213842</v>
      </c>
      <c r="M153">
        <v>20250507</v>
      </c>
      <c r="N153" t="s">
        <v>263</v>
      </c>
      <c r="Q153" t="s">
        <v>55</v>
      </c>
      <c r="R153">
        <v>500000</v>
      </c>
      <c r="T153">
        <v>4148505</v>
      </c>
      <c r="U153">
        <v>5848860721</v>
      </c>
      <c r="V153" t="s">
        <v>171</v>
      </c>
      <c r="W153" t="s">
        <v>53</v>
      </c>
      <c r="X153" t="s">
        <v>85</v>
      </c>
      <c r="Y153" t="s">
        <v>49</v>
      </c>
      <c r="Z153">
        <v>1903</v>
      </c>
      <c r="AH153">
        <v>0</v>
      </c>
      <c r="AI153">
        <v>202505</v>
      </c>
      <c r="AJ153" t="s">
        <v>167</v>
      </c>
      <c r="AK153">
        <v>1</v>
      </c>
      <c r="AL153">
        <v>1</v>
      </c>
      <c r="AO153">
        <v>0</v>
      </c>
      <c r="AP153">
        <v>999</v>
      </c>
      <c r="AQ153">
        <v>430</v>
      </c>
      <c r="AR153">
        <v>430999</v>
      </c>
      <c r="AT153">
        <v>1</v>
      </c>
      <c r="AU153" t="s">
        <v>54</v>
      </c>
      <c r="AV153">
        <v>25045.55</v>
      </c>
      <c r="AW153">
        <v>26010.331999999999</v>
      </c>
      <c r="AX153">
        <v>27041.058000000001</v>
      </c>
      <c r="AY153">
        <v>28420.708999999999</v>
      </c>
      <c r="AZ153">
        <v>29962.351999999999</v>
      </c>
      <c r="BA153">
        <v>31788.16</v>
      </c>
      <c r="BB153">
        <v>34027.07</v>
      </c>
      <c r="BC153">
        <v>36641.5795</v>
      </c>
      <c r="BD153">
        <v>39840.642</v>
      </c>
      <c r="BE153">
        <v>40000</v>
      </c>
      <c r="BF153">
        <v>41343.269999999997</v>
      </c>
      <c r="BG153">
        <v>44702.324999999997</v>
      </c>
      <c r="BH153">
        <v>49392.076000000001</v>
      </c>
      <c r="BI153">
        <v>58375.907500000008</v>
      </c>
      <c r="BJ153">
        <v>70239.999999999985</v>
      </c>
      <c r="BK153">
        <v>81597.5</v>
      </c>
      <c r="BL153">
        <v>118941.322</v>
      </c>
      <c r="BM153">
        <v>163981.24299999949</v>
      </c>
      <c r="BN153">
        <v>270486.4050000002</v>
      </c>
      <c r="BO153">
        <v>446888.37399999989</v>
      </c>
      <c r="BP153">
        <v>2814221.66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0</v>
      </c>
    </row>
    <row r="154" spans="1:89" x14ac:dyDescent="0.35">
      <c r="A154">
        <v>352517</v>
      </c>
      <c r="B154" t="s">
        <v>259</v>
      </c>
      <c r="C154" t="s">
        <v>260</v>
      </c>
      <c r="D154" s="1">
        <v>45822</v>
      </c>
      <c r="E154">
        <v>53850</v>
      </c>
      <c r="F154">
        <v>125</v>
      </c>
      <c r="G154" t="s">
        <v>277</v>
      </c>
      <c r="H154" t="s">
        <v>262</v>
      </c>
      <c r="I154" t="s">
        <v>48</v>
      </c>
      <c r="L154">
        <v>1253300002567</v>
      </c>
      <c r="M154">
        <v>20250526</v>
      </c>
      <c r="N154" t="s">
        <v>263</v>
      </c>
      <c r="Q154" t="s">
        <v>55</v>
      </c>
      <c r="R154">
        <v>40262</v>
      </c>
      <c r="T154">
        <v>4951371</v>
      </c>
      <c r="U154">
        <v>9498701219</v>
      </c>
      <c r="V154" t="s">
        <v>322</v>
      </c>
      <c r="W154" t="s">
        <v>53</v>
      </c>
      <c r="X154" t="s">
        <v>296</v>
      </c>
      <c r="Y154" t="s">
        <v>49</v>
      </c>
      <c r="Z154">
        <v>1337</v>
      </c>
      <c r="AH154">
        <v>0</v>
      </c>
      <c r="AI154">
        <v>202505</v>
      </c>
      <c r="AJ154" t="s">
        <v>61</v>
      </c>
      <c r="AK154">
        <v>0</v>
      </c>
      <c r="AL154">
        <v>1</v>
      </c>
      <c r="AO154">
        <v>0</v>
      </c>
      <c r="AP154">
        <v>464</v>
      </c>
      <c r="AQ154">
        <v>430</v>
      </c>
      <c r="AR154">
        <v>430464</v>
      </c>
      <c r="AS154" t="s">
        <v>297</v>
      </c>
      <c r="AU154" t="s">
        <v>297</v>
      </c>
      <c r="AV154">
        <v>25045.55</v>
      </c>
      <c r="AW154">
        <v>26010.331999999999</v>
      </c>
      <c r="AX154">
        <v>27041.058000000001</v>
      </c>
      <c r="AY154">
        <v>28420.708999999999</v>
      </c>
      <c r="AZ154">
        <v>29962.351999999999</v>
      </c>
      <c r="BA154">
        <v>31788.16</v>
      </c>
      <c r="BB154">
        <v>34027.07</v>
      </c>
      <c r="BC154">
        <v>36641.5795</v>
      </c>
      <c r="BD154">
        <v>39840.642</v>
      </c>
      <c r="BE154">
        <v>40000</v>
      </c>
      <c r="BF154">
        <v>41343.269999999997</v>
      </c>
      <c r="BG154">
        <v>44702.324999999997</v>
      </c>
      <c r="BH154">
        <v>49392.076000000001</v>
      </c>
      <c r="BI154">
        <v>58375.907500000008</v>
      </c>
      <c r="BJ154">
        <v>70239.999999999985</v>
      </c>
      <c r="BK154">
        <v>81597.5</v>
      </c>
      <c r="BL154">
        <v>118941.322</v>
      </c>
      <c r="BM154">
        <v>163981.24299999949</v>
      </c>
      <c r="BN154">
        <v>270486.4050000002</v>
      </c>
      <c r="BO154">
        <v>446888.37399999989</v>
      </c>
      <c r="BP154">
        <v>2814221.66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 x14ac:dyDescent="0.35">
      <c r="A155">
        <v>352505</v>
      </c>
      <c r="B155" t="s">
        <v>259</v>
      </c>
      <c r="C155" t="s">
        <v>260</v>
      </c>
      <c r="D155" s="1">
        <v>45822</v>
      </c>
      <c r="E155">
        <v>53850</v>
      </c>
      <c r="F155">
        <v>153</v>
      </c>
      <c r="G155" t="s">
        <v>81</v>
      </c>
      <c r="H155" t="s">
        <v>262</v>
      </c>
      <c r="I155" t="s">
        <v>48</v>
      </c>
      <c r="L155">
        <v>1533300663959</v>
      </c>
      <c r="M155">
        <v>20250519</v>
      </c>
      <c r="N155" t="s">
        <v>263</v>
      </c>
      <c r="Q155" t="s">
        <v>55</v>
      </c>
      <c r="R155">
        <v>46200</v>
      </c>
      <c r="T155">
        <v>3721097</v>
      </c>
      <c r="U155">
        <v>10391641213</v>
      </c>
      <c r="V155" t="s">
        <v>270</v>
      </c>
      <c r="W155" t="s">
        <v>53</v>
      </c>
      <c r="X155" t="s">
        <v>83</v>
      </c>
      <c r="Y155" t="s">
        <v>49</v>
      </c>
      <c r="Z155">
        <v>1237</v>
      </c>
      <c r="AH155">
        <v>0</v>
      </c>
      <c r="AI155">
        <v>202505</v>
      </c>
      <c r="AJ155" t="s">
        <v>61</v>
      </c>
      <c r="AK155">
        <v>0</v>
      </c>
      <c r="AL155">
        <v>1</v>
      </c>
      <c r="AO155">
        <v>0</v>
      </c>
      <c r="AP155">
        <v>462</v>
      </c>
      <c r="AQ155">
        <v>430</v>
      </c>
      <c r="AR155">
        <v>430462</v>
      </c>
      <c r="AS155" t="s">
        <v>58</v>
      </c>
      <c r="AU155" t="s">
        <v>58</v>
      </c>
      <c r="AV155">
        <v>25045.55</v>
      </c>
      <c r="AW155">
        <v>26010.331999999999</v>
      </c>
      <c r="AX155">
        <v>27041.058000000001</v>
      </c>
      <c r="AY155">
        <v>28420.708999999999</v>
      </c>
      <c r="AZ155">
        <v>29962.351999999999</v>
      </c>
      <c r="BA155">
        <v>31788.16</v>
      </c>
      <c r="BB155">
        <v>34027.07</v>
      </c>
      <c r="BC155">
        <v>36641.5795</v>
      </c>
      <c r="BD155">
        <v>39840.642</v>
      </c>
      <c r="BE155">
        <v>40000</v>
      </c>
      <c r="BF155">
        <v>41343.269999999997</v>
      </c>
      <c r="BG155">
        <v>44702.324999999997</v>
      </c>
      <c r="BH155">
        <v>49392.076000000001</v>
      </c>
      <c r="BI155">
        <v>58375.907500000008</v>
      </c>
      <c r="BJ155">
        <v>70239.999999999985</v>
      </c>
      <c r="BK155">
        <v>81597.5</v>
      </c>
      <c r="BL155">
        <v>118941.322</v>
      </c>
      <c r="BM155">
        <v>163981.24299999949</v>
      </c>
      <c r="BN155">
        <v>270486.4050000002</v>
      </c>
      <c r="BO155">
        <v>446888.37399999989</v>
      </c>
      <c r="BP155">
        <v>2814221.66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 x14ac:dyDescent="0.35">
      <c r="A156">
        <v>352503</v>
      </c>
      <c r="B156" t="s">
        <v>259</v>
      </c>
      <c r="C156" t="s">
        <v>260</v>
      </c>
      <c r="D156" s="1">
        <v>45822</v>
      </c>
      <c r="E156">
        <v>53850</v>
      </c>
      <c r="F156">
        <v>145</v>
      </c>
      <c r="G156" t="s">
        <v>67</v>
      </c>
      <c r="H156" t="s">
        <v>262</v>
      </c>
      <c r="I156" t="s">
        <v>48</v>
      </c>
      <c r="L156">
        <v>1453300003389</v>
      </c>
      <c r="M156">
        <v>20250512</v>
      </c>
      <c r="N156" t="s">
        <v>263</v>
      </c>
      <c r="Q156" t="s">
        <v>55</v>
      </c>
      <c r="R156">
        <v>151719.9</v>
      </c>
      <c r="T156">
        <v>4955147</v>
      </c>
      <c r="U156">
        <v>5645531210</v>
      </c>
      <c r="V156" t="s">
        <v>323</v>
      </c>
      <c r="W156" t="s">
        <v>53</v>
      </c>
      <c r="X156" t="s">
        <v>296</v>
      </c>
      <c r="Y156" t="s">
        <v>49</v>
      </c>
      <c r="Z156">
        <v>982</v>
      </c>
      <c r="AH156">
        <v>0</v>
      </c>
      <c r="AI156">
        <v>202505</v>
      </c>
      <c r="AJ156" t="s">
        <v>162</v>
      </c>
      <c r="AK156">
        <v>1</v>
      </c>
      <c r="AL156">
        <v>1</v>
      </c>
      <c r="AO156">
        <v>0</v>
      </c>
      <c r="AP156">
        <v>464</v>
      </c>
      <c r="AQ156">
        <v>430</v>
      </c>
      <c r="AR156">
        <v>430464</v>
      </c>
      <c r="AS156" t="s">
        <v>297</v>
      </c>
      <c r="AU156" t="s">
        <v>297</v>
      </c>
      <c r="AV156">
        <v>25045.55</v>
      </c>
      <c r="AW156">
        <v>26010.331999999999</v>
      </c>
      <c r="AX156">
        <v>27041.058000000001</v>
      </c>
      <c r="AY156">
        <v>28420.708999999999</v>
      </c>
      <c r="AZ156">
        <v>29962.351999999999</v>
      </c>
      <c r="BA156">
        <v>31788.16</v>
      </c>
      <c r="BB156">
        <v>34027.07</v>
      </c>
      <c r="BC156">
        <v>36641.5795</v>
      </c>
      <c r="BD156">
        <v>39840.642</v>
      </c>
      <c r="BE156">
        <v>40000</v>
      </c>
      <c r="BF156">
        <v>41343.269999999997</v>
      </c>
      <c r="BG156">
        <v>44702.324999999997</v>
      </c>
      <c r="BH156">
        <v>49392.076000000001</v>
      </c>
      <c r="BI156">
        <v>58375.907500000008</v>
      </c>
      <c r="BJ156">
        <v>70239.999999999985</v>
      </c>
      <c r="BK156">
        <v>81597.5</v>
      </c>
      <c r="BL156">
        <v>118941.322</v>
      </c>
      <c r="BM156">
        <v>163981.24299999949</v>
      </c>
      <c r="BN156">
        <v>270486.4050000002</v>
      </c>
      <c r="BO156">
        <v>446888.37399999989</v>
      </c>
      <c r="BP156">
        <v>2814221.66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0</v>
      </c>
      <c r="CI156">
        <v>0</v>
      </c>
      <c r="CJ156">
        <v>0</v>
      </c>
      <c r="CK156">
        <v>0</v>
      </c>
    </row>
    <row r="157" spans="1:89" x14ac:dyDescent="0.35">
      <c r="A157">
        <v>352489</v>
      </c>
      <c r="B157" t="s">
        <v>259</v>
      </c>
      <c r="C157" t="s">
        <v>260</v>
      </c>
      <c r="D157" s="1">
        <v>45822</v>
      </c>
      <c r="E157">
        <v>53850</v>
      </c>
      <c r="F157">
        <v>125</v>
      </c>
      <c r="G157" t="s">
        <v>277</v>
      </c>
      <c r="H157" t="s">
        <v>262</v>
      </c>
      <c r="I157" t="s">
        <v>48</v>
      </c>
      <c r="L157">
        <v>1253309512895</v>
      </c>
      <c r="M157">
        <v>20250528</v>
      </c>
      <c r="N157" t="s">
        <v>263</v>
      </c>
      <c r="Q157" t="s">
        <v>55</v>
      </c>
      <c r="R157">
        <v>39983.01</v>
      </c>
      <c r="T157">
        <v>4795279</v>
      </c>
      <c r="U157">
        <v>1020090658</v>
      </c>
      <c r="V157" t="s">
        <v>278</v>
      </c>
      <c r="W157" t="s">
        <v>53</v>
      </c>
      <c r="X157" t="s">
        <v>237</v>
      </c>
      <c r="Y157" t="s">
        <v>49</v>
      </c>
      <c r="Z157">
        <v>982</v>
      </c>
      <c r="AH157">
        <v>0</v>
      </c>
      <c r="AI157">
        <v>202505</v>
      </c>
      <c r="AJ157" t="s">
        <v>61</v>
      </c>
      <c r="AK157">
        <v>0</v>
      </c>
      <c r="AL157">
        <v>1</v>
      </c>
      <c r="AO157">
        <v>0</v>
      </c>
      <c r="AP157">
        <v>999</v>
      </c>
      <c r="AQ157">
        <v>430</v>
      </c>
      <c r="AR157">
        <v>430999</v>
      </c>
      <c r="AT157">
        <v>1</v>
      </c>
      <c r="AU157" t="s">
        <v>54</v>
      </c>
      <c r="AV157">
        <v>25045.55</v>
      </c>
      <c r="AW157">
        <v>26010.331999999999</v>
      </c>
      <c r="AX157">
        <v>27041.058000000001</v>
      </c>
      <c r="AY157">
        <v>28420.708999999999</v>
      </c>
      <c r="AZ157">
        <v>29962.351999999999</v>
      </c>
      <c r="BA157">
        <v>31788.16</v>
      </c>
      <c r="BB157">
        <v>34027.07</v>
      </c>
      <c r="BC157">
        <v>36641.5795</v>
      </c>
      <c r="BD157">
        <v>39840.642</v>
      </c>
      <c r="BE157">
        <v>40000</v>
      </c>
      <c r="BF157">
        <v>41343.269999999997</v>
      </c>
      <c r="BG157">
        <v>44702.324999999997</v>
      </c>
      <c r="BH157">
        <v>49392.076000000001</v>
      </c>
      <c r="BI157">
        <v>58375.907500000008</v>
      </c>
      <c r="BJ157">
        <v>70239.999999999985</v>
      </c>
      <c r="BK157">
        <v>81597.5</v>
      </c>
      <c r="BL157">
        <v>118941.322</v>
      </c>
      <c r="BM157">
        <v>163981.24299999949</v>
      </c>
      <c r="BN157">
        <v>270486.4050000002</v>
      </c>
      <c r="BO157">
        <v>446888.37399999989</v>
      </c>
      <c r="BP157">
        <v>2814221.66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 x14ac:dyDescent="0.35">
      <c r="A158">
        <v>352487</v>
      </c>
      <c r="B158" t="s">
        <v>259</v>
      </c>
      <c r="C158" t="s">
        <v>260</v>
      </c>
      <c r="D158" s="1">
        <v>45822</v>
      </c>
      <c r="E158">
        <v>53850</v>
      </c>
      <c r="F158">
        <v>191</v>
      </c>
      <c r="G158" t="s">
        <v>173</v>
      </c>
      <c r="H158" t="s">
        <v>262</v>
      </c>
      <c r="I158" t="s">
        <v>48</v>
      </c>
      <c r="L158">
        <v>1913300068122</v>
      </c>
      <c r="M158">
        <v>20250521</v>
      </c>
      <c r="N158" t="s">
        <v>263</v>
      </c>
      <c r="Q158" t="s">
        <v>55</v>
      </c>
      <c r="R158">
        <v>50000</v>
      </c>
      <c r="T158">
        <v>4918280</v>
      </c>
      <c r="U158">
        <v>3480410798</v>
      </c>
      <c r="V158" t="s">
        <v>291</v>
      </c>
      <c r="W158" t="s">
        <v>53</v>
      </c>
      <c r="X158" t="s">
        <v>232</v>
      </c>
      <c r="Y158" t="s">
        <v>49</v>
      </c>
      <c r="AH158">
        <v>0</v>
      </c>
      <c r="AI158">
        <v>202505</v>
      </c>
      <c r="AJ158" t="s">
        <v>162</v>
      </c>
      <c r="AK158">
        <v>1</v>
      </c>
      <c r="AL158">
        <v>1</v>
      </c>
      <c r="AO158">
        <v>0</v>
      </c>
      <c r="AP158">
        <v>999</v>
      </c>
      <c r="AQ158">
        <v>430</v>
      </c>
      <c r="AR158">
        <v>430999</v>
      </c>
      <c r="AT158">
        <v>1</v>
      </c>
      <c r="AU158" t="s">
        <v>54</v>
      </c>
      <c r="AV158">
        <v>25045.55</v>
      </c>
      <c r="AW158">
        <v>26010.331999999999</v>
      </c>
      <c r="AX158">
        <v>27041.058000000001</v>
      </c>
      <c r="AY158">
        <v>28420.708999999999</v>
      </c>
      <c r="AZ158">
        <v>29962.351999999999</v>
      </c>
      <c r="BA158">
        <v>31788.16</v>
      </c>
      <c r="BB158">
        <v>34027.07</v>
      </c>
      <c r="BC158">
        <v>36641.5795</v>
      </c>
      <c r="BD158">
        <v>39840.642</v>
      </c>
      <c r="BE158">
        <v>40000</v>
      </c>
      <c r="BF158">
        <v>41343.269999999997</v>
      </c>
      <c r="BG158">
        <v>44702.324999999997</v>
      </c>
      <c r="BH158">
        <v>49392.076000000001</v>
      </c>
      <c r="BI158">
        <v>58375.907500000008</v>
      </c>
      <c r="BJ158">
        <v>70239.999999999985</v>
      </c>
      <c r="BK158">
        <v>81597.5</v>
      </c>
      <c r="BL158">
        <v>118941.322</v>
      </c>
      <c r="BM158">
        <v>163981.24299999949</v>
      </c>
      <c r="BN158">
        <v>270486.4050000002</v>
      </c>
      <c r="BO158">
        <v>446888.37399999989</v>
      </c>
      <c r="BP158">
        <v>2814221.66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 x14ac:dyDescent="0.35">
      <c r="A159">
        <v>352479</v>
      </c>
      <c r="B159" t="s">
        <v>259</v>
      </c>
      <c r="C159" t="s">
        <v>260</v>
      </c>
      <c r="D159" s="1">
        <v>45822</v>
      </c>
      <c r="E159">
        <v>53850</v>
      </c>
      <c r="F159">
        <v>103</v>
      </c>
      <c r="G159" t="s">
        <v>56</v>
      </c>
      <c r="H159" t="s">
        <v>262</v>
      </c>
      <c r="I159" t="s">
        <v>48</v>
      </c>
      <c r="L159">
        <v>1033306967935</v>
      </c>
      <c r="M159">
        <v>20250516</v>
      </c>
      <c r="N159" t="s">
        <v>263</v>
      </c>
      <c r="Q159" t="s">
        <v>55</v>
      </c>
      <c r="R159">
        <v>43064.93</v>
      </c>
      <c r="T159">
        <v>155052</v>
      </c>
      <c r="U159">
        <v>2563580725</v>
      </c>
      <c r="V159" t="s">
        <v>280</v>
      </c>
      <c r="W159" t="s">
        <v>53</v>
      </c>
      <c r="X159" t="s">
        <v>231</v>
      </c>
      <c r="Y159" t="s">
        <v>49</v>
      </c>
      <c r="Z159">
        <v>1926</v>
      </c>
      <c r="AH159">
        <v>0</v>
      </c>
      <c r="AI159">
        <v>202505</v>
      </c>
      <c r="AJ159" t="s">
        <v>61</v>
      </c>
      <c r="AK159">
        <v>0</v>
      </c>
      <c r="AL159">
        <v>1</v>
      </c>
      <c r="AM159">
        <v>155052</v>
      </c>
      <c r="AN159">
        <v>1</v>
      </c>
      <c r="AO159">
        <v>0</v>
      </c>
      <c r="AP159">
        <v>999</v>
      </c>
      <c r="AQ159">
        <v>430</v>
      </c>
      <c r="AR159">
        <v>430999</v>
      </c>
      <c r="AT159">
        <v>1</v>
      </c>
      <c r="AU159" t="s">
        <v>54</v>
      </c>
      <c r="AV159">
        <v>25045.55</v>
      </c>
      <c r="AW159">
        <v>26010.331999999999</v>
      </c>
      <c r="AX159">
        <v>27041.058000000001</v>
      </c>
      <c r="AY159">
        <v>28420.708999999999</v>
      </c>
      <c r="AZ159">
        <v>29962.351999999999</v>
      </c>
      <c r="BA159">
        <v>31788.16</v>
      </c>
      <c r="BB159">
        <v>34027.07</v>
      </c>
      <c r="BC159">
        <v>36641.5795</v>
      </c>
      <c r="BD159">
        <v>39840.642</v>
      </c>
      <c r="BE159">
        <v>40000</v>
      </c>
      <c r="BF159">
        <v>41343.269999999997</v>
      </c>
      <c r="BG159">
        <v>44702.324999999997</v>
      </c>
      <c r="BH159">
        <v>49392.076000000001</v>
      </c>
      <c r="BI159">
        <v>58375.907500000008</v>
      </c>
      <c r="BJ159">
        <v>70239.999999999985</v>
      </c>
      <c r="BK159">
        <v>81597.5</v>
      </c>
      <c r="BL159">
        <v>118941.322</v>
      </c>
      <c r="BM159">
        <v>163981.24299999949</v>
      </c>
      <c r="BN159">
        <v>270486.4050000002</v>
      </c>
      <c r="BO159">
        <v>446888.37399999989</v>
      </c>
      <c r="BP159">
        <v>2814221.66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 x14ac:dyDescent="0.35">
      <c r="A160">
        <v>352465</v>
      </c>
      <c r="B160" t="s">
        <v>259</v>
      </c>
      <c r="C160" t="s">
        <v>260</v>
      </c>
      <c r="D160" s="1">
        <v>45822</v>
      </c>
      <c r="E160">
        <v>53850</v>
      </c>
      <c r="F160">
        <v>141</v>
      </c>
      <c r="G160" t="s">
        <v>76</v>
      </c>
      <c r="H160" t="s">
        <v>262</v>
      </c>
      <c r="I160" t="s">
        <v>48</v>
      </c>
      <c r="L160">
        <v>1413300003738</v>
      </c>
      <c r="M160">
        <v>20250523</v>
      </c>
      <c r="N160" t="s">
        <v>263</v>
      </c>
      <c r="Q160" t="s">
        <v>55</v>
      </c>
      <c r="R160">
        <v>273506.31</v>
      </c>
      <c r="T160">
        <v>4835947</v>
      </c>
      <c r="U160">
        <v>3351210756</v>
      </c>
      <c r="V160" t="s">
        <v>324</v>
      </c>
      <c r="W160" t="s">
        <v>53</v>
      </c>
      <c r="X160" t="s">
        <v>57</v>
      </c>
      <c r="Y160" t="s">
        <v>49</v>
      </c>
      <c r="Z160">
        <v>1627</v>
      </c>
      <c r="AH160">
        <v>0</v>
      </c>
      <c r="AI160">
        <v>202505</v>
      </c>
      <c r="AJ160" t="s">
        <v>61</v>
      </c>
      <c r="AK160">
        <v>0</v>
      </c>
      <c r="AL160">
        <v>1</v>
      </c>
      <c r="AO160">
        <v>0</v>
      </c>
      <c r="AP160">
        <v>620</v>
      </c>
      <c r="AQ160">
        <v>430</v>
      </c>
      <c r="AR160">
        <v>430620</v>
      </c>
      <c r="AS160" t="s">
        <v>58</v>
      </c>
      <c r="AU160" t="s">
        <v>58</v>
      </c>
      <c r="AV160">
        <v>25045.55</v>
      </c>
      <c r="AW160">
        <v>26010.331999999999</v>
      </c>
      <c r="AX160">
        <v>27041.058000000001</v>
      </c>
      <c r="AY160">
        <v>28420.708999999999</v>
      </c>
      <c r="AZ160">
        <v>29962.351999999999</v>
      </c>
      <c r="BA160">
        <v>31788.16</v>
      </c>
      <c r="BB160">
        <v>34027.07</v>
      </c>
      <c r="BC160">
        <v>36641.5795</v>
      </c>
      <c r="BD160">
        <v>39840.642</v>
      </c>
      <c r="BE160">
        <v>40000</v>
      </c>
      <c r="BF160">
        <v>41343.269999999997</v>
      </c>
      <c r="BG160">
        <v>44702.324999999997</v>
      </c>
      <c r="BH160">
        <v>49392.076000000001</v>
      </c>
      <c r="BI160">
        <v>58375.907500000008</v>
      </c>
      <c r="BJ160">
        <v>70239.999999999985</v>
      </c>
      <c r="BK160">
        <v>81597.5</v>
      </c>
      <c r="BL160">
        <v>118941.322</v>
      </c>
      <c r="BM160">
        <v>163981.24299999949</v>
      </c>
      <c r="BN160">
        <v>270486.4050000002</v>
      </c>
      <c r="BO160">
        <v>446888.37399999989</v>
      </c>
      <c r="BP160">
        <v>2814221.66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0</v>
      </c>
      <c r="CK160">
        <v>0</v>
      </c>
    </row>
    <row r="161" spans="1:89" x14ac:dyDescent="0.35">
      <c r="A161">
        <v>352457</v>
      </c>
      <c r="B161" t="s">
        <v>259</v>
      </c>
      <c r="C161" t="s">
        <v>260</v>
      </c>
      <c r="D161" s="1">
        <v>45822</v>
      </c>
      <c r="E161">
        <v>53850</v>
      </c>
      <c r="F161">
        <v>148</v>
      </c>
      <c r="G161" t="s">
        <v>90</v>
      </c>
      <c r="H161" t="s">
        <v>262</v>
      </c>
      <c r="I161" t="s">
        <v>48</v>
      </c>
      <c r="L161">
        <v>1483300006067</v>
      </c>
      <c r="M161">
        <v>20250522</v>
      </c>
      <c r="N161" t="s">
        <v>263</v>
      </c>
      <c r="Q161" t="s">
        <v>55</v>
      </c>
      <c r="R161">
        <v>45000</v>
      </c>
      <c r="T161">
        <v>3737044</v>
      </c>
      <c r="U161">
        <v>15554071009</v>
      </c>
      <c r="V161" t="s">
        <v>282</v>
      </c>
      <c r="W161" t="s">
        <v>53</v>
      </c>
      <c r="X161" t="s">
        <v>283</v>
      </c>
      <c r="Y161" t="s">
        <v>49</v>
      </c>
      <c r="Z161">
        <v>1196</v>
      </c>
      <c r="AH161">
        <v>0</v>
      </c>
      <c r="AI161">
        <v>202505</v>
      </c>
      <c r="AJ161" t="s">
        <v>61</v>
      </c>
      <c r="AK161">
        <v>0</v>
      </c>
      <c r="AL161">
        <v>1</v>
      </c>
      <c r="AO161">
        <v>0</v>
      </c>
      <c r="AP161">
        <v>999</v>
      </c>
      <c r="AQ161">
        <v>430</v>
      </c>
      <c r="AR161">
        <v>430999</v>
      </c>
      <c r="AT161">
        <v>1</v>
      </c>
      <c r="AU161" t="s">
        <v>54</v>
      </c>
      <c r="AV161">
        <v>25045.55</v>
      </c>
      <c r="AW161">
        <v>26010.331999999999</v>
      </c>
      <c r="AX161">
        <v>27041.058000000001</v>
      </c>
      <c r="AY161">
        <v>28420.708999999999</v>
      </c>
      <c r="AZ161">
        <v>29962.351999999999</v>
      </c>
      <c r="BA161">
        <v>31788.16</v>
      </c>
      <c r="BB161">
        <v>34027.07</v>
      </c>
      <c r="BC161">
        <v>36641.5795</v>
      </c>
      <c r="BD161">
        <v>39840.642</v>
      </c>
      <c r="BE161">
        <v>40000</v>
      </c>
      <c r="BF161">
        <v>41343.269999999997</v>
      </c>
      <c r="BG161">
        <v>44702.324999999997</v>
      </c>
      <c r="BH161">
        <v>49392.076000000001</v>
      </c>
      <c r="BI161">
        <v>58375.907500000008</v>
      </c>
      <c r="BJ161">
        <v>70239.999999999985</v>
      </c>
      <c r="BK161">
        <v>81597.5</v>
      </c>
      <c r="BL161">
        <v>118941.322</v>
      </c>
      <c r="BM161">
        <v>163981.24299999949</v>
      </c>
      <c r="BN161">
        <v>270486.4050000002</v>
      </c>
      <c r="BO161">
        <v>446888.37399999989</v>
      </c>
      <c r="BP161">
        <v>2814221.66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 x14ac:dyDescent="0.35">
      <c r="A162">
        <v>352446</v>
      </c>
      <c r="B162" t="s">
        <v>259</v>
      </c>
      <c r="C162" t="s">
        <v>260</v>
      </c>
      <c r="D162" s="1">
        <v>45822</v>
      </c>
      <c r="E162">
        <v>53850</v>
      </c>
      <c r="F162">
        <v>187</v>
      </c>
      <c r="G162" t="s">
        <v>66</v>
      </c>
      <c r="H162" t="s">
        <v>262</v>
      </c>
      <c r="I162" t="s">
        <v>48</v>
      </c>
      <c r="L162">
        <v>999361870311</v>
      </c>
      <c r="M162">
        <v>20250516</v>
      </c>
      <c r="N162" t="s">
        <v>263</v>
      </c>
      <c r="Q162" t="s">
        <v>55</v>
      </c>
      <c r="R162">
        <v>660695.05000000005</v>
      </c>
      <c r="T162">
        <v>3004644</v>
      </c>
      <c r="U162">
        <v>80008750731</v>
      </c>
      <c r="V162" t="s">
        <v>318</v>
      </c>
      <c r="W162" t="s">
        <v>319</v>
      </c>
      <c r="Y162" t="s">
        <v>49</v>
      </c>
      <c r="Z162">
        <v>1627</v>
      </c>
      <c r="AH162">
        <v>0</v>
      </c>
      <c r="AI162">
        <v>202505</v>
      </c>
      <c r="AJ162" t="s">
        <v>61</v>
      </c>
      <c r="AK162">
        <v>0</v>
      </c>
      <c r="AL162">
        <v>1</v>
      </c>
      <c r="AO162">
        <v>0</v>
      </c>
      <c r="AP162">
        <v>999</v>
      </c>
      <c r="AQ162">
        <v>173</v>
      </c>
      <c r="AR162">
        <v>173999</v>
      </c>
      <c r="AS162" t="s">
        <v>59</v>
      </c>
      <c r="AU162" t="s">
        <v>59</v>
      </c>
      <c r="AV162">
        <v>25045.55</v>
      </c>
      <c r="AW162">
        <v>26010.331999999999</v>
      </c>
      <c r="AX162">
        <v>27041.058000000001</v>
      </c>
      <c r="AY162">
        <v>28420.708999999999</v>
      </c>
      <c r="AZ162">
        <v>29962.351999999999</v>
      </c>
      <c r="BA162">
        <v>31788.16</v>
      </c>
      <c r="BB162">
        <v>34027.07</v>
      </c>
      <c r="BC162">
        <v>36641.5795</v>
      </c>
      <c r="BD162">
        <v>39840.642</v>
      </c>
      <c r="BE162">
        <v>40000</v>
      </c>
      <c r="BF162">
        <v>41343.269999999997</v>
      </c>
      <c r="BG162">
        <v>44702.324999999997</v>
      </c>
      <c r="BH162">
        <v>49392.076000000001</v>
      </c>
      <c r="BI162">
        <v>58375.907500000008</v>
      </c>
      <c r="BJ162">
        <v>70239.999999999985</v>
      </c>
      <c r="BK162">
        <v>81597.5</v>
      </c>
      <c r="BL162">
        <v>118941.322</v>
      </c>
      <c r="BM162">
        <v>163981.24299999949</v>
      </c>
      <c r="BN162">
        <v>270486.4050000002</v>
      </c>
      <c r="BO162">
        <v>446888.37399999989</v>
      </c>
      <c r="BP162">
        <v>2814221.66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0</v>
      </c>
    </row>
    <row r="163" spans="1:89" x14ac:dyDescent="0.35">
      <c r="A163">
        <v>352433</v>
      </c>
      <c r="B163" t="s">
        <v>259</v>
      </c>
      <c r="C163" t="s">
        <v>260</v>
      </c>
      <c r="D163" s="1">
        <v>45822</v>
      </c>
      <c r="E163">
        <v>53850</v>
      </c>
      <c r="F163">
        <v>105</v>
      </c>
      <c r="G163" t="s">
        <v>47</v>
      </c>
      <c r="H163" t="s">
        <v>262</v>
      </c>
      <c r="I163" t="s">
        <v>48</v>
      </c>
      <c r="L163">
        <v>1053306287103</v>
      </c>
      <c r="M163">
        <v>20250530</v>
      </c>
      <c r="N163" t="s">
        <v>263</v>
      </c>
      <c r="Q163" t="s">
        <v>55</v>
      </c>
      <c r="R163">
        <v>33925.46</v>
      </c>
      <c r="T163">
        <v>4263360</v>
      </c>
      <c r="U163">
        <v>5982300724</v>
      </c>
      <c r="V163" t="s">
        <v>268</v>
      </c>
      <c r="W163" t="s">
        <v>53</v>
      </c>
      <c r="X163" t="s">
        <v>269</v>
      </c>
      <c r="Y163" t="s">
        <v>49</v>
      </c>
      <c r="Z163">
        <v>1058</v>
      </c>
      <c r="AH163">
        <v>0</v>
      </c>
      <c r="AI163">
        <v>202505</v>
      </c>
      <c r="AJ163" t="s">
        <v>61</v>
      </c>
      <c r="AK163">
        <v>0</v>
      </c>
      <c r="AL163">
        <v>1</v>
      </c>
      <c r="AO163">
        <v>0</v>
      </c>
      <c r="AP163">
        <v>999</v>
      </c>
      <c r="AQ163">
        <v>430</v>
      </c>
      <c r="AR163">
        <v>430999</v>
      </c>
      <c r="AT163">
        <v>1</v>
      </c>
      <c r="AU163" t="s">
        <v>54</v>
      </c>
      <c r="AV163">
        <v>25045.55</v>
      </c>
      <c r="AW163">
        <v>26010.331999999999</v>
      </c>
      <c r="AX163">
        <v>27041.058000000001</v>
      </c>
      <c r="AY163">
        <v>28420.708999999999</v>
      </c>
      <c r="AZ163">
        <v>29962.351999999999</v>
      </c>
      <c r="BA163">
        <v>31788.16</v>
      </c>
      <c r="BB163">
        <v>34027.07</v>
      </c>
      <c r="BC163">
        <v>36641.5795</v>
      </c>
      <c r="BD163">
        <v>39840.642</v>
      </c>
      <c r="BE163">
        <v>40000</v>
      </c>
      <c r="BF163">
        <v>41343.269999999997</v>
      </c>
      <c r="BG163">
        <v>44702.324999999997</v>
      </c>
      <c r="BH163">
        <v>49392.076000000001</v>
      </c>
      <c r="BI163">
        <v>58375.907500000008</v>
      </c>
      <c r="BJ163">
        <v>70239.999999999985</v>
      </c>
      <c r="BK163">
        <v>81597.5</v>
      </c>
      <c r="BL163">
        <v>118941.322</v>
      </c>
      <c r="BM163">
        <v>163981.24299999949</v>
      </c>
      <c r="BN163">
        <v>270486.4050000002</v>
      </c>
      <c r="BO163">
        <v>446888.37399999989</v>
      </c>
      <c r="BP163">
        <v>2814221.66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 x14ac:dyDescent="0.35">
      <c r="A164">
        <v>352429</v>
      </c>
      <c r="B164" t="s">
        <v>259</v>
      </c>
      <c r="C164" t="s">
        <v>260</v>
      </c>
      <c r="D164" s="1">
        <v>45822</v>
      </c>
      <c r="E164">
        <v>53850</v>
      </c>
      <c r="F164">
        <v>148</v>
      </c>
      <c r="G164" t="s">
        <v>90</v>
      </c>
      <c r="H164" t="s">
        <v>262</v>
      </c>
      <c r="I164" t="s">
        <v>48</v>
      </c>
      <c r="L164">
        <v>1483300006067</v>
      </c>
      <c r="M164">
        <v>20250507</v>
      </c>
      <c r="N164" t="s">
        <v>263</v>
      </c>
      <c r="Q164" t="s">
        <v>55</v>
      </c>
      <c r="R164">
        <v>40000</v>
      </c>
      <c r="T164">
        <v>3737044</v>
      </c>
      <c r="U164">
        <v>15554071009</v>
      </c>
      <c r="V164" t="s">
        <v>282</v>
      </c>
      <c r="W164" t="s">
        <v>53</v>
      </c>
      <c r="X164" t="s">
        <v>283</v>
      </c>
      <c r="Y164" t="s">
        <v>49</v>
      </c>
      <c r="Z164">
        <v>1196</v>
      </c>
      <c r="AH164">
        <v>0</v>
      </c>
      <c r="AI164">
        <v>202505</v>
      </c>
      <c r="AJ164" t="s">
        <v>61</v>
      </c>
      <c r="AK164">
        <v>0</v>
      </c>
      <c r="AL164">
        <v>1</v>
      </c>
      <c r="AO164">
        <v>0</v>
      </c>
      <c r="AP164">
        <v>999</v>
      </c>
      <c r="AQ164">
        <v>430</v>
      </c>
      <c r="AR164">
        <v>430999</v>
      </c>
      <c r="AT164">
        <v>1</v>
      </c>
      <c r="AU164" t="s">
        <v>54</v>
      </c>
      <c r="AV164">
        <v>25045.55</v>
      </c>
      <c r="AW164">
        <v>26010.331999999999</v>
      </c>
      <c r="AX164">
        <v>27041.058000000001</v>
      </c>
      <c r="AY164">
        <v>28420.708999999999</v>
      </c>
      <c r="AZ164">
        <v>29962.351999999999</v>
      </c>
      <c r="BA164">
        <v>31788.16</v>
      </c>
      <c r="BB164">
        <v>34027.07</v>
      </c>
      <c r="BC164">
        <v>36641.5795</v>
      </c>
      <c r="BD164">
        <v>39840.642</v>
      </c>
      <c r="BE164">
        <v>40000</v>
      </c>
      <c r="BF164">
        <v>41343.269999999997</v>
      </c>
      <c r="BG164">
        <v>44702.324999999997</v>
      </c>
      <c r="BH164">
        <v>49392.076000000001</v>
      </c>
      <c r="BI164">
        <v>58375.907500000008</v>
      </c>
      <c r="BJ164">
        <v>70239.999999999985</v>
      </c>
      <c r="BK164">
        <v>81597.5</v>
      </c>
      <c r="BL164">
        <v>118941.322</v>
      </c>
      <c r="BM164">
        <v>163981.24299999949</v>
      </c>
      <c r="BN164">
        <v>270486.4050000002</v>
      </c>
      <c r="BO164">
        <v>446888.37399999989</v>
      </c>
      <c r="BP164">
        <v>2814221.66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 x14ac:dyDescent="0.35">
      <c r="A165">
        <v>352413</v>
      </c>
      <c r="B165" t="s">
        <v>259</v>
      </c>
      <c r="C165" t="s">
        <v>260</v>
      </c>
      <c r="D165" s="1">
        <v>45822</v>
      </c>
      <c r="E165">
        <v>53850</v>
      </c>
      <c r="F165">
        <v>261</v>
      </c>
      <c r="G165" t="s">
        <v>78</v>
      </c>
      <c r="H165" t="s">
        <v>262</v>
      </c>
      <c r="I165" t="s">
        <v>48</v>
      </c>
      <c r="L165">
        <v>2613300010205</v>
      </c>
      <c r="M165">
        <v>20250527</v>
      </c>
      <c r="N165" t="s">
        <v>263</v>
      </c>
      <c r="Q165" t="s">
        <v>55</v>
      </c>
      <c r="R165">
        <v>27796.5</v>
      </c>
      <c r="T165">
        <v>4991786</v>
      </c>
      <c r="U165">
        <v>993400944</v>
      </c>
      <c r="V165" t="s">
        <v>247</v>
      </c>
      <c r="W165" t="s">
        <v>53</v>
      </c>
      <c r="X165" t="s">
        <v>237</v>
      </c>
      <c r="Y165" t="s">
        <v>49</v>
      </c>
      <c r="Z165">
        <v>1782</v>
      </c>
      <c r="AH165">
        <v>0</v>
      </c>
      <c r="AI165">
        <v>202505</v>
      </c>
      <c r="AJ165" t="s">
        <v>61</v>
      </c>
      <c r="AK165">
        <v>0</v>
      </c>
      <c r="AL165">
        <v>1</v>
      </c>
      <c r="AM165">
        <v>4991786</v>
      </c>
      <c r="AN165">
        <v>1</v>
      </c>
      <c r="AO165">
        <v>0</v>
      </c>
      <c r="AP165">
        <v>999</v>
      </c>
      <c r="AQ165">
        <v>430</v>
      </c>
      <c r="AR165">
        <v>430999</v>
      </c>
      <c r="AT165">
        <v>1</v>
      </c>
      <c r="AU165" t="s">
        <v>54</v>
      </c>
      <c r="AV165">
        <v>25045.55</v>
      </c>
      <c r="AW165">
        <v>26010.331999999999</v>
      </c>
      <c r="AX165">
        <v>27041.058000000001</v>
      </c>
      <c r="AY165">
        <v>28420.708999999999</v>
      </c>
      <c r="AZ165">
        <v>29962.351999999999</v>
      </c>
      <c r="BA165">
        <v>31788.16</v>
      </c>
      <c r="BB165">
        <v>34027.07</v>
      </c>
      <c r="BC165">
        <v>36641.5795</v>
      </c>
      <c r="BD165">
        <v>39840.642</v>
      </c>
      <c r="BE165">
        <v>40000</v>
      </c>
      <c r="BF165">
        <v>41343.269999999997</v>
      </c>
      <c r="BG165">
        <v>44702.324999999997</v>
      </c>
      <c r="BH165">
        <v>49392.076000000001</v>
      </c>
      <c r="BI165">
        <v>58375.907500000008</v>
      </c>
      <c r="BJ165">
        <v>70239.999999999985</v>
      </c>
      <c r="BK165">
        <v>81597.5</v>
      </c>
      <c r="BL165">
        <v>118941.322</v>
      </c>
      <c r="BM165">
        <v>163981.24299999949</v>
      </c>
      <c r="BN165">
        <v>270486.4050000002</v>
      </c>
      <c r="BO165">
        <v>446888.37399999989</v>
      </c>
      <c r="BP165">
        <v>2814221.66</v>
      </c>
      <c r="BQ165">
        <v>1</v>
      </c>
      <c r="BR165">
        <v>1</v>
      </c>
      <c r="BS165">
        <v>1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 x14ac:dyDescent="0.35">
      <c r="A166">
        <v>352376</v>
      </c>
      <c r="B166" t="s">
        <v>259</v>
      </c>
      <c r="C166" t="s">
        <v>260</v>
      </c>
      <c r="D166" s="1">
        <v>45822</v>
      </c>
      <c r="E166">
        <v>53850</v>
      </c>
      <c r="F166">
        <v>141</v>
      </c>
      <c r="G166" t="s">
        <v>76</v>
      </c>
      <c r="H166" t="s">
        <v>262</v>
      </c>
      <c r="I166" t="s">
        <v>48</v>
      </c>
      <c r="L166">
        <v>1413300003347</v>
      </c>
      <c r="M166">
        <v>20250515</v>
      </c>
      <c r="N166" t="s">
        <v>263</v>
      </c>
      <c r="Q166" t="s">
        <v>55</v>
      </c>
      <c r="R166">
        <v>40000</v>
      </c>
      <c r="T166">
        <v>4835947</v>
      </c>
      <c r="U166">
        <v>3351210756</v>
      </c>
      <c r="V166" t="s">
        <v>324</v>
      </c>
      <c r="W166" t="s">
        <v>53</v>
      </c>
      <c r="X166" t="s">
        <v>57</v>
      </c>
      <c r="Y166" t="s">
        <v>49</v>
      </c>
      <c r="Z166">
        <v>1627</v>
      </c>
      <c r="AH166">
        <v>0</v>
      </c>
      <c r="AI166">
        <v>202505</v>
      </c>
      <c r="AJ166" t="s">
        <v>61</v>
      </c>
      <c r="AK166">
        <v>0</v>
      </c>
      <c r="AL166">
        <v>1</v>
      </c>
      <c r="AO166">
        <v>0</v>
      </c>
      <c r="AP166">
        <v>620</v>
      </c>
      <c r="AQ166">
        <v>430</v>
      </c>
      <c r="AR166">
        <v>430620</v>
      </c>
      <c r="AS166" t="s">
        <v>58</v>
      </c>
      <c r="AU166" t="s">
        <v>58</v>
      </c>
      <c r="AV166">
        <v>25045.55</v>
      </c>
      <c r="AW166">
        <v>26010.331999999999</v>
      </c>
      <c r="AX166">
        <v>27041.058000000001</v>
      </c>
      <c r="AY166">
        <v>28420.708999999999</v>
      </c>
      <c r="AZ166">
        <v>29962.351999999999</v>
      </c>
      <c r="BA166">
        <v>31788.16</v>
      </c>
      <c r="BB166">
        <v>34027.07</v>
      </c>
      <c r="BC166">
        <v>36641.5795</v>
      </c>
      <c r="BD166">
        <v>39840.642</v>
      </c>
      <c r="BE166">
        <v>40000</v>
      </c>
      <c r="BF166">
        <v>41343.269999999997</v>
      </c>
      <c r="BG166">
        <v>44702.324999999997</v>
      </c>
      <c r="BH166">
        <v>49392.076000000001</v>
      </c>
      <c r="BI166">
        <v>58375.907500000008</v>
      </c>
      <c r="BJ166">
        <v>70239.999999999985</v>
      </c>
      <c r="BK166">
        <v>81597.5</v>
      </c>
      <c r="BL166">
        <v>118941.322</v>
      </c>
      <c r="BM166">
        <v>163981.24299999949</v>
      </c>
      <c r="BN166">
        <v>270486.4050000002</v>
      </c>
      <c r="BO166">
        <v>446888.37399999989</v>
      </c>
      <c r="BP166">
        <v>2814221.66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 x14ac:dyDescent="0.35">
      <c r="A167">
        <v>352339</v>
      </c>
      <c r="B167" t="s">
        <v>259</v>
      </c>
      <c r="C167" t="s">
        <v>260</v>
      </c>
      <c r="D167" s="1">
        <v>45822</v>
      </c>
      <c r="E167">
        <v>53850</v>
      </c>
      <c r="F167">
        <v>154</v>
      </c>
      <c r="G167" t="s">
        <v>235</v>
      </c>
      <c r="H167" t="s">
        <v>262</v>
      </c>
      <c r="I167" t="s">
        <v>48</v>
      </c>
      <c r="L167">
        <v>1543300004860</v>
      </c>
      <c r="M167">
        <v>20250521</v>
      </c>
      <c r="N167" t="s">
        <v>263</v>
      </c>
      <c r="Q167" t="s">
        <v>55</v>
      </c>
      <c r="R167">
        <v>27250</v>
      </c>
      <c r="T167">
        <v>3715569</v>
      </c>
      <c r="U167">
        <v>5424970654</v>
      </c>
      <c r="V167" t="s">
        <v>265</v>
      </c>
      <c r="W167" t="s">
        <v>53</v>
      </c>
      <c r="X167" t="s">
        <v>266</v>
      </c>
      <c r="Y167" t="s">
        <v>49</v>
      </c>
      <c r="Z167">
        <v>741</v>
      </c>
      <c r="AH167">
        <v>0</v>
      </c>
      <c r="AI167">
        <v>202505</v>
      </c>
      <c r="AJ167" t="s">
        <v>61</v>
      </c>
      <c r="AK167">
        <v>0</v>
      </c>
      <c r="AL167">
        <v>1</v>
      </c>
      <c r="AO167">
        <v>0</v>
      </c>
      <c r="AP167">
        <v>999</v>
      </c>
      <c r="AQ167">
        <v>430</v>
      </c>
      <c r="AR167">
        <v>430999</v>
      </c>
      <c r="AT167">
        <v>1</v>
      </c>
      <c r="AU167" t="s">
        <v>54</v>
      </c>
      <c r="AV167">
        <v>25045.55</v>
      </c>
      <c r="AW167">
        <v>26010.331999999999</v>
      </c>
      <c r="AX167">
        <v>27041.058000000001</v>
      </c>
      <c r="AY167">
        <v>28420.708999999999</v>
      </c>
      <c r="AZ167">
        <v>29962.351999999999</v>
      </c>
      <c r="BA167">
        <v>31788.16</v>
      </c>
      <c r="BB167">
        <v>34027.07</v>
      </c>
      <c r="BC167">
        <v>36641.5795</v>
      </c>
      <c r="BD167">
        <v>39840.642</v>
      </c>
      <c r="BE167">
        <v>40000</v>
      </c>
      <c r="BF167">
        <v>41343.269999999997</v>
      </c>
      <c r="BG167">
        <v>44702.324999999997</v>
      </c>
      <c r="BH167">
        <v>49392.076000000001</v>
      </c>
      <c r="BI167">
        <v>58375.907500000008</v>
      </c>
      <c r="BJ167">
        <v>70239.999999999985</v>
      </c>
      <c r="BK167">
        <v>81597.5</v>
      </c>
      <c r="BL167">
        <v>118941.322</v>
      </c>
      <c r="BM167">
        <v>163981.24299999949</v>
      </c>
      <c r="BN167">
        <v>270486.4050000002</v>
      </c>
      <c r="BO167">
        <v>446888.37399999989</v>
      </c>
      <c r="BP167">
        <v>2814221.66</v>
      </c>
      <c r="BQ167">
        <v>1</v>
      </c>
      <c r="BR167">
        <v>1</v>
      </c>
      <c r="BS167">
        <v>1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 x14ac:dyDescent="0.35">
      <c r="A168">
        <v>352326</v>
      </c>
      <c r="B168" t="s">
        <v>259</v>
      </c>
      <c r="C168" t="s">
        <v>260</v>
      </c>
      <c r="D168" s="1">
        <v>45822</v>
      </c>
      <c r="E168">
        <v>53850</v>
      </c>
      <c r="F168">
        <v>103</v>
      </c>
      <c r="G168" t="s">
        <v>56</v>
      </c>
      <c r="H168" t="s">
        <v>262</v>
      </c>
      <c r="I168" t="s">
        <v>48</v>
      </c>
      <c r="L168">
        <v>1033306967935</v>
      </c>
      <c r="M168">
        <v>20250506</v>
      </c>
      <c r="N168" t="s">
        <v>287</v>
      </c>
      <c r="Q168" t="s">
        <v>55</v>
      </c>
      <c r="R168">
        <v>25636.55</v>
      </c>
      <c r="T168">
        <v>155052</v>
      </c>
      <c r="U168">
        <v>2563580725</v>
      </c>
      <c r="V168" t="s">
        <v>280</v>
      </c>
      <c r="W168" t="s">
        <v>53</v>
      </c>
      <c r="X168" t="s">
        <v>231</v>
      </c>
      <c r="Y168" t="s">
        <v>49</v>
      </c>
      <c r="Z168">
        <v>1926</v>
      </c>
      <c r="AH168">
        <v>0</v>
      </c>
      <c r="AI168">
        <v>202505</v>
      </c>
      <c r="AJ168" t="s">
        <v>61</v>
      </c>
      <c r="AK168">
        <v>0</v>
      </c>
      <c r="AL168">
        <v>1</v>
      </c>
      <c r="AM168">
        <v>155052</v>
      </c>
      <c r="AN168">
        <v>1</v>
      </c>
      <c r="AO168">
        <v>0</v>
      </c>
      <c r="AP168">
        <v>999</v>
      </c>
      <c r="AQ168">
        <v>430</v>
      </c>
      <c r="AR168">
        <v>430999</v>
      </c>
      <c r="AT168">
        <v>1</v>
      </c>
      <c r="AU168" t="s">
        <v>54</v>
      </c>
      <c r="AV168">
        <v>25045.55</v>
      </c>
      <c r="AW168">
        <v>26010.331999999999</v>
      </c>
      <c r="AX168">
        <v>27041.058000000001</v>
      </c>
      <c r="AY168">
        <v>28420.708999999999</v>
      </c>
      <c r="AZ168">
        <v>29962.351999999999</v>
      </c>
      <c r="BA168">
        <v>31788.16</v>
      </c>
      <c r="BB168">
        <v>34027.07</v>
      </c>
      <c r="BC168">
        <v>36641.5795</v>
      </c>
      <c r="BD168">
        <v>39840.642</v>
      </c>
      <c r="BE168">
        <v>40000</v>
      </c>
      <c r="BF168">
        <v>41343.269999999997</v>
      </c>
      <c r="BG168">
        <v>44702.324999999997</v>
      </c>
      <c r="BH168">
        <v>49392.076000000001</v>
      </c>
      <c r="BI168">
        <v>58375.907500000008</v>
      </c>
      <c r="BJ168">
        <v>70239.999999999985</v>
      </c>
      <c r="BK168">
        <v>81597.5</v>
      </c>
      <c r="BL168">
        <v>118941.322</v>
      </c>
      <c r="BM168">
        <v>163981.24299999949</v>
      </c>
      <c r="BN168">
        <v>270486.4050000002</v>
      </c>
      <c r="BO168">
        <v>446888.37399999989</v>
      </c>
      <c r="BP168">
        <v>2814221.66</v>
      </c>
      <c r="BQ168">
        <v>1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 x14ac:dyDescent="0.35">
      <c r="A169">
        <v>352298</v>
      </c>
      <c r="B169" t="s">
        <v>259</v>
      </c>
      <c r="C169" t="s">
        <v>260</v>
      </c>
      <c r="D169" s="1">
        <v>45822</v>
      </c>
      <c r="E169">
        <v>53850</v>
      </c>
      <c r="F169">
        <v>191</v>
      </c>
      <c r="G169" t="s">
        <v>173</v>
      </c>
      <c r="H169" t="s">
        <v>262</v>
      </c>
      <c r="I169" t="s">
        <v>48</v>
      </c>
      <c r="L169">
        <v>1913300068122</v>
      </c>
      <c r="M169">
        <v>20250522</v>
      </c>
      <c r="N169" t="s">
        <v>263</v>
      </c>
      <c r="Q169" t="s">
        <v>55</v>
      </c>
      <c r="R169">
        <v>30000</v>
      </c>
      <c r="T169">
        <v>4918280</v>
      </c>
      <c r="U169">
        <v>3480410798</v>
      </c>
      <c r="V169" t="s">
        <v>291</v>
      </c>
      <c r="W169" t="s">
        <v>53</v>
      </c>
      <c r="X169" t="s">
        <v>232</v>
      </c>
      <c r="Y169" t="s">
        <v>49</v>
      </c>
      <c r="AH169">
        <v>0</v>
      </c>
      <c r="AI169">
        <v>202505</v>
      </c>
      <c r="AJ169" t="s">
        <v>162</v>
      </c>
      <c r="AK169">
        <v>1</v>
      </c>
      <c r="AL169">
        <v>1</v>
      </c>
      <c r="AO169">
        <v>0</v>
      </c>
      <c r="AP169">
        <v>999</v>
      </c>
      <c r="AQ169">
        <v>430</v>
      </c>
      <c r="AR169">
        <v>430999</v>
      </c>
      <c r="AT169">
        <v>1</v>
      </c>
      <c r="AU169" t="s">
        <v>54</v>
      </c>
      <c r="AV169">
        <v>25045.55</v>
      </c>
      <c r="AW169">
        <v>26010.331999999999</v>
      </c>
      <c r="AX169">
        <v>27041.058000000001</v>
      </c>
      <c r="AY169">
        <v>28420.708999999999</v>
      </c>
      <c r="AZ169">
        <v>29962.351999999999</v>
      </c>
      <c r="BA169">
        <v>31788.16</v>
      </c>
      <c r="BB169">
        <v>34027.07</v>
      </c>
      <c r="BC169">
        <v>36641.5795</v>
      </c>
      <c r="BD169">
        <v>39840.642</v>
      </c>
      <c r="BE169">
        <v>40000</v>
      </c>
      <c r="BF169">
        <v>41343.269999999997</v>
      </c>
      <c r="BG169">
        <v>44702.324999999997</v>
      </c>
      <c r="BH169">
        <v>49392.076000000001</v>
      </c>
      <c r="BI169">
        <v>58375.907500000008</v>
      </c>
      <c r="BJ169">
        <v>70239.999999999985</v>
      </c>
      <c r="BK169">
        <v>81597.5</v>
      </c>
      <c r="BL169">
        <v>118941.322</v>
      </c>
      <c r="BM169">
        <v>163981.24299999949</v>
      </c>
      <c r="BN169">
        <v>270486.4050000002</v>
      </c>
      <c r="BO169">
        <v>446888.37399999989</v>
      </c>
      <c r="BP169">
        <v>2814221.66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 x14ac:dyDescent="0.35">
      <c r="A170">
        <v>352290</v>
      </c>
      <c r="B170" t="s">
        <v>259</v>
      </c>
      <c r="C170" t="s">
        <v>260</v>
      </c>
      <c r="D170" s="1">
        <v>45822</v>
      </c>
      <c r="E170">
        <v>53850</v>
      </c>
      <c r="F170">
        <v>141</v>
      </c>
      <c r="G170" t="s">
        <v>76</v>
      </c>
      <c r="H170" t="s">
        <v>262</v>
      </c>
      <c r="I170" t="s">
        <v>48</v>
      </c>
      <c r="L170">
        <v>1413300003347</v>
      </c>
      <c r="M170">
        <v>20250521</v>
      </c>
      <c r="N170" t="s">
        <v>263</v>
      </c>
      <c r="Q170" t="s">
        <v>55</v>
      </c>
      <c r="R170">
        <v>27164.07</v>
      </c>
      <c r="T170">
        <v>4835947</v>
      </c>
      <c r="U170">
        <v>3351210756</v>
      </c>
      <c r="V170" t="s">
        <v>324</v>
      </c>
      <c r="W170" t="s">
        <v>53</v>
      </c>
      <c r="X170" t="s">
        <v>57</v>
      </c>
      <c r="Y170" t="s">
        <v>49</v>
      </c>
      <c r="Z170">
        <v>1627</v>
      </c>
      <c r="AH170">
        <v>0</v>
      </c>
      <c r="AI170">
        <v>202505</v>
      </c>
      <c r="AJ170" t="s">
        <v>61</v>
      </c>
      <c r="AK170">
        <v>0</v>
      </c>
      <c r="AL170">
        <v>1</v>
      </c>
      <c r="AO170">
        <v>0</v>
      </c>
      <c r="AP170">
        <v>620</v>
      </c>
      <c r="AQ170">
        <v>430</v>
      </c>
      <c r="AR170">
        <v>430620</v>
      </c>
      <c r="AS170" t="s">
        <v>58</v>
      </c>
      <c r="AU170" t="s">
        <v>58</v>
      </c>
      <c r="AV170">
        <v>25045.55</v>
      </c>
      <c r="AW170">
        <v>26010.331999999999</v>
      </c>
      <c r="AX170">
        <v>27041.058000000001</v>
      </c>
      <c r="AY170">
        <v>28420.708999999999</v>
      </c>
      <c r="AZ170">
        <v>29962.351999999999</v>
      </c>
      <c r="BA170">
        <v>31788.16</v>
      </c>
      <c r="BB170">
        <v>34027.07</v>
      </c>
      <c r="BC170">
        <v>36641.5795</v>
      </c>
      <c r="BD170">
        <v>39840.642</v>
      </c>
      <c r="BE170">
        <v>40000</v>
      </c>
      <c r="BF170">
        <v>41343.269999999997</v>
      </c>
      <c r="BG170">
        <v>44702.324999999997</v>
      </c>
      <c r="BH170">
        <v>49392.076000000001</v>
      </c>
      <c r="BI170">
        <v>58375.907500000008</v>
      </c>
      <c r="BJ170">
        <v>70239.999999999985</v>
      </c>
      <c r="BK170">
        <v>81597.5</v>
      </c>
      <c r="BL170">
        <v>118941.322</v>
      </c>
      <c r="BM170">
        <v>163981.24299999949</v>
      </c>
      <c r="BN170">
        <v>270486.4050000002</v>
      </c>
      <c r="BO170">
        <v>446888.37399999989</v>
      </c>
      <c r="BP170">
        <v>2814221.66</v>
      </c>
      <c r="BQ170">
        <v>1</v>
      </c>
      <c r="BR170">
        <v>1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 x14ac:dyDescent="0.35">
      <c r="A171">
        <v>352283</v>
      </c>
      <c r="B171" t="s">
        <v>259</v>
      </c>
      <c r="C171" t="s">
        <v>260</v>
      </c>
      <c r="D171" s="1">
        <v>45822</v>
      </c>
      <c r="E171">
        <v>53850</v>
      </c>
      <c r="F171">
        <v>189</v>
      </c>
      <c r="G171" t="s">
        <v>172</v>
      </c>
      <c r="H171" t="s">
        <v>262</v>
      </c>
      <c r="I171" t="s">
        <v>48</v>
      </c>
      <c r="L171">
        <v>1893300039198</v>
      </c>
      <c r="M171">
        <v>20250521</v>
      </c>
      <c r="N171" t="s">
        <v>263</v>
      </c>
      <c r="Q171" t="s">
        <v>55</v>
      </c>
      <c r="R171">
        <v>53000</v>
      </c>
      <c r="T171">
        <v>4946691</v>
      </c>
      <c r="U171">
        <v>3168470734</v>
      </c>
      <c r="V171" t="s">
        <v>238</v>
      </c>
      <c r="W171" t="s">
        <v>53</v>
      </c>
      <c r="X171" t="s">
        <v>239</v>
      </c>
      <c r="Y171" t="s">
        <v>49</v>
      </c>
      <c r="Z171">
        <v>1381</v>
      </c>
      <c r="AH171">
        <v>0</v>
      </c>
      <c r="AI171">
        <v>202505</v>
      </c>
      <c r="AJ171" t="s">
        <v>160</v>
      </c>
      <c r="AK171">
        <v>1</v>
      </c>
      <c r="AL171">
        <v>1</v>
      </c>
      <c r="AO171">
        <v>0</v>
      </c>
      <c r="AP171">
        <v>999</v>
      </c>
      <c r="AQ171">
        <v>430</v>
      </c>
      <c r="AR171">
        <v>430999</v>
      </c>
      <c r="AT171">
        <v>1</v>
      </c>
      <c r="AU171" t="s">
        <v>54</v>
      </c>
      <c r="AV171">
        <v>25045.55</v>
      </c>
      <c r="AW171">
        <v>26010.331999999999</v>
      </c>
      <c r="AX171">
        <v>27041.058000000001</v>
      </c>
      <c r="AY171">
        <v>28420.708999999999</v>
      </c>
      <c r="AZ171">
        <v>29962.351999999999</v>
      </c>
      <c r="BA171">
        <v>31788.16</v>
      </c>
      <c r="BB171">
        <v>34027.07</v>
      </c>
      <c r="BC171">
        <v>36641.5795</v>
      </c>
      <c r="BD171">
        <v>39840.642</v>
      </c>
      <c r="BE171">
        <v>40000</v>
      </c>
      <c r="BF171">
        <v>41343.269999999997</v>
      </c>
      <c r="BG171">
        <v>44702.324999999997</v>
      </c>
      <c r="BH171">
        <v>49392.076000000001</v>
      </c>
      <c r="BI171">
        <v>58375.907500000008</v>
      </c>
      <c r="BJ171">
        <v>70239.999999999985</v>
      </c>
      <c r="BK171">
        <v>81597.5</v>
      </c>
      <c r="BL171">
        <v>118941.322</v>
      </c>
      <c r="BM171">
        <v>163981.24299999949</v>
      </c>
      <c r="BN171">
        <v>270486.4050000002</v>
      </c>
      <c r="BO171">
        <v>446888.37399999989</v>
      </c>
      <c r="BP171">
        <v>2814221.66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 x14ac:dyDescent="0.35">
      <c r="A172">
        <v>352268</v>
      </c>
      <c r="B172" t="s">
        <v>259</v>
      </c>
      <c r="C172" t="s">
        <v>260</v>
      </c>
      <c r="D172" s="1">
        <v>45822</v>
      </c>
      <c r="E172">
        <v>53850</v>
      </c>
      <c r="F172">
        <v>122</v>
      </c>
      <c r="G172" t="s">
        <v>261</v>
      </c>
      <c r="H172" t="s">
        <v>262</v>
      </c>
      <c r="I172" t="s">
        <v>48</v>
      </c>
      <c r="L172">
        <v>1223300001682</v>
      </c>
      <c r="M172">
        <v>20250527</v>
      </c>
      <c r="N172" t="s">
        <v>263</v>
      </c>
      <c r="Q172" t="s">
        <v>55</v>
      </c>
      <c r="R172">
        <v>25620</v>
      </c>
      <c r="T172">
        <v>3711207</v>
      </c>
      <c r="U172">
        <v>8825020723</v>
      </c>
      <c r="V172" t="s">
        <v>264</v>
      </c>
      <c r="W172" t="s">
        <v>53</v>
      </c>
      <c r="X172" t="s">
        <v>57</v>
      </c>
      <c r="Y172" t="s">
        <v>49</v>
      </c>
      <c r="Z172">
        <v>1696</v>
      </c>
      <c r="AH172">
        <v>0</v>
      </c>
      <c r="AI172">
        <v>202505</v>
      </c>
      <c r="AJ172" t="s">
        <v>160</v>
      </c>
      <c r="AK172">
        <v>1</v>
      </c>
      <c r="AL172">
        <v>1</v>
      </c>
      <c r="AO172">
        <v>0</v>
      </c>
      <c r="AP172">
        <v>620</v>
      </c>
      <c r="AQ172">
        <v>430</v>
      </c>
      <c r="AR172">
        <v>430620</v>
      </c>
      <c r="AS172" t="s">
        <v>58</v>
      </c>
      <c r="AU172" t="s">
        <v>58</v>
      </c>
      <c r="AV172">
        <v>25045.55</v>
      </c>
      <c r="AW172">
        <v>26010.331999999999</v>
      </c>
      <c r="AX172">
        <v>27041.058000000001</v>
      </c>
      <c r="AY172">
        <v>28420.708999999999</v>
      </c>
      <c r="AZ172">
        <v>29962.351999999999</v>
      </c>
      <c r="BA172">
        <v>31788.16</v>
      </c>
      <c r="BB172">
        <v>34027.07</v>
      </c>
      <c r="BC172">
        <v>36641.5795</v>
      </c>
      <c r="BD172">
        <v>39840.642</v>
      </c>
      <c r="BE172">
        <v>40000</v>
      </c>
      <c r="BF172">
        <v>41343.269999999997</v>
      </c>
      <c r="BG172">
        <v>44702.324999999997</v>
      </c>
      <c r="BH172">
        <v>49392.076000000001</v>
      </c>
      <c r="BI172">
        <v>58375.907500000008</v>
      </c>
      <c r="BJ172">
        <v>70239.999999999985</v>
      </c>
      <c r="BK172">
        <v>81597.5</v>
      </c>
      <c r="BL172">
        <v>118941.322</v>
      </c>
      <c r="BM172">
        <v>163981.24299999949</v>
      </c>
      <c r="BN172">
        <v>270486.4050000002</v>
      </c>
      <c r="BO172">
        <v>446888.37399999989</v>
      </c>
      <c r="BP172">
        <v>2814221.66</v>
      </c>
      <c r="BQ172">
        <v>1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 x14ac:dyDescent="0.35">
      <c r="A173">
        <v>352259</v>
      </c>
      <c r="B173" t="s">
        <v>259</v>
      </c>
      <c r="C173" t="s">
        <v>260</v>
      </c>
      <c r="D173" s="1">
        <v>45822</v>
      </c>
      <c r="E173">
        <v>53850</v>
      </c>
      <c r="F173">
        <v>145</v>
      </c>
      <c r="G173" t="s">
        <v>67</v>
      </c>
      <c r="H173" t="s">
        <v>262</v>
      </c>
      <c r="I173" t="s">
        <v>48</v>
      </c>
      <c r="L173">
        <v>1453300004026</v>
      </c>
      <c r="M173">
        <v>20250509</v>
      </c>
      <c r="N173" t="s">
        <v>263</v>
      </c>
      <c r="Q173" t="s">
        <v>55</v>
      </c>
      <c r="R173">
        <v>51240</v>
      </c>
      <c r="T173">
        <v>3741477</v>
      </c>
      <c r="U173">
        <v>10665571211</v>
      </c>
      <c r="V173" t="s">
        <v>325</v>
      </c>
      <c r="W173" t="s">
        <v>53</v>
      </c>
      <c r="X173" t="s">
        <v>326</v>
      </c>
      <c r="Y173" t="s">
        <v>49</v>
      </c>
      <c r="Z173">
        <v>1222</v>
      </c>
      <c r="AH173">
        <v>0</v>
      </c>
      <c r="AI173">
        <v>202505</v>
      </c>
      <c r="AJ173" t="s">
        <v>61</v>
      </c>
      <c r="AK173">
        <v>0</v>
      </c>
      <c r="AL173">
        <v>1</v>
      </c>
      <c r="AO173">
        <v>0</v>
      </c>
      <c r="AP173">
        <v>731</v>
      </c>
      <c r="AQ173">
        <v>430</v>
      </c>
      <c r="AR173">
        <v>430731</v>
      </c>
      <c r="AS173" t="s">
        <v>58</v>
      </c>
      <c r="AU173" t="s">
        <v>58</v>
      </c>
      <c r="AV173">
        <v>25045.55</v>
      </c>
      <c r="AW173">
        <v>26010.331999999999</v>
      </c>
      <c r="AX173">
        <v>27041.058000000001</v>
      </c>
      <c r="AY173">
        <v>28420.708999999999</v>
      </c>
      <c r="AZ173">
        <v>29962.351999999999</v>
      </c>
      <c r="BA173">
        <v>31788.16</v>
      </c>
      <c r="BB173">
        <v>34027.07</v>
      </c>
      <c r="BC173">
        <v>36641.5795</v>
      </c>
      <c r="BD173">
        <v>39840.642</v>
      </c>
      <c r="BE173">
        <v>40000</v>
      </c>
      <c r="BF173">
        <v>41343.269999999997</v>
      </c>
      <c r="BG173">
        <v>44702.324999999997</v>
      </c>
      <c r="BH173">
        <v>49392.076000000001</v>
      </c>
      <c r="BI173">
        <v>58375.907500000008</v>
      </c>
      <c r="BJ173">
        <v>70239.999999999985</v>
      </c>
      <c r="BK173">
        <v>81597.5</v>
      </c>
      <c r="BL173">
        <v>118941.322</v>
      </c>
      <c r="BM173">
        <v>163981.24299999949</v>
      </c>
      <c r="BN173">
        <v>270486.4050000002</v>
      </c>
      <c r="BO173">
        <v>446888.37399999989</v>
      </c>
      <c r="BP173">
        <v>2814221.66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 x14ac:dyDescent="0.35">
      <c r="A174">
        <v>352219</v>
      </c>
      <c r="B174" t="s">
        <v>259</v>
      </c>
      <c r="C174" t="s">
        <v>260</v>
      </c>
      <c r="D174" s="1">
        <v>45822</v>
      </c>
      <c r="E174">
        <v>53850</v>
      </c>
      <c r="F174">
        <v>136</v>
      </c>
      <c r="G174" t="s">
        <v>68</v>
      </c>
      <c r="H174" t="s">
        <v>262</v>
      </c>
      <c r="I174" t="s">
        <v>48</v>
      </c>
      <c r="L174">
        <v>1363300003325</v>
      </c>
      <c r="M174">
        <v>20250506</v>
      </c>
      <c r="N174" t="s">
        <v>263</v>
      </c>
      <c r="Q174" t="s">
        <v>55</v>
      </c>
      <c r="R174">
        <v>43255.89</v>
      </c>
      <c r="T174">
        <v>4395683</v>
      </c>
      <c r="U174">
        <v>2036760037</v>
      </c>
      <c r="V174" t="s">
        <v>69</v>
      </c>
      <c r="W174" t="s">
        <v>53</v>
      </c>
      <c r="X174" t="s">
        <v>70</v>
      </c>
      <c r="Y174" t="s">
        <v>49</v>
      </c>
      <c r="Z174">
        <v>1627</v>
      </c>
      <c r="AH174">
        <v>0</v>
      </c>
      <c r="AI174">
        <v>202505</v>
      </c>
      <c r="AJ174" t="s">
        <v>61</v>
      </c>
      <c r="AK174">
        <v>0</v>
      </c>
      <c r="AL174">
        <v>1</v>
      </c>
      <c r="AO174">
        <v>0</v>
      </c>
      <c r="AP174">
        <v>999</v>
      </c>
      <c r="AQ174">
        <v>430</v>
      </c>
      <c r="AR174">
        <v>430999</v>
      </c>
      <c r="AT174">
        <v>1</v>
      </c>
      <c r="AU174" t="s">
        <v>54</v>
      </c>
      <c r="AV174">
        <v>25045.55</v>
      </c>
      <c r="AW174">
        <v>26010.331999999999</v>
      </c>
      <c r="AX174">
        <v>27041.058000000001</v>
      </c>
      <c r="AY174">
        <v>28420.708999999999</v>
      </c>
      <c r="AZ174">
        <v>29962.351999999999</v>
      </c>
      <c r="BA174">
        <v>31788.16</v>
      </c>
      <c r="BB174">
        <v>34027.07</v>
      </c>
      <c r="BC174">
        <v>36641.5795</v>
      </c>
      <c r="BD174">
        <v>39840.642</v>
      </c>
      <c r="BE174">
        <v>40000</v>
      </c>
      <c r="BF174">
        <v>41343.269999999997</v>
      </c>
      <c r="BG174">
        <v>44702.324999999997</v>
      </c>
      <c r="BH174">
        <v>49392.076000000001</v>
      </c>
      <c r="BI174">
        <v>58375.907500000008</v>
      </c>
      <c r="BJ174">
        <v>70239.999999999985</v>
      </c>
      <c r="BK174">
        <v>81597.5</v>
      </c>
      <c r="BL174">
        <v>118941.322</v>
      </c>
      <c r="BM174">
        <v>163981.24299999949</v>
      </c>
      <c r="BN174">
        <v>270486.4050000002</v>
      </c>
      <c r="BO174">
        <v>446888.37399999989</v>
      </c>
      <c r="BP174">
        <v>2814221.66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 x14ac:dyDescent="0.35">
      <c r="A175">
        <v>352162</v>
      </c>
      <c r="B175" t="s">
        <v>259</v>
      </c>
      <c r="C175" t="s">
        <v>260</v>
      </c>
      <c r="D175" s="1">
        <v>45822</v>
      </c>
      <c r="E175">
        <v>53850</v>
      </c>
      <c r="F175">
        <v>99</v>
      </c>
      <c r="G175" t="s">
        <v>327</v>
      </c>
      <c r="H175" t="s">
        <v>262</v>
      </c>
      <c r="I175" t="s">
        <v>48</v>
      </c>
      <c r="M175">
        <v>20250508</v>
      </c>
      <c r="N175" t="s">
        <v>263</v>
      </c>
      <c r="Q175" t="s">
        <v>55</v>
      </c>
      <c r="R175">
        <v>55919.05</v>
      </c>
      <c r="T175">
        <v>1900001</v>
      </c>
      <c r="U175">
        <v>604840777</v>
      </c>
      <c r="V175" t="s">
        <v>328</v>
      </c>
      <c r="W175" t="s">
        <v>329</v>
      </c>
      <c r="X175" t="s">
        <v>330</v>
      </c>
      <c r="Y175" t="s">
        <v>49</v>
      </c>
      <c r="AH175">
        <v>0</v>
      </c>
      <c r="AI175">
        <v>202505</v>
      </c>
      <c r="AJ175" t="s">
        <v>167</v>
      </c>
      <c r="AK175">
        <v>1</v>
      </c>
      <c r="AL175">
        <v>1</v>
      </c>
      <c r="AO175">
        <v>0</v>
      </c>
      <c r="AP175">
        <v>999</v>
      </c>
      <c r="AQ175">
        <v>245</v>
      </c>
      <c r="AR175">
        <v>245999</v>
      </c>
      <c r="AT175">
        <v>1</v>
      </c>
      <c r="AU175" t="s">
        <v>59</v>
      </c>
      <c r="AV175">
        <v>25045.55</v>
      </c>
      <c r="AW175">
        <v>26010.331999999999</v>
      </c>
      <c r="AX175">
        <v>27041.058000000001</v>
      </c>
      <c r="AY175">
        <v>28420.708999999999</v>
      </c>
      <c r="AZ175">
        <v>29962.351999999999</v>
      </c>
      <c r="BA175">
        <v>31788.16</v>
      </c>
      <c r="BB175">
        <v>34027.07</v>
      </c>
      <c r="BC175">
        <v>36641.5795</v>
      </c>
      <c r="BD175">
        <v>39840.642</v>
      </c>
      <c r="BE175">
        <v>40000</v>
      </c>
      <c r="BF175">
        <v>41343.269999999997</v>
      </c>
      <c r="BG175">
        <v>44702.324999999997</v>
      </c>
      <c r="BH175">
        <v>49392.076000000001</v>
      </c>
      <c r="BI175">
        <v>58375.907500000008</v>
      </c>
      <c r="BJ175">
        <v>70239.999999999985</v>
      </c>
      <c r="BK175">
        <v>81597.5</v>
      </c>
      <c r="BL175">
        <v>118941.322</v>
      </c>
      <c r="BM175">
        <v>163981.24299999949</v>
      </c>
      <c r="BN175">
        <v>270486.4050000002</v>
      </c>
      <c r="BO175">
        <v>446888.37399999989</v>
      </c>
      <c r="BP175">
        <v>2814221.66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 x14ac:dyDescent="0.35">
      <c r="A176">
        <v>352156</v>
      </c>
      <c r="B176" t="s">
        <v>259</v>
      </c>
      <c r="C176" t="s">
        <v>260</v>
      </c>
      <c r="D176" s="1">
        <v>45822</v>
      </c>
      <c r="E176">
        <v>53850</v>
      </c>
      <c r="F176">
        <v>116</v>
      </c>
      <c r="G176" t="s">
        <v>165</v>
      </c>
      <c r="H176" t="s">
        <v>262</v>
      </c>
      <c r="I176" t="s">
        <v>48</v>
      </c>
      <c r="L176">
        <v>1163307620827</v>
      </c>
      <c r="M176">
        <v>20250522</v>
      </c>
      <c r="N176" t="s">
        <v>263</v>
      </c>
      <c r="Q176" t="s">
        <v>55</v>
      </c>
      <c r="R176">
        <v>27000</v>
      </c>
      <c r="T176">
        <v>4871871</v>
      </c>
      <c r="U176">
        <v>2516140726</v>
      </c>
      <c r="V176" t="s">
        <v>240</v>
      </c>
      <c r="W176" t="s">
        <v>53</v>
      </c>
      <c r="X176" t="s">
        <v>231</v>
      </c>
      <c r="Y176" t="s">
        <v>49</v>
      </c>
      <c r="Z176">
        <v>1903</v>
      </c>
      <c r="AH176">
        <v>0</v>
      </c>
      <c r="AI176">
        <v>202505</v>
      </c>
      <c r="AJ176" t="s">
        <v>61</v>
      </c>
      <c r="AK176">
        <v>0</v>
      </c>
      <c r="AL176">
        <v>1</v>
      </c>
      <c r="AO176">
        <v>0</v>
      </c>
      <c r="AP176">
        <v>999</v>
      </c>
      <c r="AQ176">
        <v>430</v>
      </c>
      <c r="AR176">
        <v>430999</v>
      </c>
      <c r="AT176">
        <v>1</v>
      </c>
      <c r="AU176" t="s">
        <v>54</v>
      </c>
      <c r="AV176">
        <v>25045.55</v>
      </c>
      <c r="AW176">
        <v>26010.331999999999</v>
      </c>
      <c r="AX176">
        <v>27041.058000000001</v>
      </c>
      <c r="AY176">
        <v>28420.708999999999</v>
      </c>
      <c r="AZ176">
        <v>29962.351999999999</v>
      </c>
      <c r="BA176">
        <v>31788.16</v>
      </c>
      <c r="BB176">
        <v>34027.07</v>
      </c>
      <c r="BC176">
        <v>36641.5795</v>
      </c>
      <c r="BD176">
        <v>39840.642</v>
      </c>
      <c r="BE176">
        <v>40000</v>
      </c>
      <c r="BF176">
        <v>41343.269999999997</v>
      </c>
      <c r="BG176">
        <v>44702.324999999997</v>
      </c>
      <c r="BH176">
        <v>49392.076000000001</v>
      </c>
      <c r="BI176">
        <v>58375.907500000008</v>
      </c>
      <c r="BJ176">
        <v>70239.999999999985</v>
      </c>
      <c r="BK176">
        <v>81597.5</v>
      </c>
      <c r="BL176">
        <v>118941.322</v>
      </c>
      <c r="BM176">
        <v>163981.24299999949</v>
      </c>
      <c r="BN176">
        <v>270486.4050000002</v>
      </c>
      <c r="BO176">
        <v>446888.37399999989</v>
      </c>
      <c r="BP176">
        <v>2814221.66</v>
      </c>
      <c r="BQ176">
        <v>1</v>
      </c>
      <c r="BR176">
        <v>1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 x14ac:dyDescent="0.35">
      <c r="A177">
        <v>352100</v>
      </c>
      <c r="B177" t="s">
        <v>259</v>
      </c>
      <c r="C177" t="s">
        <v>260</v>
      </c>
      <c r="D177" s="1">
        <v>45822</v>
      </c>
      <c r="E177">
        <v>53850</v>
      </c>
      <c r="F177">
        <v>125</v>
      </c>
      <c r="G177" t="s">
        <v>277</v>
      </c>
      <c r="H177" t="s">
        <v>262</v>
      </c>
      <c r="I177" t="s">
        <v>48</v>
      </c>
      <c r="L177">
        <v>1253309512895</v>
      </c>
      <c r="M177">
        <v>20250528</v>
      </c>
      <c r="N177" t="s">
        <v>263</v>
      </c>
      <c r="Q177" t="s">
        <v>55</v>
      </c>
      <c r="R177">
        <v>29469.42</v>
      </c>
      <c r="T177">
        <v>4795279</v>
      </c>
      <c r="U177">
        <v>1020090658</v>
      </c>
      <c r="V177" t="s">
        <v>278</v>
      </c>
      <c r="W177" t="s">
        <v>53</v>
      </c>
      <c r="X177" t="s">
        <v>237</v>
      </c>
      <c r="Y177" t="s">
        <v>49</v>
      </c>
      <c r="Z177">
        <v>982</v>
      </c>
      <c r="AH177">
        <v>0</v>
      </c>
      <c r="AI177">
        <v>202505</v>
      </c>
      <c r="AJ177" t="s">
        <v>61</v>
      </c>
      <c r="AK177">
        <v>0</v>
      </c>
      <c r="AL177">
        <v>1</v>
      </c>
      <c r="AO177">
        <v>0</v>
      </c>
      <c r="AP177">
        <v>999</v>
      </c>
      <c r="AQ177">
        <v>430</v>
      </c>
      <c r="AR177">
        <v>430999</v>
      </c>
      <c r="AT177">
        <v>1</v>
      </c>
      <c r="AU177" t="s">
        <v>54</v>
      </c>
      <c r="AV177">
        <v>25045.55</v>
      </c>
      <c r="AW177">
        <v>26010.331999999999</v>
      </c>
      <c r="AX177">
        <v>27041.058000000001</v>
      </c>
      <c r="AY177">
        <v>28420.708999999999</v>
      </c>
      <c r="AZ177">
        <v>29962.351999999999</v>
      </c>
      <c r="BA177">
        <v>31788.16</v>
      </c>
      <c r="BB177">
        <v>34027.07</v>
      </c>
      <c r="BC177">
        <v>36641.5795</v>
      </c>
      <c r="BD177">
        <v>39840.642</v>
      </c>
      <c r="BE177">
        <v>40000</v>
      </c>
      <c r="BF177">
        <v>41343.269999999997</v>
      </c>
      <c r="BG177">
        <v>44702.324999999997</v>
      </c>
      <c r="BH177">
        <v>49392.076000000001</v>
      </c>
      <c r="BI177">
        <v>58375.907500000008</v>
      </c>
      <c r="BJ177">
        <v>70239.999999999985</v>
      </c>
      <c r="BK177">
        <v>81597.5</v>
      </c>
      <c r="BL177">
        <v>118941.322</v>
      </c>
      <c r="BM177">
        <v>163981.24299999949</v>
      </c>
      <c r="BN177">
        <v>270486.4050000002</v>
      </c>
      <c r="BO177">
        <v>446888.37399999989</v>
      </c>
      <c r="BP177">
        <v>2814221.66</v>
      </c>
      <c r="BQ177">
        <v>1</v>
      </c>
      <c r="BR177">
        <v>1</v>
      </c>
      <c r="BS177">
        <v>1</v>
      </c>
      <c r="BT177">
        <v>1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 x14ac:dyDescent="0.35">
      <c r="A178">
        <v>352044</v>
      </c>
      <c r="B178" t="s">
        <v>259</v>
      </c>
      <c r="C178" t="s">
        <v>260</v>
      </c>
      <c r="D178" s="1">
        <v>45822</v>
      </c>
      <c r="E178">
        <v>53850</v>
      </c>
      <c r="F178">
        <v>191</v>
      </c>
      <c r="G178" t="s">
        <v>173</v>
      </c>
      <c r="H178" t="s">
        <v>262</v>
      </c>
      <c r="I178" t="s">
        <v>48</v>
      </c>
      <c r="L178">
        <v>1913300068122</v>
      </c>
      <c r="M178">
        <v>20250526</v>
      </c>
      <c r="N178" t="s">
        <v>263</v>
      </c>
      <c r="Q178" t="s">
        <v>55</v>
      </c>
      <c r="R178">
        <v>50000</v>
      </c>
      <c r="T178">
        <v>4918280</v>
      </c>
      <c r="U178">
        <v>3480410798</v>
      </c>
      <c r="V178" t="s">
        <v>291</v>
      </c>
      <c r="W178" t="s">
        <v>53</v>
      </c>
      <c r="X178" t="s">
        <v>232</v>
      </c>
      <c r="Y178" t="s">
        <v>49</v>
      </c>
      <c r="AH178">
        <v>0</v>
      </c>
      <c r="AI178">
        <v>202505</v>
      </c>
      <c r="AJ178" t="s">
        <v>162</v>
      </c>
      <c r="AK178">
        <v>1</v>
      </c>
      <c r="AL178">
        <v>1</v>
      </c>
      <c r="AO178">
        <v>0</v>
      </c>
      <c r="AP178">
        <v>999</v>
      </c>
      <c r="AQ178">
        <v>430</v>
      </c>
      <c r="AR178">
        <v>430999</v>
      </c>
      <c r="AT178">
        <v>1</v>
      </c>
      <c r="AU178" t="s">
        <v>54</v>
      </c>
      <c r="AV178">
        <v>25045.55</v>
      </c>
      <c r="AW178">
        <v>26010.331999999999</v>
      </c>
      <c r="AX178">
        <v>27041.058000000001</v>
      </c>
      <c r="AY178">
        <v>28420.708999999999</v>
      </c>
      <c r="AZ178">
        <v>29962.351999999999</v>
      </c>
      <c r="BA178">
        <v>31788.16</v>
      </c>
      <c r="BB178">
        <v>34027.07</v>
      </c>
      <c r="BC178">
        <v>36641.5795</v>
      </c>
      <c r="BD178">
        <v>39840.642</v>
      </c>
      <c r="BE178">
        <v>40000</v>
      </c>
      <c r="BF178">
        <v>41343.269999999997</v>
      </c>
      <c r="BG178">
        <v>44702.324999999997</v>
      </c>
      <c r="BH178">
        <v>49392.076000000001</v>
      </c>
      <c r="BI178">
        <v>58375.907500000008</v>
      </c>
      <c r="BJ178">
        <v>70239.999999999985</v>
      </c>
      <c r="BK178">
        <v>81597.5</v>
      </c>
      <c r="BL178">
        <v>118941.322</v>
      </c>
      <c r="BM178">
        <v>163981.24299999949</v>
      </c>
      <c r="BN178">
        <v>270486.4050000002</v>
      </c>
      <c r="BO178">
        <v>446888.37399999989</v>
      </c>
      <c r="BP178">
        <v>2814221.66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 x14ac:dyDescent="0.35">
      <c r="A179">
        <v>352033</v>
      </c>
      <c r="B179" t="s">
        <v>259</v>
      </c>
      <c r="C179" t="s">
        <v>260</v>
      </c>
      <c r="D179" s="1">
        <v>45822</v>
      </c>
      <c r="E179">
        <v>53850</v>
      </c>
      <c r="F179">
        <v>147</v>
      </c>
      <c r="G179" t="s">
        <v>84</v>
      </c>
      <c r="H179" t="s">
        <v>262</v>
      </c>
      <c r="I179" t="s">
        <v>48</v>
      </c>
      <c r="L179">
        <v>1473300002800</v>
      </c>
      <c r="M179">
        <v>20250507</v>
      </c>
      <c r="N179" t="s">
        <v>263</v>
      </c>
      <c r="Q179" t="s">
        <v>55</v>
      </c>
      <c r="R179">
        <v>72400</v>
      </c>
      <c r="T179">
        <v>4932680</v>
      </c>
      <c r="U179">
        <v>4423920612</v>
      </c>
      <c r="V179" t="s">
        <v>308</v>
      </c>
      <c r="W179" t="s">
        <v>53</v>
      </c>
      <c r="X179" t="s">
        <v>60</v>
      </c>
      <c r="Y179" t="s">
        <v>49</v>
      </c>
      <c r="Z179">
        <v>1196</v>
      </c>
      <c r="AH179">
        <v>0</v>
      </c>
      <c r="AI179">
        <v>202505</v>
      </c>
      <c r="AJ179" t="s">
        <v>61</v>
      </c>
      <c r="AK179">
        <v>0</v>
      </c>
      <c r="AL179">
        <v>1</v>
      </c>
      <c r="AO179">
        <v>0</v>
      </c>
      <c r="AP179">
        <v>412</v>
      </c>
      <c r="AQ179">
        <v>430</v>
      </c>
      <c r="AR179">
        <v>430412</v>
      </c>
      <c r="AS179" t="s">
        <v>58</v>
      </c>
      <c r="AU179" t="s">
        <v>58</v>
      </c>
      <c r="AV179">
        <v>25045.55</v>
      </c>
      <c r="AW179">
        <v>26010.331999999999</v>
      </c>
      <c r="AX179">
        <v>27041.058000000001</v>
      </c>
      <c r="AY179">
        <v>28420.708999999999</v>
      </c>
      <c r="AZ179">
        <v>29962.351999999999</v>
      </c>
      <c r="BA179">
        <v>31788.16</v>
      </c>
      <c r="BB179">
        <v>34027.07</v>
      </c>
      <c r="BC179">
        <v>36641.5795</v>
      </c>
      <c r="BD179">
        <v>39840.642</v>
      </c>
      <c r="BE179">
        <v>40000</v>
      </c>
      <c r="BF179">
        <v>41343.269999999997</v>
      </c>
      <c r="BG179">
        <v>44702.324999999997</v>
      </c>
      <c r="BH179">
        <v>49392.076000000001</v>
      </c>
      <c r="BI179">
        <v>58375.907500000008</v>
      </c>
      <c r="BJ179">
        <v>70239.999999999985</v>
      </c>
      <c r="BK179">
        <v>81597.5</v>
      </c>
      <c r="BL179">
        <v>118941.322</v>
      </c>
      <c r="BM179">
        <v>163981.24299999949</v>
      </c>
      <c r="BN179">
        <v>270486.4050000002</v>
      </c>
      <c r="BO179">
        <v>446888.37399999989</v>
      </c>
      <c r="BP179">
        <v>2814221.66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 x14ac:dyDescent="0.35">
      <c r="A180">
        <v>351995</v>
      </c>
      <c r="B180" t="s">
        <v>259</v>
      </c>
      <c r="C180" t="s">
        <v>260</v>
      </c>
      <c r="D180" s="1">
        <v>45822</v>
      </c>
      <c r="E180">
        <v>53850</v>
      </c>
      <c r="F180">
        <v>105</v>
      </c>
      <c r="G180" t="s">
        <v>47</v>
      </c>
      <c r="H180" t="s">
        <v>262</v>
      </c>
      <c r="I180" t="s">
        <v>48</v>
      </c>
      <c r="L180">
        <v>1053306287103</v>
      </c>
      <c r="M180">
        <v>20250530</v>
      </c>
      <c r="N180" t="s">
        <v>263</v>
      </c>
      <c r="Q180" t="s">
        <v>55</v>
      </c>
      <c r="R180">
        <v>974371.24</v>
      </c>
      <c r="T180">
        <v>4263360</v>
      </c>
      <c r="U180">
        <v>5982300724</v>
      </c>
      <c r="V180" t="s">
        <v>268</v>
      </c>
      <c r="W180" t="s">
        <v>53</v>
      </c>
      <c r="X180" t="s">
        <v>269</v>
      </c>
      <c r="Y180" t="s">
        <v>49</v>
      </c>
      <c r="Z180">
        <v>1058</v>
      </c>
      <c r="AH180">
        <v>0</v>
      </c>
      <c r="AI180">
        <v>202505</v>
      </c>
      <c r="AJ180" t="s">
        <v>61</v>
      </c>
      <c r="AK180">
        <v>0</v>
      </c>
      <c r="AL180">
        <v>1</v>
      </c>
      <c r="AO180">
        <v>0</v>
      </c>
      <c r="AP180">
        <v>999</v>
      </c>
      <c r="AQ180">
        <v>430</v>
      </c>
      <c r="AR180">
        <v>430999</v>
      </c>
      <c r="AT180">
        <v>1</v>
      </c>
      <c r="AU180" t="s">
        <v>54</v>
      </c>
      <c r="AV180">
        <v>25045.55</v>
      </c>
      <c r="AW180">
        <v>26010.331999999999</v>
      </c>
      <c r="AX180">
        <v>27041.058000000001</v>
      </c>
      <c r="AY180">
        <v>28420.708999999999</v>
      </c>
      <c r="AZ180">
        <v>29962.351999999999</v>
      </c>
      <c r="BA180">
        <v>31788.16</v>
      </c>
      <c r="BB180">
        <v>34027.07</v>
      </c>
      <c r="BC180">
        <v>36641.5795</v>
      </c>
      <c r="BD180">
        <v>39840.642</v>
      </c>
      <c r="BE180">
        <v>40000</v>
      </c>
      <c r="BF180">
        <v>41343.269999999997</v>
      </c>
      <c r="BG180">
        <v>44702.324999999997</v>
      </c>
      <c r="BH180">
        <v>49392.076000000001</v>
      </c>
      <c r="BI180">
        <v>58375.907500000008</v>
      </c>
      <c r="BJ180">
        <v>70239.999999999985</v>
      </c>
      <c r="BK180">
        <v>81597.5</v>
      </c>
      <c r="BL180">
        <v>118941.322</v>
      </c>
      <c r="BM180">
        <v>163981.24299999949</v>
      </c>
      <c r="BN180">
        <v>270486.4050000002</v>
      </c>
      <c r="BO180">
        <v>446888.37399999989</v>
      </c>
      <c r="BP180">
        <v>2814221.66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0</v>
      </c>
    </row>
    <row r="181" spans="1:89" x14ac:dyDescent="0.35">
      <c r="A181">
        <v>351993</v>
      </c>
      <c r="B181" t="s">
        <v>259</v>
      </c>
      <c r="C181" t="s">
        <v>260</v>
      </c>
      <c r="D181" s="1">
        <v>45822</v>
      </c>
      <c r="E181">
        <v>53850</v>
      </c>
      <c r="F181">
        <v>153</v>
      </c>
      <c r="G181" t="s">
        <v>81</v>
      </c>
      <c r="H181" t="s">
        <v>262</v>
      </c>
      <c r="I181" t="s">
        <v>48</v>
      </c>
      <c r="L181">
        <v>1533300663959</v>
      </c>
      <c r="M181">
        <v>20250509</v>
      </c>
      <c r="N181" t="s">
        <v>263</v>
      </c>
      <c r="Q181" t="s">
        <v>55</v>
      </c>
      <c r="R181">
        <v>41031.54</v>
      </c>
      <c r="T181">
        <v>3721097</v>
      </c>
      <c r="U181">
        <v>10391641213</v>
      </c>
      <c r="V181" t="s">
        <v>270</v>
      </c>
      <c r="W181" t="s">
        <v>53</v>
      </c>
      <c r="X181" t="s">
        <v>83</v>
      </c>
      <c r="Y181" t="s">
        <v>49</v>
      </c>
      <c r="Z181">
        <v>1237</v>
      </c>
      <c r="AH181">
        <v>0</v>
      </c>
      <c r="AI181">
        <v>202505</v>
      </c>
      <c r="AJ181" t="s">
        <v>61</v>
      </c>
      <c r="AK181">
        <v>0</v>
      </c>
      <c r="AL181">
        <v>1</v>
      </c>
      <c r="AO181">
        <v>0</v>
      </c>
      <c r="AP181">
        <v>462</v>
      </c>
      <c r="AQ181">
        <v>430</v>
      </c>
      <c r="AR181">
        <v>430462</v>
      </c>
      <c r="AS181" t="s">
        <v>58</v>
      </c>
      <c r="AU181" t="s">
        <v>58</v>
      </c>
      <c r="AV181">
        <v>25045.55</v>
      </c>
      <c r="AW181">
        <v>26010.331999999999</v>
      </c>
      <c r="AX181">
        <v>27041.058000000001</v>
      </c>
      <c r="AY181">
        <v>28420.708999999999</v>
      </c>
      <c r="AZ181">
        <v>29962.351999999999</v>
      </c>
      <c r="BA181">
        <v>31788.16</v>
      </c>
      <c r="BB181">
        <v>34027.07</v>
      </c>
      <c r="BC181">
        <v>36641.5795</v>
      </c>
      <c r="BD181">
        <v>39840.642</v>
      </c>
      <c r="BE181">
        <v>40000</v>
      </c>
      <c r="BF181">
        <v>41343.269999999997</v>
      </c>
      <c r="BG181">
        <v>44702.324999999997</v>
      </c>
      <c r="BH181">
        <v>49392.076000000001</v>
      </c>
      <c r="BI181">
        <v>58375.907500000008</v>
      </c>
      <c r="BJ181">
        <v>70239.999999999985</v>
      </c>
      <c r="BK181">
        <v>81597.5</v>
      </c>
      <c r="BL181">
        <v>118941.322</v>
      </c>
      <c r="BM181">
        <v>163981.24299999949</v>
      </c>
      <c r="BN181">
        <v>270486.4050000002</v>
      </c>
      <c r="BO181">
        <v>446888.37399999989</v>
      </c>
      <c r="BP181">
        <v>2814221.66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 x14ac:dyDescent="0.35">
      <c r="A182">
        <v>351979</v>
      </c>
      <c r="B182" t="s">
        <v>259</v>
      </c>
      <c r="C182" t="s">
        <v>260</v>
      </c>
      <c r="D182" s="1">
        <v>45822</v>
      </c>
      <c r="E182">
        <v>53850</v>
      </c>
      <c r="F182">
        <v>148</v>
      </c>
      <c r="G182" t="s">
        <v>90</v>
      </c>
      <c r="H182" t="s">
        <v>262</v>
      </c>
      <c r="I182" t="s">
        <v>48</v>
      </c>
      <c r="L182">
        <v>1483300006067</v>
      </c>
      <c r="M182">
        <v>20250522</v>
      </c>
      <c r="N182" t="s">
        <v>263</v>
      </c>
      <c r="Q182" t="s">
        <v>55</v>
      </c>
      <c r="R182">
        <v>45000</v>
      </c>
      <c r="T182">
        <v>3737044</v>
      </c>
      <c r="U182">
        <v>15554071009</v>
      </c>
      <c r="V182" t="s">
        <v>282</v>
      </c>
      <c r="W182" t="s">
        <v>53</v>
      </c>
      <c r="X182" t="s">
        <v>283</v>
      </c>
      <c r="Y182" t="s">
        <v>49</v>
      </c>
      <c r="Z182">
        <v>1196</v>
      </c>
      <c r="AH182">
        <v>0</v>
      </c>
      <c r="AI182">
        <v>202505</v>
      </c>
      <c r="AJ182" t="s">
        <v>61</v>
      </c>
      <c r="AK182">
        <v>0</v>
      </c>
      <c r="AL182">
        <v>1</v>
      </c>
      <c r="AO182">
        <v>0</v>
      </c>
      <c r="AP182">
        <v>999</v>
      </c>
      <c r="AQ182">
        <v>430</v>
      </c>
      <c r="AR182">
        <v>430999</v>
      </c>
      <c r="AT182">
        <v>1</v>
      </c>
      <c r="AU182" t="s">
        <v>54</v>
      </c>
      <c r="AV182">
        <v>25045.55</v>
      </c>
      <c r="AW182">
        <v>26010.331999999999</v>
      </c>
      <c r="AX182">
        <v>27041.058000000001</v>
      </c>
      <c r="AY182">
        <v>28420.708999999999</v>
      </c>
      <c r="AZ182">
        <v>29962.351999999999</v>
      </c>
      <c r="BA182">
        <v>31788.16</v>
      </c>
      <c r="BB182">
        <v>34027.07</v>
      </c>
      <c r="BC182">
        <v>36641.5795</v>
      </c>
      <c r="BD182">
        <v>39840.642</v>
      </c>
      <c r="BE182">
        <v>40000</v>
      </c>
      <c r="BF182">
        <v>41343.269999999997</v>
      </c>
      <c r="BG182">
        <v>44702.324999999997</v>
      </c>
      <c r="BH182">
        <v>49392.076000000001</v>
      </c>
      <c r="BI182">
        <v>58375.907500000008</v>
      </c>
      <c r="BJ182">
        <v>70239.999999999985</v>
      </c>
      <c r="BK182">
        <v>81597.5</v>
      </c>
      <c r="BL182">
        <v>118941.322</v>
      </c>
      <c r="BM182">
        <v>163981.24299999949</v>
      </c>
      <c r="BN182">
        <v>270486.4050000002</v>
      </c>
      <c r="BO182">
        <v>446888.37399999989</v>
      </c>
      <c r="BP182">
        <v>2814221.66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 x14ac:dyDescent="0.35">
      <c r="A183">
        <v>351963</v>
      </c>
      <c r="B183" t="s">
        <v>259</v>
      </c>
      <c r="C183" t="s">
        <v>260</v>
      </c>
      <c r="D183" s="1">
        <v>45822</v>
      </c>
      <c r="E183">
        <v>53850</v>
      </c>
      <c r="F183">
        <v>122</v>
      </c>
      <c r="G183" t="s">
        <v>261</v>
      </c>
      <c r="H183" t="s">
        <v>262</v>
      </c>
      <c r="I183" t="s">
        <v>48</v>
      </c>
      <c r="L183">
        <v>1223300001682</v>
      </c>
      <c r="M183">
        <v>20250527</v>
      </c>
      <c r="N183" t="s">
        <v>263</v>
      </c>
      <c r="Q183" t="s">
        <v>55</v>
      </c>
      <c r="R183">
        <v>502850.93</v>
      </c>
      <c r="T183">
        <v>3711207</v>
      </c>
      <c r="U183">
        <v>8825020723</v>
      </c>
      <c r="V183" t="s">
        <v>264</v>
      </c>
      <c r="W183" t="s">
        <v>53</v>
      </c>
      <c r="X183" t="s">
        <v>57</v>
      </c>
      <c r="Y183" t="s">
        <v>49</v>
      </c>
      <c r="Z183">
        <v>1696</v>
      </c>
      <c r="AH183">
        <v>0</v>
      </c>
      <c r="AI183">
        <v>202505</v>
      </c>
      <c r="AJ183" t="s">
        <v>160</v>
      </c>
      <c r="AK183">
        <v>1</v>
      </c>
      <c r="AL183">
        <v>1</v>
      </c>
      <c r="AO183">
        <v>0</v>
      </c>
      <c r="AP183">
        <v>620</v>
      </c>
      <c r="AQ183">
        <v>430</v>
      </c>
      <c r="AR183">
        <v>430620</v>
      </c>
      <c r="AS183" t="s">
        <v>58</v>
      </c>
      <c r="AU183" t="s">
        <v>58</v>
      </c>
      <c r="AV183">
        <v>25045.55</v>
      </c>
      <c r="AW183">
        <v>26010.331999999999</v>
      </c>
      <c r="AX183">
        <v>27041.058000000001</v>
      </c>
      <c r="AY183">
        <v>28420.708999999999</v>
      </c>
      <c r="AZ183">
        <v>29962.351999999999</v>
      </c>
      <c r="BA183">
        <v>31788.16</v>
      </c>
      <c r="BB183">
        <v>34027.07</v>
      </c>
      <c r="BC183">
        <v>36641.5795</v>
      </c>
      <c r="BD183">
        <v>39840.642</v>
      </c>
      <c r="BE183">
        <v>40000</v>
      </c>
      <c r="BF183">
        <v>41343.269999999997</v>
      </c>
      <c r="BG183">
        <v>44702.324999999997</v>
      </c>
      <c r="BH183">
        <v>49392.076000000001</v>
      </c>
      <c r="BI183">
        <v>58375.907500000008</v>
      </c>
      <c r="BJ183">
        <v>70239.999999999985</v>
      </c>
      <c r="BK183">
        <v>81597.5</v>
      </c>
      <c r="BL183">
        <v>118941.322</v>
      </c>
      <c r="BM183">
        <v>163981.24299999949</v>
      </c>
      <c r="BN183">
        <v>270486.4050000002</v>
      </c>
      <c r="BO183">
        <v>446888.37399999989</v>
      </c>
      <c r="BP183">
        <v>2814221.66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0</v>
      </c>
    </row>
    <row r="184" spans="1:89" x14ac:dyDescent="0.35">
      <c r="A184">
        <v>351950</v>
      </c>
      <c r="B184" t="s">
        <v>259</v>
      </c>
      <c r="C184" t="s">
        <v>260</v>
      </c>
      <c r="D184" s="1">
        <v>45822</v>
      </c>
      <c r="E184">
        <v>53850</v>
      </c>
      <c r="F184">
        <v>148</v>
      </c>
      <c r="G184" t="s">
        <v>90</v>
      </c>
      <c r="H184" t="s">
        <v>262</v>
      </c>
      <c r="I184" t="s">
        <v>48</v>
      </c>
      <c r="L184">
        <v>1483300006067</v>
      </c>
      <c r="M184">
        <v>20250527</v>
      </c>
      <c r="N184" t="s">
        <v>263</v>
      </c>
      <c r="Q184" t="s">
        <v>55</v>
      </c>
      <c r="R184">
        <v>40000</v>
      </c>
      <c r="T184">
        <v>3737044</v>
      </c>
      <c r="U184">
        <v>15554071009</v>
      </c>
      <c r="V184" t="s">
        <v>282</v>
      </c>
      <c r="W184" t="s">
        <v>53</v>
      </c>
      <c r="X184" t="s">
        <v>283</v>
      </c>
      <c r="Y184" t="s">
        <v>49</v>
      </c>
      <c r="Z184">
        <v>1196</v>
      </c>
      <c r="AH184">
        <v>0</v>
      </c>
      <c r="AI184">
        <v>202505</v>
      </c>
      <c r="AJ184" t="s">
        <v>61</v>
      </c>
      <c r="AK184">
        <v>0</v>
      </c>
      <c r="AL184">
        <v>1</v>
      </c>
      <c r="AO184">
        <v>0</v>
      </c>
      <c r="AP184">
        <v>999</v>
      </c>
      <c r="AQ184">
        <v>430</v>
      </c>
      <c r="AR184">
        <v>430999</v>
      </c>
      <c r="AT184">
        <v>1</v>
      </c>
      <c r="AU184" t="s">
        <v>54</v>
      </c>
      <c r="AV184">
        <v>25045.55</v>
      </c>
      <c r="AW184">
        <v>26010.331999999999</v>
      </c>
      <c r="AX184">
        <v>27041.058000000001</v>
      </c>
      <c r="AY184">
        <v>28420.708999999999</v>
      </c>
      <c r="AZ184">
        <v>29962.351999999999</v>
      </c>
      <c r="BA184">
        <v>31788.16</v>
      </c>
      <c r="BB184">
        <v>34027.07</v>
      </c>
      <c r="BC184">
        <v>36641.5795</v>
      </c>
      <c r="BD184">
        <v>39840.642</v>
      </c>
      <c r="BE184">
        <v>40000</v>
      </c>
      <c r="BF184">
        <v>41343.269999999997</v>
      </c>
      <c r="BG184">
        <v>44702.324999999997</v>
      </c>
      <c r="BH184">
        <v>49392.076000000001</v>
      </c>
      <c r="BI184">
        <v>58375.907500000008</v>
      </c>
      <c r="BJ184">
        <v>70239.999999999985</v>
      </c>
      <c r="BK184">
        <v>81597.5</v>
      </c>
      <c r="BL184">
        <v>118941.322</v>
      </c>
      <c r="BM184">
        <v>163981.24299999949</v>
      </c>
      <c r="BN184">
        <v>270486.4050000002</v>
      </c>
      <c r="BO184">
        <v>446888.37399999989</v>
      </c>
      <c r="BP184">
        <v>2814221.66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 x14ac:dyDescent="0.35">
      <c r="A185">
        <v>351929</v>
      </c>
      <c r="B185" t="s">
        <v>259</v>
      </c>
      <c r="C185" t="s">
        <v>260</v>
      </c>
      <c r="D185" s="1">
        <v>45822</v>
      </c>
      <c r="E185">
        <v>53850</v>
      </c>
      <c r="F185">
        <v>171</v>
      </c>
      <c r="G185" t="s">
        <v>72</v>
      </c>
      <c r="H185" t="s">
        <v>262</v>
      </c>
      <c r="I185" t="s">
        <v>48</v>
      </c>
      <c r="L185">
        <v>1713302213842</v>
      </c>
      <c r="M185">
        <v>20250502</v>
      </c>
      <c r="N185" t="s">
        <v>263</v>
      </c>
      <c r="Q185" t="s">
        <v>55</v>
      </c>
      <c r="R185">
        <v>25620</v>
      </c>
      <c r="T185">
        <v>4148505</v>
      </c>
      <c r="U185">
        <v>5848860721</v>
      </c>
      <c r="V185" t="s">
        <v>171</v>
      </c>
      <c r="W185" t="s">
        <v>53</v>
      </c>
      <c r="X185" t="s">
        <v>85</v>
      </c>
      <c r="Y185" t="s">
        <v>49</v>
      </c>
      <c r="Z185">
        <v>1903</v>
      </c>
      <c r="AH185">
        <v>0</v>
      </c>
      <c r="AI185">
        <v>202505</v>
      </c>
      <c r="AJ185" t="s">
        <v>167</v>
      </c>
      <c r="AK185">
        <v>1</v>
      </c>
      <c r="AL185">
        <v>1</v>
      </c>
      <c r="AO185">
        <v>0</v>
      </c>
      <c r="AP185">
        <v>999</v>
      </c>
      <c r="AQ185">
        <v>430</v>
      </c>
      <c r="AR185">
        <v>430999</v>
      </c>
      <c r="AT185">
        <v>1</v>
      </c>
      <c r="AU185" t="s">
        <v>54</v>
      </c>
      <c r="AV185">
        <v>25045.55</v>
      </c>
      <c r="AW185">
        <v>26010.331999999999</v>
      </c>
      <c r="AX185">
        <v>27041.058000000001</v>
      </c>
      <c r="AY185">
        <v>28420.708999999999</v>
      </c>
      <c r="AZ185">
        <v>29962.351999999999</v>
      </c>
      <c r="BA185">
        <v>31788.16</v>
      </c>
      <c r="BB185">
        <v>34027.07</v>
      </c>
      <c r="BC185">
        <v>36641.5795</v>
      </c>
      <c r="BD185">
        <v>39840.642</v>
      </c>
      <c r="BE185">
        <v>40000</v>
      </c>
      <c r="BF185">
        <v>41343.269999999997</v>
      </c>
      <c r="BG185">
        <v>44702.324999999997</v>
      </c>
      <c r="BH185">
        <v>49392.076000000001</v>
      </c>
      <c r="BI185">
        <v>58375.907500000008</v>
      </c>
      <c r="BJ185">
        <v>70239.999999999985</v>
      </c>
      <c r="BK185">
        <v>81597.5</v>
      </c>
      <c r="BL185">
        <v>118941.322</v>
      </c>
      <c r="BM185">
        <v>163981.24299999949</v>
      </c>
      <c r="BN185">
        <v>270486.4050000002</v>
      </c>
      <c r="BO185">
        <v>446888.37399999989</v>
      </c>
      <c r="BP185">
        <v>2814221.66</v>
      </c>
      <c r="BQ185">
        <v>1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 x14ac:dyDescent="0.35">
      <c r="A186">
        <v>351921</v>
      </c>
      <c r="B186" t="s">
        <v>259</v>
      </c>
      <c r="C186" t="s">
        <v>260</v>
      </c>
      <c r="D186" s="1">
        <v>45822</v>
      </c>
      <c r="E186">
        <v>53850</v>
      </c>
      <c r="F186">
        <v>261</v>
      </c>
      <c r="G186" t="s">
        <v>78</v>
      </c>
      <c r="H186" t="s">
        <v>262</v>
      </c>
      <c r="I186" t="s">
        <v>48</v>
      </c>
      <c r="L186">
        <v>2613300000185</v>
      </c>
      <c r="M186">
        <v>20250513</v>
      </c>
      <c r="N186" t="s">
        <v>263</v>
      </c>
      <c r="Q186" t="s">
        <v>55</v>
      </c>
      <c r="R186">
        <v>78000</v>
      </c>
      <c r="T186">
        <v>1603119</v>
      </c>
      <c r="U186">
        <v>941080707</v>
      </c>
      <c r="V186" t="s">
        <v>331</v>
      </c>
      <c r="W186" t="s">
        <v>53</v>
      </c>
      <c r="X186" t="s">
        <v>269</v>
      </c>
      <c r="Y186" t="s">
        <v>49</v>
      </c>
      <c r="Z186">
        <v>1856</v>
      </c>
      <c r="AH186">
        <v>0</v>
      </c>
      <c r="AI186">
        <v>202505</v>
      </c>
      <c r="AJ186" t="s">
        <v>51</v>
      </c>
      <c r="AK186">
        <v>0</v>
      </c>
      <c r="AL186">
        <v>1</v>
      </c>
      <c r="AO186">
        <v>0</v>
      </c>
      <c r="AP186">
        <v>999</v>
      </c>
      <c r="AQ186">
        <v>430</v>
      </c>
      <c r="AR186">
        <v>430999</v>
      </c>
      <c r="AT186">
        <v>1</v>
      </c>
      <c r="AU186" t="s">
        <v>54</v>
      </c>
      <c r="AV186">
        <v>25045.55</v>
      </c>
      <c r="AW186">
        <v>26010.331999999999</v>
      </c>
      <c r="AX186">
        <v>27041.058000000001</v>
      </c>
      <c r="AY186">
        <v>28420.708999999999</v>
      </c>
      <c r="AZ186">
        <v>29962.351999999999</v>
      </c>
      <c r="BA186">
        <v>31788.16</v>
      </c>
      <c r="BB186">
        <v>34027.07</v>
      </c>
      <c r="BC186">
        <v>36641.5795</v>
      </c>
      <c r="BD186">
        <v>39840.642</v>
      </c>
      <c r="BE186">
        <v>40000</v>
      </c>
      <c r="BF186">
        <v>41343.269999999997</v>
      </c>
      <c r="BG186">
        <v>44702.324999999997</v>
      </c>
      <c r="BH186">
        <v>49392.076000000001</v>
      </c>
      <c r="BI186">
        <v>58375.907500000008</v>
      </c>
      <c r="BJ186">
        <v>70239.999999999985</v>
      </c>
      <c r="BK186">
        <v>81597.5</v>
      </c>
      <c r="BL186">
        <v>118941.322</v>
      </c>
      <c r="BM186">
        <v>163981.24299999949</v>
      </c>
      <c r="BN186">
        <v>270486.4050000002</v>
      </c>
      <c r="BO186">
        <v>446888.37399999989</v>
      </c>
      <c r="BP186">
        <v>2814221.66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 x14ac:dyDescent="0.35">
      <c r="A187">
        <v>351890</v>
      </c>
      <c r="B187" t="s">
        <v>259</v>
      </c>
      <c r="C187" t="s">
        <v>260</v>
      </c>
      <c r="D187" s="1">
        <v>45822</v>
      </c>
      <c r="E187">
        <v>53850</v>
      </c>
      <c r="F187">
        <v>187</v>
      </c>
      <c r="G187" t="s">
        <v>66</v>
      </c>
      <c r="H187" t="s">
        <v>262</v>
      </c>
      <c r="I187" t="s">
        <v>48</v>
      </c>
      <c r="L187">
        <v>999361870311</v>
      </c>
      <c r="M187">
        <v>20250505</v>
      </c>
      <c r="N187" t="s">
        <v>263</v>
      </c>
      <c r="Q187" t="s">
        <v>55</v>
      </c>
      <c r="R187">
        <v>26652.48</v>
      </c>
      <c r="T187">
        <v>3004644</v>
      </c>
      <c r="U187">
        <v>80008750731</v>
      </c>
      <c r="V187" t="s">
        <v>318</v>
      </c>
      <c r="W187" t="s">
        <v>319</v>
      </c>
      <c r="Y187" t="s">
        <v>49</v>
      </c>
      <c r="Z187">
        <v>1627</v>
      </c>
      <c r="AH187">
        <v>0</v>
      </c>
      <c r="AI187">
        <v>202505</v>
      </c>
      <c r="AJ187" t="s">
        <v>61</v>
      </c>
      <c r="AK187">
        <v>0</v>
      </c>
      <c r="AL187">
        <v>1</v>
      </c>
      <c r="AO187">
        <v>0</v>
      </c>
      <c r="AP187">
        <v>999</v>
      </c>
      <c r="AQ187">
        <v>173</v>
      </c>
      <c r="AR187">
        <v>173999</v>
      </c>
      <c r="AS187" t="s">
        <v>59</v>
      </c>
      <c r="AU187" t="s">
        <v>59</v>
      </c>
      <c r="AV187">
        <v>25045.55</v>
      </c>
      <c r="AW187">
        <v>26010.331999999999</v>
      </c>
      <c r="AX187">
        <v>27041.058000000001</v>
      </c>
      <c r="AY187">
        <v>28420.708999999999</v>
      </c>
      <c r="AZ187">
        <v>29962.351999999999</v>
      </c>
      <c r="BA187">
        <v>31788.16</v>
      </c>
      <c r="BB187">
        <v>34027.07</v>
      </c>
      <c r="BC187">
        <v>36641.5795</v>
      </c>
      <c r="BD187">
        <v>39840.642</v>
      </c>
      <c r="BE187">
        <v>40000</v>
      </c>
      <c r="BF187">
        <v>41343.269999999997</v>
      </c>
      <c r="BG187">
        <v>44702.324999999997</v>
      </c>
      <c r="BH187">
        <v>49392.076000000001</v>
      </c>
      <c r="BI187">
        <v>58375.907500000008</v>
      </c>
      <c r="BJ187">
        <v>70239.999999999985</v>
      </c>
      <c r="BK187">
        <v>81597.5</v>
      </c>
      <c r="BL187">
        <v>118941.322</v>
      </c>
      <c r="BM187">
        <v>163981.24299999949</v>
      </c>
      <c r="BN187">
        <v>270486.4050000002</v>
      </c>
      <c r="BO187">
        <v>446888.37399999989</v>
      </c>
      <c r="BP187">
        <v>2814221.66</v>
      </c>
      <c r="BQ187">
        <v>1</v>
      </c>
      <c r="BR187">
        <v>1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 x14ac:dyDescent="0.35">
      <c r="A188">
        <v>351889</v>
      </c>
      <c r="B188" t="s">
        <v>259</v>
      </c>
      <c r="C188" t="s">
        <v>260</v>
      </c>
      <c r="D188" s="1">
        <v>45822</v>
      </c>
      <c r="E188">
        <v>53850</v>
      </c>
      <c r="F188">
        <v>175</v>
      </c>
      <c r="G188" t="s">
        <v>63</v>
      </c>
      <c r="H188" t="s">
        <v>262</v>
      </c>
      <c r="I188" t="s">
        <v>48</v>
      </c>
      <c r="L188">
        <v>1753302203813</v>
      </c>
      <c r="M188">
        <v>20250505</v>
      </c>
      <c r="N188" t="s">
        <v>263</v>
      </c>
      <c r="Q188" t="s">
        <v>55</v>
      </c>
      <c r="R188">
        <v>127974.14</v>
      </c>
      <c r="T188">
        <v>4907691</v>
      </c>
      <c r="U188">
        <v>1146400773</v>
      </c>
      <c r="V188" t="s">
        <v>309</v>
      </c>
      <c r="W188" t="s">
        <v>53</v>
      </c>
      <c r="X188" t="s">
        <v>174</v>
      </c>
      <c r="Y188" t="s">
        <v>49</v>
      </c>
      <c r="Z188">
        <v>1926</v>
      </c>
      <c r="AH188">
        <v>0</v>
      </c>
      <c r="AI188">
        <v>202505</v>
      </c>
      <c r="AJ188" t="s">
        <v>160</v>
      </c>
      <c r="AK188">
        <v>1</v>
      </c>
      <c r="AL188">
        <v>1</v>
      </c>
      <c r="AO188">
        <v>0</v>
      </c>
      <c r="AP188">
        <v>999</v>
      </c>
      <c r="AQ188">
        <v>430</v>
      </c>
      <c r="AR188">
        <v>430999</v>
      </c>
      <c r="AT188">
        <v>1</v>
      </c>
      <c r="AU188" t="s">
        <v>54</v>
      </c>
      <c r="AV188">
        <v>25045.55</v>
      </c>
      <c r="AW188">
        <v>26010.331999999999</v>
      </c>
      <c r="AX188">
        <v>27041.058000000001</v>
      </c>
      <c r="AY188">
        <v>28420.708999999999</v>
      </c>
      <c r="AZ188">
        <v>29962.351999999999</v>
      </c>
      <c r="BA188">
        <v>31788.16</v>
      </c>
      <c r="BB188">
        <v>34027.07</v>
      </c>
      <c r="BC188">
        <v>36641.5795</v>
      </c>
      <c r="BD188">
        <v>39840.642</v>
      </c>
      <c r="BE188">
        <v>40000</v>
      </c>
      <c r="BF188">
        <v>41343.269999999997</v>
      </c>
      <c r="BG188">
        <v>44702.324999999997</v>
      </c>
      <c r="BH188">
        <v>49392.076000000001</v>
      </c>
      <c r="BI188">
        <v>58375.907500000008</v>
      </c>
      <c r="BJ188">
        <v>70239.999999999985</v>
      </c>
      <c r="BK188">
        <v>81597.5</v>
      </c>
      <c r="BL188">
        <v>118941.322</v>
      </c>
      <c r="BM188">
        <v>163981.24299999949</v>
      </c>
      <c r="BN188">
        <v>270486.4050000002</v>
      </c>
      <c r="BO188">
        <v>446888.37399999989</v>
      </c>
      <c r="BP188">
        <v>2814221.66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0</v>
      </c>
      <c r="CI188">
        <v>0</v>
      </c>
      <c r="CJ188">
        <v>0</v>
      </c>
      <c r="CK188">
        <v>0</v>
      </c>
    </row>
    <row r="189" spans="1:89" x14ac:dyDescent="0.35">
      <c r="A189">
        <v>351888</v>
      </c>
      <c r="B189" t="s">
        <v>259</v>
      </c>
      <c r="C189" t="s">
        <v>260</v>
      </c>
      <c r="D189" s="1">
        <v>45822</v>
      </c>
      <c r="E189">
        <v>53850</v>
      </c>
      <c r="F189">
        <v>171</v>
      </c>
      <c r="G189" t="s">
        <v>72</v>
      </c>
      <c r="H189" t="s">
        <v>262</v>
      </c>
      <c r="I189" t="s">
        <v>48</v>
      </c>
      <c r="L189">
        <v>1713302213842</v>
      </c>
      <c r="M189">
        <v>20250526</v>
      </c>
      <c r="N189" t="s">
        <v>263</v>
      </c>
      <c r="Q189" t="s">
        <v>55</v>
      </c>
      <c r="R189">
        <v>200000</v>
      </c>
      <c r="T189">
        <v>4148505</v>
      </c>
      <c r="U189">
        <v>5848860721</v>
      </c>
      <c r="V189" t="s">
        <v>171</v>
      </c>
      <c r="W189" t="s">
        <v>53</v>
      </c>
      <c r="X189" t="s">
        <v>85</v>
      </c>
      <c r="Y189" t="s">
        <v>49</v>
      </c>
      <c r="Z189">
        <v>1903</v>
      </c>
      <c r="AH189">
        <v>0</v>
      </c>
      <c r="AI189">
        <v>202505</v>
      </c>
      <c r="AJ189" t="s">
        <v>167</v>
      </c>
      <c r="AK189">
        <v>1</v>
      </c>
      <c r="AL189">
        <v>1</v>
      </c>
      <c r="AO189">
        <v>0</v>
      </c>
      <c r="AP189">
        <v>999</v>
      </c>
      <c r="AQ189">
        <v>430</v>
      </c>
      <c r="AR189">
        <v>430999</v>
      </c>
      <c r="AT189">
        <v>1</v>
      </c>
      <c r="AU189" t="s">
        <v>54</v>
      </c>
      <c r="AV189">
        <v>25045.55</v>
      </c>
      <c r="AW189">
        <v>26010.331999999999</v>
      </c>
      <c r="AX189">
        <v>27041.058000000001</v>
      </c>
      <c r="AY189">
        <v>28420.708999999999</v>
      </c>
      <c r="AZ189">
        <v>29962.351999999999</v>
      </c>
      <c r="BA189">
        <v>31788.16</v>
      </c>
      <c r="BB189">
        <v>34027.07</v>
      </c>
      <c r="BC189">
        <v>36641.5795</v>
      </c>
      <c r="BD189">
        <v>39840.642</v>
      </c>
      <c r="BE189">
        <v>40000</v>
      </c>
      <c r="BF189">
        <v>41343.269999999997</v>
      </c>
      <c r="BG189">
        <v>44702.324999999997</v>
      </c>
      <c r="BH189">
        <v>49392.076000000001</v>
      </c>
      <c r="BI189">
        <v>58375.907500000008</v>
      </c>
      <c r="BJ189">
        <v>70239.999999999985</v>
      </c>
      <c r="BK189">
        <v>81597.5</v>
      </c>
      <c r="BL189">
        <v>118941.322</v>
      </c>
      <c r="BM189">
        <v>163981.24299999949</v>
      </c>
      <c r="BN189">
        <v>270486.4050000002</v>
      </c>
      <c r="BO189">
        <v>446888.37399999989</v>
      </c>
      <c r="BP189">
        <v>2814221.66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0</v>
      </c>
      <c r="CJ189">
        <v>0</v>
      </c>
      <c r="CK189">
        <v>0</v>
      </c>
    </row>
    <row r="190" spans="1:89" x14ac:dyDescent="0.35">
      <c r="A190">
        <v>351813</v>
      </c>
      <c r="B190" t="s">
        <v>259</v>
      </c>
      <c r="C190" t="s">
        <v>260</v>
      </c>
      <c r="D190" s="1">
        <v>45822</v>
      </c>
      <c r="E190">
        <v>53850</v>
      </c>
      <c r="F190">
        <v>128</v>
      </c>
      <c r="G190" t="s">
        <v>91</v>
      </c>
      <c r="H190" t="s">
        <v>262</v>
      </c>
      <c r="I190" t="s">
        <v>48</v>
      </c>
      <c r="L190">
        <v>1283300003276</v>
      </c>
      <c r="M190">
        <v>20250528</v>
      </c>
      <c r="N190" t="s">
        <v>263</v>
      </c>
      <c r="Q190" t="s">
        <v>55</v>
      </c>
      <c r="R190">
        <v>84790</v>
      </c>
      <c r="T190">
        <v>4804234</v>
      </c>
      <c r="U190">
        <v>7652810727</v>
      </c>
      <c r="V190" t="s">
        <v>332</v>
      </c>
      <c r="W190" t="s">
        <v>53</v>
      </c>
      <c r="X190" t="s">
        <v>333</v>
      </c>
      <c r="Y190" t="s">
        <v>49</v>
      </c>
      <c r="Z190">
        <v>462</v>
      </c>
      <c r="AH190">
        <v>0</v>
      </c>
      <c r="AI190">
        <v>202505</v>
      </c>
      <c r="AJ190" t="s">
        <v>61</v>
      </c>
      <c r="AK190">
        <v>0</v>
      </c>
      <c r="AL190">
        <v>1</v>
      </c>
      <c r="AO190">
        <v>0</v>
      </c>
      <c r="AP190">
        <v>999</v>
      </c>
      <c r="AQ190">
        <v>430</v>
      </c>
      <c r="AR190">
        <v>430999</v>
      </c>
      <c r="AT190">
        <v>1</v>
      </c>
      <c r="AU190" t="s">
        <v>54</v>
      </c>
      <c r="AV190">
        <v>25045.55</v>
      </c>
      <c r="AW190">
        <v>26010.331999999999</v>
      </c>
      <c r="AX190">
        <v>27041.058000000001</v>
      </c>
      <c r="AY190">
        <v>28420.708999999999</v>
      </c>
      <c r="AZ190">
        <v>29962.351999999999</v>
      </c>
      <c r="BA190">
        <v>31788.16</v>
      </c>
      <c r="BB190">
        <v>34027.07</v>
      </c>
      <c r="BC190">
        <v>36641.5795</v>
      </c>
      <c r="BD190">
        <v>39840.642</v>
      </c>
      <c r="BE190">
        <v>40000</v>
      </c>
      <c r="BF190">
        <v>41343.269999999997</v>
      </c>
      <c r="BG190">
        <v>44702.324999999997</v>
      </c>
      <c r="BH190">
        <v>49392.076000000001</v>
      </c>
      <c r="BI190">
        <v>58375.907500000008</v>
      </c>
      <c r="BJ190">
        <v>70239.999999999985</v>
      </c>
      <c r="BK190">
        <v>81597.5</v>
      </c>
      <c r="BL190">
        <v>118941.322</v>
      </c>
      <c r="BM190">
        <v>163981.24299999949</v>
      </c>
      <c r="BN190">
        <v>270486.4050000002</v>
      </c>
      <c r="BO190">
        <v>446888.37399999989</v>
      </c>
      <c r="BP190">
        <v>2814221.66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 x14ac:dyDescent="0.35">
      <c r="A191">
        <v>351794</v>
      </c>
      <c r="B191" t="s">
        <v>259</v>
      </c>
      <c r="C191" t="s">
        <v>260</v>
      </c>
      <c r="D191" s="1">
        <v>45822</v>
      </c>
      <c r="E191">
        <v>53850</v>
      </c>
      <c r="F191">
        <v>109</v>
      </c>
      <c r="G191" t="s">
        <v>65</v>
      </c>
      <c r="H191" t="s">
        <v>262</v>
      </c>
      <c r="I191" t="s">
        <v>48</v>
      </c>
      <c r="L191">
        <v>1093306667367</v>
      </c>
      <c r="M191">
        <v>20250530</v>
      </c>
      <c r="N191" t="s">
        <v>263</v>
      </c>
      <c r="Q191" t="s">
        <v>55</v>
      </c>
      <c r="R191">
        <v>30000</v>
      </c>
      <c r="T191">
        <v>4026861</v>
      </c>
      <c r="U191">
        <v>5195820724</v>
      </c>
      <c r="V191" t="s">
        <v>334</v>
      </c>
      <c r="W191" t="s">
        <v>53</v>
      </c>
      <c r="X191" t="s">
        <v>79</v>
      </c>
      <c r="Y191" t="s">
        <v>49</v>
      </c>
      <c r="Z191">
        <v>1696</v>
      </c>
      <c r="AH191">
        <v>0</v>
      </c>
      <c r="AI191">
        <v>202505</v>
      </c>
      <c r="AJ191" t="s">
        <v>61</v>
      </c>
      <c r="AK191">
        <v>0</v>
      </c>
      <c r="AL191">
        <v>1</v>
      </c>
      <c r="AM191">
        <v>4026861</v>
      </c>
      <c r="AN191">
        <v>1</v>
      </c>
      <c r="AO191">
        <v>0</v>
      </c>
      <c r="AP191">
        <v>477</v>
      </c>
      <c r="AQ191">
        <v>430</v>
      </c>
      <c r="AR191">
        <v>430477</v>
      </c>
      <c r="AS191" t="s">
        <v>58</v>
      </c>
      <c r="AU191" t="s">
        <v>58</v>
      </c>
      <c r="AV191">
        <v>25045.55</v>
      </c>
      <c r="AW191">
        <v>26010.331999999999</v>
      </c>
      <c r="AX191">
        <v>27041.058000000001</v>
      </c>
      <c r="AY191">
        <v>28420.708999999999</v>
      </c>
      <c r="AZ191">
        <v>29962.351999999999</v>
      </c>
      <c r="BA191">
        <v>31788.16</v>
      </c>
      <c r="BB191">
        <v>34027.07</v>
      </c>
      <c r="BC191">
        <v>36641.5795</v>
      </c>
      <c r="BD191">
        <v>39840.642</v>
      </c>
      <c r="BE191">
        <v>40000</v>
      </c>
      <c r="BF191">
        <v>41343.269999999997</v>
      </c>
      <c r="BG191">
        <v>44702.324999999997</v>
      </c>
      <c r="BH191">
        <v>49392.076000000001</v>
      </c>
      <c r="BI191">
        <v>58375.907500000008</v>
      </c>
      <c r="BJ191">
        <v>70239.999999999985</v>
      </c>
      <c r="BK191">
        <v>81597.5</v>
      </c>
      <c r="BL191">
        <v>118941.322</v>
      </c>
      <c r="BM191">
        <v>163981.24299999949</v>
      </c>
      <c r="BN191">
        <v>270486.4050000002</v>
      </c>
      <c r="BO191">
        <v>446888.37399999989</v>
      </c>
      <c r="BP191">
        <v>2814221.66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 x14ac:dyDescent="0.35">
      <c r="A192">
        <v>351763</v>
      </c>
      <c r="B192" t="s">
        <v>259</v>
      </c>
      <c r="C192" t="s">
        <v>260</v>
      </c>
      <c r="D192" s="1">
        <v>45822</v>
      </c>
      <c r="E192">
        <v>53850</v>
      </c>
      <c r="F192">
        <v>148</v>
      </c>
      <c r="G192" t="s">
        <v>90</v>
      </c>
      <c r="H192" t="s">
        <v>262</v>
      </c>
      <c r="I192" t="s">
        <v>48</v>
      </c>
      <c r="L192">
        <v>1483300006067</v>
      </c>
      <c r="M192">
        <v>20250527</v>
      </c>
      <c r="N192" t="s">
        <v>263</v>
      </c>
      <c r="Q192" t="s">
        <v>55</v>
      </c>
      <c r="R192">
        <v>40000</v>
      </c>
      <c r="T192">
        <v>3737044</v>
      </c>
      <c r="U192">
        <v>15554071009</v>
      </c>
      <c r="V192" t="s">
        <v>282</v>
      </c>
      <c r="W192" t="s">
        <v>53</v>
      </c>
      <c r="X192" t="s">
        <v>283</v>
      </c>
      <c r="Y192" t="s">
        <v>49</v>
      </c>
      <c r="Z192">
        <v>1196</v>
      </c>
      <c r="AH192">
        <v>0</v>
      </c>
      <c r="AI192">
        <v>202505</v>
      </c>
      <c r="AJ192" t="s">
        <v>61</v>
      </c>
      <c r="AK192">
        <v>0</v>
      </c>
      <c r="AL192">
        <v>1</v>
      </c>
      <c r="AO192">
        <v>0</v>
      </c>
      <c r="AP192">
        <v>999</v>
      </c>
      <c r="AQ192">
        <v>430</v>
      </c>
      <c r="AR192">
        <v>430999</v>
      </c>
      <c r="AT192">
        <v>1</v>
      </c>
      <c r="AU192" t="s">
        <v>54</v>
      </c>
      <c r="AV192">
        <v>25045.55</v>
      </c>
      <c r="AW192">
        <v>26010.331999999999</v>
      </c>
      <c r="AX192">
        <v>27041.058000000001</v>
      </c>
      <c r="AY192">
        <v>28420.708999999999</v>
      </c>
      <c r="AZ192">
        <v>29962.351999999999</v>
      </c>
      <c r="BA192">
        <v>31788.16</v>
      </c>
      <c r="BB192">
        <v>34027.07</v>
      </c>
      <c r="BC192">
        <v>36641.5795</v>
      </c>
      <c r="BD192">
        <v>39840.642</v>
      </c>
      <c r="BE192">
        <v>40000</v>
      </c>
      <c r="BF192">
        <v>41343.269999999997</v>
      </c>
      <c r="BG192">
        <v>44702.324999999997</v>
      </c>
      <c r="BH192">
        <v>49392.076000000001</v>
      </c>
      <c r="BI192">
        <v>58375.907500000008</v>
      </c>
      <c r="BJ192">
        <v>70239.999999999985</v>
      </c>
      <c r="BK192">
        <v>81597.5</v>
      </c>
      <c r="BL192">
        <v>118941.322</v>
      </c>
      <c r="BM192">
        <v>163981.24299999949</v>
      </c>
      <c r="BN192">
        <v>270486.4050000002</v>
      </c>
      <c r="BO192">
        <v>446888.37399999989</v>
      </c>
      <c r="BP192">
        <v>2814221.66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 x14ac:dyDescent="0.35">
      <c r="A193">
        <v>351708</v>
      </c>
      <c r="B193" t="s">
        <v>259</v>
      </c>
      <c r="C193" t="s">
        <v>260</v>
      </c>
      <c r="D193" s="1">
        <v>45822</v>
      </c>
      <c r="E193">
        <v>53850</v>
      </c>
      <c r="F193">
        <v>141</v>
      </c>
      <c r="G193" t="s">
        <v>76</v>
      </c>
      <c r="H193" t="s">
        <v>262</v>
      </c>
      <c r="I193" t="s">
        <v>48</v>
      </c>
      <c r="L193">
        <v>1413300003985</v>
      </c>
      <c r="M193">
        <v>20250515</v>
      </c>
      <c r="N193" t="s">
        <v>263</v>
      </c>
      <c r="Q193" t="s">
        <v>55</v>
      </c>
      <c r="R193">
        <v>2814221.66</v>
      </c>
      <c r="T193">
        <v>4996689</v>
      </c>
      <c r="U193">
        <v>80010360750</v>
      </c>
      <c r="V193" t="s">
        <v>293</v>
      </c>
      <c r="W193" t="s">
        <v>53</v>
      </c>
      <c r="X193" t="s">
        <v>294</v>
      </c>
      <c r="Y193" t="s">
        <v>49</v>
      </c>
      <c r="Z193">
        <v>1940</v>
      </c>
      <c r="AH193">
        <v>0</v>
      </c>
      <c r="AI193">
        <v>202505</v>
      </c>
      <c r="AJ193" t="s">
        <v>61</v>
      </c>
      <c r="AK193">
        <v>0</v>
      </c>
      <c r="AL193">
        <v>1</v>
      </c>
      <c r="AO193">
        <v>0</v>
      </c>
      <c r="AP193">
        <v>931</v>
      </c>
      <c r="AQ193">
        <v>430</v>
      </c>
      <c r="AR193">
        <v>430931</v>
      </c>
      <c r="AS193" t="s">
        <v>58</v>
      </c>
      <c r="AU193" t="s">
        <v>58</v>
      </c>
      <c r="AV193">
        <v>25045.55</v>
      </c>
      <c r="AW193">
        <v>26010.331999999999</v>
      </c>
      <c r="AX193">
        <v>27041.058000000001</v>
      </c>
      <c r="AY193">
        <v>28420.708999999999</v>
      </c>
      <c r="AZ193">
        <v>29962.351999999999</v>
      </c>
      <c r="BA193">
        <v>31788.16</v>
      </c>
      <c r="BB193">
        <v>34027.07</v>
      </c>
      <c r="BC193">
        <v>36641.5795</v>
      </c>
      <c r="BD193">
        <v>39840.642</v>
      </c>
      <c r="BE193">
        <v>40000</v>
      </c>
      <c r="BF193">
        <v>41343.269999999997</v>
      </c>
      <c r="BG193">
        <v>44702.324999999997</v>
      </c>
      <c r="BH193">
        <v>49392.076000000001</v>
      </c>
      <c r="BI193">
        <v>58375.907500000008</v>
      </c>
      <c r="BJ193">
        <v>70239.999999999985</v>
      </c>
      <c r="BK193">
        <v>81597.5</v>
      </c>
      <c r="BL193">
        <v>118941.322</v>
      </c>
      <c r="BM193">
        <v>163981.24299999949</v>
      </c>
      <c r="BN193">
        <v>270486.4050000002</v>
      </c>
      <c r="BO193">
        <v>446888.37399999989</v>
      </c>
      <c r="BP193">
        <v>2814221.66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</row>
    <row r="194" spans="1:89" x14ac:dyDescent="0.35">
      <c r="A194">
        <v>351683</v>
      </c>
      <c r="B194" t="s">
        <v>259</v>
      </c>
      <c r="C194" t="s">
        <v>260</v>
      </c>
      <c r="D194" s="1">
        <v>45822</v>
      </c>
      <c r="E194">
        <v>53850</v>
      </c>
      <c r="F194">
        <v>105</v>
      </c>
      <c r="G194" t="s">
        <v>47</v>
      </c>
      <c r="H194" t="s">
        <v>262</v>
      </c>
      <c r="I194" t="s">
        <v>48</v>
      </c>
      <c r="L194">
        <v>1053306287103</v>
      </c>
      <c r="M194">
        <v>20250522</v>
      </c>
      <c r="N194" t="s">
        <v>263</v>
      </c>
      <c r="Q194" t="s">
        <v>55</v>
      </c>
      <c r="R194">
        <v>724480.51</v>
      </c>
      <c r="T194">
        <v>4263360</v>
      </c>
      <c r="U194">
        <v>5982300724</v>
      </c>
      <c r="V194" t="s">
        <v>268</v>
      </c>
      <c r="W194" t="s">
        <v>53</v>
      </c>
      <c r="X194" t="s">
        <v>269</v>
      </c>
      <c r="Y194" t="s">
        <v>49</v>
      </c>
      <c r="Z194">
        <v>1058</v>
      </c>
      <c r="AH194">
        <v>0</v>
      </c>
      <c r="AI194">
        <v>202505</v>
      </c>
      <c r="AJ194" t="s">
        <v>61</v>
      </c>
      <c r="AK194">
        <v>0</v>
      </c>
      <c r="AL194">
        <v>1</v>
      </c>
      <c r="AO194">
        <v>0</v>
      </c>
      <c r="AP194">
        <v>999</v>
      </c>
      <c r="AQ194">
        <v>430</v>
      </c>
      <c r="AR194">
        <v>430999</v>
      </c>
      <c r="AT194">
        <v>1</v>
      </c>
      <c r="AU194" t="s">
        <v>54</v>
      </c>
      <c r="AV194">
        <v>25045.55</v>
      </c>
      <c r="AW194">
        <v>26010.331999999999</v>
      </c>
      <c r="AX194">
        <v>27041.058000000001</v>
      </c>
      <c r="AY194">
        <v>28420.708999999999</v>
      </c>
      <c r="AZ194">
        <v>29962.351999999999</v>
      </c>
      <c r="BA194">
        <v>31788.16</v>
      </c>
      <c r="BB194">
        <v>34027.07</v>
      </c>
      <c r="BC194">
        <v>36641.5795</v>
      </c>
      <c r="BD194">
        <v>39840.642</v>
      </c>
      <c r="BE194">
        <v>40000</v>
      </c>
      <c r="BF194">
        <v>41343.269999999997</v>
      </c>
      <c r="BG194">
        <v>44702.324999999997</v>
      </c>
      <c r="BH194">
        <v>49392.076000000001</v>
      </c>
      <c r="BI194">
        <v>58375.907500000008</v>
      </c>
      <c r="BJ194">
        <v>70239.999999999985</v>
      </c>
      <c r="BK194">
        <v>81597.5</v>
      </c>
      <c r="BL194">
        <v>118941.322</v>
      </c>
      <c r="BM194">
        <v>163981.24299999949</v>
      </c>
      <c r="BN194">
        <v>270486.4050000002</v>
      </c>
      <c r="BO194">
        <v>446888.37399999989</v>
      </c>
      <c r="BP194">
        <v>2814221.66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0</v>
      </c>
    </row>
    <row r="195" spans="1:89" x14ac:dyDescent="0.35">
      <c r="A195">
        <v>351676</v>
      </c>
      <c r="B195" t="s">
        <v>259</v>
      </c>
      <c r="C195" t="s">
        <v>260</v>
      </c>
      <c r="D195" s="1">
        <v>45822</v>
      </c>
      <c r="E195">
        <v>53850</v>
      </c>
      <c r="F195">
        <v>122</v>
      </c>
      <c r="G195" t="s">
        <v>261</v>
      </c>
      <c r="H195" t="s">
        <v>262</v>
      </c>
      <c r="I195" t="s">
        <v>48</v>
      </c>
      <c r="L195">
        <v>1223300002128</v>
      </c>
      <c r="M195">
        <v>20250528</v>
      </c>
      <c r="N195" t="s">
        <v>263</v>
      </c>
      <c r="Q195" t="s">
        <v>55</v>
      </c>
      <c r="R195">
        <v>129520.59</v>
      </c>
      <c r="T195">
        <v>3711207</v>
      </c>
      <c r="U195">
        <v>8825020723</v>
      </c>
      <c r="V195" t="s">
        <v>264</v>
      </c>
      <c r="W195" t="s">
        <v>53</v>
      </c>
      <c r="X195" t="s">
        <v>57</v>
      </c>
      <c r="Y195" t="s">
        <v>49</v>
      </c>
      <c r="Z195">
        <v>1696</v>
      </c>
      <c r="AH195">
        <v>0</v>
      </c>
      <c r="AI195">
        <v>202505</v>
      </c>
      <c r="AJ195" t="s">
        <v>160</v>
      </c>
      <c r="AK195">
        <v>1</v>
      </c>
      <c r="AL195">
        <v>1</v>
      </c>
      <c r="AO195">
        <v>0</v>
      </c>
      <c r="AP195">
        <v>620</v>
      </c>
      <c r="AQ195">
        <v>430</v>
      </c>
      <c r="AR195">
        <v>430620</v>
      </c>
      <c r="AS195" t="s">
        <v>58</v>
      </c>
      <c r="AU195" t="s">
        <v>58</v>
      </c>
      <c r="AV195">
        <v>25045.55</v>
      </c>
      <c r="AW195">
        <v>26010.331999999999</v>
      </c>
      <c r="AX195">
        <v>27041.058000000001</v>
      </c>
      <c r="AY195">
        <v>28420.708999999999</v>
      </c>
      <c r="AZ195">
        <v>29962.351999999999</v>
      </c>
      <c r="BA195">
        <v>31788.16</v>
      </c>
      <c r="BB195">
        <v>34027.07</v>
      </c>
      <c r="BC195">
        <v>36641.5795</v>
      </c>
      <c r="BD195">
        <v>39840.642</v>
      </c>
      <c r="BE195">
        <v>40000</v>
      </c>
      <c r="BF195">
        <v>41343.269999999997</v>
      </c>
      <c r="BG195">
        <v>44702.324999999997</v>
      </c>
      <c r="BH195">
        <v>49392.076000000001</v>
      </c>
      <c r="BI195">
        <v>58375.907500000008</v>
      </c>
      <c r="BJ195">
        <v>70239.999999999985</v>
      </c>
      <c r="BK195">
        <v>81597.5</v>
      </c>
      <c r="BL195">
        <v>118941.322</v>
      </c>
      <c r="BM195">
        <v>163981.24299999949</v>
      </c>
      <c r="BN195">
        <v>270486.4050000002</v>
      </c>
      <c r="BO195">
        <v>446888.37399999989</v>
      </c>
      <c r="BP195">
        <v>2814221.66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0</v>
      </c>
      <c r="CI195">
        <v>0</v>
      </c>
      <c r="CJ195">
        <v>0</v>
      </c>
      <c r="CK195">
        <v>0</v>
      </c>
    </row>
    <row r="196" spans="1:89" x14ac:dyDescent="0.35">
      <c r="A196">
        <v>351649</v>
      </c>
      <c r="B196" t="s">
        <v>259</v>
      </c>
      <c r="C196" t="s">
        <v>260</v>
      </c>
      <c r="D196" s="1">
        <v>45822</v>
      </c>
      <c r="E196">
        <v>53850</v>
      </c>
      <c r="F196">
        <v>116</v>
      </c>
      <c r="G196" t="s">
        <v>165</v>
      </c>
      <c r="H196" t="s">
        <v>262</v>
      </c>
      <c r="I196" t="s">
        <v>48</v>
      </c>
      <c r="L196">
        <v>1163307620827</v>
      </c>
      <c r="M196">
        <v>20250522</v>
      </c>
      <c r="N196" t="s">
        <v>263</v>
      </c>
      <c r="Q196" t="s">
        <v>55</v>
      </c>
      <c r="R196">
        <v>67000</v>
      </c>
      <c r="T196">
        <v>4871871</v>
      </c>
      <c r="U196">
        <v>2516140726</v>
      </c>
      <c r="V196" t="s">
        <v>240</v>
      </c>
      <c r="W196" t="s">
        <v>53</v>
      </c>
      <c r="X196" t="s">
        <v>231</v>
      </c>
      <c r="Y196" t="s">
        <v>49</v>
      </c>
      <c r="Z196">
        <v>1903</v>
      </c>
      <c r="AH196">
        <v>0</v>
      </c>
      <c r="AI196">
        <v>202505</v>
      </c>
      <c r="AJ196" t="s">
        <v>61</v>
      </c>
      <c r="AK196">
        <v>0</v>
      </c>
      <c r="AL196">
        <v>1</v>
      </c>
      <c r="AO196">
        <v>0</v>
      </c>
      <c r="AP196">
        <v>999</v>
      </c>
      <c r="AQ196">
        <v>430</v>
      </c>
      <c r="AR196">
        <v>430999</v>
      </c>
      <c r="AT196">
        <v>1</v>
      </c>
      <c r="AU196" t="s">
        <v>54</v>
      </c>
      <c r="AV196">
        <v>25045.55</v>
      </c>
      <c r="AW196">
        <v>26010.331999999999</v>
      </c>
      <c r="AX196">
        <v>27041.058000000001</v>
      </c>
      <c r="AY196">
        <v>28420.708999999999</v>
      </c>
      <c r="AZ196">
        <v>29962.351999999999</v>
      </c>
      <c r="BA196">
        <v>31788.16</v>
      </c>
      <c r="BB196">
        <v>34027.07</v>
      </c>
      <c r="BC196">
        <v>36641.5795</v>
      </c>
      <c r="BD196">
        <v>39840.642</v>
      </c>
      <c r="BE196">
        <v>40000</v>
      </c>
      <c r="BF196">
        <v>41343.269999999997</v>
      </c>
      <c r="BG196">
        <v>44702.324999999997</v>
      </c>
      <c r="BH196">
        <v>49392.076000000001</v>
      </c>
      <c r="BI196">
        <v>58375.907500000008</v>
      </c>
      <c r="BJ196">
        <v>70239.999999999985</v>
      </c>
      <c r="BK196">
        <v>81597.5</v>
      </c>
      <c r="BL196">
        <v>118941.322</v>
      </c>
      <c r="BM196">
        <v>163981.24299999949</v>
      </c>
      <c r="BN196">
        <v>270486.4050000002</v>
      </c>
      <c r="BO196">
        <v>446888.37399999989</v>
      </c>
      <c r="BP196">
        <v>2814221.66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 x14ac:dyDescent="0.35">
      <c r="A197">
        <v>351646</v>
      </c>
      <c r="B197" t="s">
        <v>259</v>
      </c>
      <c r="C197" t="s">
        <v>260</v>
      </c>
      <c r="D197" s="1">
        <v>45822</v>
      </c>
      <c r="E197">
        <v>53850</v>
      </c>
      <c r="F197">
        <v>147</v>
      </c>
      <c r="G197" t="s">
        <v>84</v>
      </c>
      <c r="H197" t="s">
        <v>262</v>
      </c>
      <c r="I197" t="s">
        <v>48</v>
      </c>
      <c r="L197">
        <v>1473300002945</v>
      </c>
      <c r="M197">
        <v>20250516</v>
      </c>
      <c r="N197" t="s">
        <v>263</v>
      </c>
      <c r="Q197" t="s">
        <v>55</v>
      </c>
      <c r="R197">
        <v>25624.18</v>
      </c>
      <c r="T197">
        <v>4953849</v>
      </c>
      <c r="U197">
        <v>8560621214</v>
      </c>
      <c r="V197" t="s">
        <v>335</v>
      </c>
      <c r="W197" t="s">
        <v>53</v>
      </c>
      <c r="X197" t="s">
        <v>283</v>
      </c>
      <c r="Y197" t="s">
        <v>49</v>
      </c>
      <c r="Z197">
        <v>1356</v>
      </c>
      <c r="AH197">
        <v>0</v>
      </c>
      <c r="AI197">
        <v>202505</v>
      </c>
      <c r="AJ197" t="s">
        <v>61</v>
      </c>
      <c r="AK197">
        <v>0</v>
      </c>
      <c r="AL197">
        <v>1</v>
      </c>
      <c r="AO197">
        <v>0</v>
      </c>
      <c r="AP197">
        <v>999</v>
      </c>
      <c r="AQ197">
        <v>430</v>
      </c>
      <c r="AR197">
        <v>430999</v>
      </c>
      <c r="AT197">
        <v>1</v>
      </c>
      <c r="AU197" t="s">
        <v>54</v>
      </c>
      <c r="AV197">
        <v>25045.55</v>
      </c>
      <c r="AW197">
        <v>26010.331999999999</v>
      </c>
      <c r="AX197">
        <v>27041.058000000001</v>
      </c>
      <c r="AY197">
        <v>28420.708999999999</v>
      </c>
      <c r="AZ197">
        <v>29962.351999999999</v>
      </c>
      <c r="BA197">
        <v>31788.16</v>
      </c>
      <c r="BB197">
        <v>34027.07</v>
      </c>
      <c r="BC197">
        <v>36641.5795</v>
      </c>
      <c r="BD197">
        <v>39840.642</v>
      </c>
      <c r="BE197">
        <v>40000</v>
      </c>
      <c r="BF197">
        <v>41343.269999999997</v>
      </c>
      <c r="BG197">
        <v>44702.324999999997</v>
      </c>
      <c r="BH197">
        <v>49392.076000000001</v>
      </c>
      <c r="BI197">
        <v>58375.907500000008</v>
      </c>
      <c r="BJ197">
        <v>70239.999999999985</v>
      </c>
      <c r="BK197">
        <v>81597.5</v>
      </c>
      <c r="BL197">
        <v>118941.322</v>
      </c>
      <c r="BM197">
        <v>163981.24299999949</v>
      </c>
      <c r="BN197">
        <v>270486.4050000002</v>
      </c>
      <c r="BO197">
        <v>446888.37399999989</v>
      </c>
      <c r="BP197">
        <v>2814221.66</v>
      </c>
      <c r="BQ197">
        <v>1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 x14ac:dyDescent="0.35">
      <c r="A198">
        <v>351633</v>
      </c>
      <c r="B198" t="s">
        <v>259</v>
      </c>
      <c r="C198" t="s">
        <v>260</v>
      </c>
      <c r="D198" s="1">
        <v>45822</v>
      </c>
      <c r="E198">
        <v>53850</v>
      </c>
      <c r="F198">
        <v>145</v>
      </c>
      <c r="G198" t="s">
        <v>67</v>
      </c>
      <c r="H198" t="s">
        <v>262</v>
      </c>
      <c r="I198" t="s">
        <v>48</v>
      </c>
      <c r="L198">
        <v>1453300003679</v>
      </c>
      <c r="M198">
        <v>20250512</v>
      </c>
      <c r="N198" t="s">
        <v>263</v>
      </c>
      <c r="Q198" t="s">
        <v>55</v>
      </c>
      <c r="R198">
        <v>51335.360000000001</v>
      </c>
      <c r="T198">
        <v>4955147</v>
      </c>
      <c r="U198">
        <v>5645531210</v>
      </c>
      <c r="V198" t="s">
        <v>323</v>
      </c>
      <c r="W198" t="s">
        <v>53</v>
      </c>
      <c r="X198" t="s">
        <v>296</v>
      </c>
      <c r="Y198" t="s">
        <v>49</v>
      </c>
      <c r="Z198">
        <v>982</v>
      </c>
      <c r="AH198">
        <v>0</v>
      </c>
      <c r="AI198">
        <v>202505</v>
      </c>
      <c r="AJ198" t="s">
        <v>162</v>
      </c>
      <c r="AK198">
        <v>1</v>
      </c>
      <c r="AL198">
        <v>1</v>
      </c>
      <c r="AO198">
        <v>0</v>
      </c>
      <c r="AP198">
        <v>464</v>
      </c>
      <c r="AQ198">
        <v>430</v>
      </c>
      <c r="AR198">
        <v>430464</v>
      </c>
      <c r="AS198" t="s">
        <v>297</v>
      </c>
      <c r="AU198" t="s">
        <v>297</v>
      </c>
      <c r="AV198">
        <v>25045.55</v>
      </c>
      <c r="AW198">
        <v>26010.331999999999</v>
      </c>
      <c r="AX198">
        <v>27041.058000000001</v>
      </c>
      <c r="AY198">
        <v>28420.708999999999</v>
      </c>
      <c r="AZ198">
        <v>29962.351999999999</v>
      </c>
      <c r="BA198">
        <v>31788.16</v>
      </c>
      <c r="BB198">
        <v>34027.07</v>
      </c>
      <c r="BC198">
        <v>36641.5795</v>
      </c>
      <c r="BD198">
        <v>39840.642</v>
      </c>
      <c r="BE198">
        <v>40000</v>
      </c>
      <c r="BF198">
        <v>41343.269999999997</v>
      </c>
      <c r="BG198">
        <v>44702.324999999997</v>
      </c>
      <c r="BH198">
        <v>49392.076000000001</v>
      </c>
      <c r="BI198">
        <v>58375.907500000008</v>
      </c>
      <c r="BJ198">
        <v>70239.999999999985</v>
      </c>
      <c r="BK198">
        <v>81597.5</v>
      </c>
      <c r="BL198">
        <v>118941.322</v>
      </c>
      <c r="BM198">
        <v>163981.24299999949</v>
      </c>
      <c r="BN198">
        <v>270486.4050000002</v>
      </c>
      <c r="BO198">
        <v>446888.37399999989</v>
      </c>
      <c r="BP198">
        <v>2814221.66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 x14ac:dyDescent="0.35">
      <c r="A199">
        <v>351589</v>
      </c>
      <c r="B199" t="s">
        <v>259</v>
      </c>
      <c r="C199" t="s">
        <v>260</v>
      </c>
      <c r="D199" s="1">
        <v>45822</v>
      </c>
      <c r="E199">
        <v>53850</v>
      </c>
      <c r="F199">
        <v>125</v>
      </c>
      <c r="G199" t="s">
        <v>277</v>
      </c>
      <c r="H199" t="s">
        <v>262</v>
      </c>
      <c r="I199" t="s">
        <v>48</v>
      </c>
      <c r="L199">
        <v>1253300002567</v>
      </c>
      <c r="M199">
        <v>20250527</v>
      </c>
      <c r="N199" t="s">
        <v>263</v>
      </c>
      <c r="Q199" t="s">
        <v>55</v>
      </c>
      <c r="R199">
        <v>50262</v>
      </c>
      <c r="T199">
        <v>4951371</v>
      </c>
      <c r="U199">
        <v>9498701219</v>
      </c>
      <c r="V199" t="s">
        <v>322</v>
      </c>
      <c r="W199" t="s">
        <v>53</v>
      </c>
      <c r="X199" t="s">
        <v>296</v>
      </c>
      <c r="Y199" t="s">
        <v>49</v>
      </c>
      <c r="Z199">
        <v>1337</v>
      </c>
      <c r="AH199">
        <v>0</v>
      </c>
      <c r="AI199">
        <v>202505</v>
      </c>
      <c r="AJ199" t="s">
        <v>61</v>
      </c>
      <c r="AK199">
        <v>0</v>
      </c>
      <c r="AL199">
        <v>1</v>
      </c>
      <c r="AO199">
        <v>0</v>
      </c>
      <c r="AP199">
        <v>464</v>
      </c>
      <c r="AQ199">
        <v>430</v>
      </c>
      <c r="AR199">
        <v>430464</v>
      </c>
      <c r="AS199" t="s">
        <v>297</v>
      </c>
      <c r="AU199" t="s">
        <v>297</v>
      </c>
      <c r="AV199">
        <v>25045.55</v>
      </c>
      <c r="AW199">
        <v>26010.331999999999</v>
      </c>
      <c r="AX199">
        <v>27041.058000000001</v>
      </c>
      <c r="AY199">
        <v>28420.708999999999</v>
      </c>
      <c r="AZ199">
        <v>29962.351999999999</v>
      </c>
      <c r="BA199">
        <v>31788.16</v>
      </c>
      <c r="BB199">
        <v>34027.07</v>
      </c>
      <c r="BC199">
        <v>36641.5795</v>
      </c>
      <c r="BD199">
        <v>39840.642</v>
      </c>
      <c r="BE199">
        <v>40000</v>
      </c>
      <c r="BF199">
        <v>41343.269999999997</v>
      </c>
      <c r="BG199">
        <v>44702.324999999997</v>
      </c>
      <c r="BH199">
        <v>49392.076000000001</v>
      </c>
      <c r="BI199">
        <v>58375.907500000008</v>
      </c>
      <c r="BJ199">
        <v>70239.999999999985</v>
      </c>
      <c r="BK199">
        <v>81597.5</v>
      </c>
      <c r="BL199">
        <v>118941.322</v>
      </c>
      <c r="BM199">
        <v>163981.24299999949</v>
      </c>
      <c r="BN199">
        <v>270486.4050000002</v>
      </c>
      <c r="BO199">
        <v>446888.37399999989</v>
      </c>
      <c r="BP199">
        <v>2814221.66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 x14ac:dyDescent="0.35">
      <c r="A200">
        <v>351543</v>
      </c>
      <c r="B200" t="s">
        <v>259</v>
      </c>
      <c r="C200" t="s">
        <v>260</v>
      </c>
      <c r="D200" s="1">
        <v>45822</v>
      </c>
      <c r="E200">
        <v>53850</v>
      </c>
      <c r="F200">
        <v>171</v>
      </c>
      <c r="G200" t="s">
        <v>72</v>
      </c>
      <c r="H200" t="s">
        <v>262</v>
      </c>
      <c r="I200" t="s">
        <v>48</v>
      </c>
      <c r="L200">
        <v>1713302213842</v>
      </c>
      <c r="M200">
        <v>20250526</v>
      </c>
      <c r="N200" t="s">
        <v>263</v>
      </c>
      <c r="Q200" t="s">
        <v>55</v>
      </c>
      <c r="R200">
        <v>150000</v>
      </c>
      <c r="T200">
        <v>4148505</v>
      </c>
      <c r="U200">
        <v>5848860721</v>
      </c>
      <c r="V200" t="s">
        <v>171</v>
      </c>
      <c r="W200" t="s">
        <v>53</v>
      </c>
      <c r="X200" t="s">
        <v>85</v>
      </c>
      <c r="Y200" t="s">
        <v>49</v>
      </c>
      <c r="Z200">
        <v>1903</v>
      </c>
      <c r="AH200">
        <v>0</v>
      </c>
      <c r="AI200">
        <v>202505</v>
      </c>
      <c r="AJ200" t="s">
        <v>167</v>
      </c>
      <c r="AK200">
        <v>1</v>
      </c>
      <c r="AL200">
        <v>1</v>
      </c>
      <c r="AO200">
        <v>0</v>
      </c>
      <c r="AP200">
        <v>999</v>
      </c>
      <c r="AQ200">
        <v>430</v>
      </c>
      <c r="AR200">
        <v>430999</v>
      </c>
      <c r="AT200">
        <v>1</v>
      </c>
      <c r="AU200" t="s">
        <v>54</v>
      </c>
      <c r="AV200">
        <v>25045.55</v>
      </c>
      <c r="AW200">
        <v>26010.331999999999</v>
      </c>
      <c r="AX200">
        <v>27041.058000000001</v>
      </c>
      <c r="AY200">
        <v>28420.708999999999</v>
      </c>
      <c r="AZ200">
        <v>29962.351999999999</v>
      </c>
      <c r="BA200">
        <v>31788.16</v>
      </c>
      <c r="BB200">
        <v>34027.07</v>
      </c>
      <c r="BC200">
        <v>36641.5795</v>
      </c>
      <c r="BD200">
        <v>39840.642</v>
      </c>
      <c r="BE200">
        <v>40000</v>
      </c>
      <c r="BF200">
        <v>41343.269999999997</v>
      </c>
      <c r="BG200">
        <v>44702.324999999997</v>
      </c>
      <c r="BH200">
        <v>49392.076000000001</v>
      </c>
      <c r="BI200">
        <v>58375.907500000008</v>
      </c>
      <c r="BJ200">
        <v>70239.999999999985</v>
      </c>
      <c r="BK200">
        <v>81597.5</v>
      </c>
      <c r="BL200">
        <v>118941.322</v>
      </c>
      <c r="BM200">
        <v>163981.24299999949</v>
      </c>
      <c r="BN200">
        <v>270486.4050000002</v>
      </c>
      <c r="BO200">
        <v>446888.37399999989</v>
      </c>
      <c r="BP200">
        <v>2814221.66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0</v>
      </c>
      <c r="CI200">
        <v>0</v>
      </c>
      <c r="CJ200">
        <v>0</v>
      </c>
      <c r="CK200">
        <v>0</v>
      </c>
    </row>
    <row r="201" spans="1:89" x14ac:dyDescent="0.35">
      <c r="A201">
        <v>351446</v>
      </c>
      <c r="B201" t="s">
        <v>259</v>
      </c>
      <c r="C201" t="s">
        <v>260</v>
      </c>
      <c r="D201" s="1">
        <v>45822</v>
      </c>
      <c r="E201">
        <v>53850</v>
      </c>
      <c r="F201">
        <v>128</v>
      </c>
      <c r="G201" t="s">
        <v>91</v>
      </c>
      <c r="H201" t="s">
        <v>262</v>
      </c>
      <c r="I201" t="s">
        <v>48</v>
      </c>
      <c r="L201">
        <v>1283300003276</v>
      </c>
      <c r="M201">
        <v>20250527</v>
      </c>
      <c r="N201" t="s">
        <v>263</v>
      </c>
      <c r="Q201" t="s">
        <v>55</v>
      </c>
      <c r="R201">
        <v>81130</v>
      </c>
      <c r="T201">
        <v>4804234</v>
      </c>
      <c r="U201">
        <v>7652810727</v>
      </c>
      <c r="V201" t="s">
        <v>332</v>
      </c>
      <c r="W201" t="s">
        <v>53</v>
      </c>
      <c r="X201" t="s">
        <v>333</v>
      </c>
      <c r="Y201" t="s">
        <v>49</v>
      </c>
      <c r="Z201">
        <v>462</v>
      </c>
      <c r="AH201">
        <v>0</v>
      </c>
      <c r="AI201">
        <v>202505</v>
      </c>
      <c r="AJ201" t="s">
        <v>61</v>
      </c>
      <c r="AK201">
        <v>0</v>
      </c>
      <c r="AL201">
        <v>1</v>
      </c>
      <c r="AO201">
        <v>0</v>
      </c>
      <c r="AP201">
        <v>999</v>
      </c>
      <c r="AQ201">
        <v>430</v>
      </c>
      <c r="AR201">
        <v>430999</v>
      </c>
      <c r="AT201">
        <v>1</v>
      </c>
      <c r="AU201" t="s">
        <v>54</v>
      </c>
      <c r="AV201">
        <v>25045.55</v>
      </c>
      <c r="AW201">
        <v>26010.331999999999</v>
      </c>
      <c r="AX201">
        <v>27041.058000000001</v>
      </c>
      <c r="AY201">
        <v>28420.708999999999</v>
      </c>
      <c r="AZ201">
        <v>29962.351999999999</v>
      </c>
      <c r="BA201">
        <v>31788.16</v>
      </c>
      <c r="BB201">
        <v>34027.07</v>
      </c>
      <c r="BC201">
        <v>36641.5795</v>
      </c>
      <c r="BD201">
        <v>39840.642</v>
      </c>
      <c r="BE201">
        <v>40000</v>
      </c>
      <c r="BF201">
        <v>41343.269999999997</v>
      </c>
      <c r="BG201">
        <v>44702.324999999997</v>
      </c>
      <c r="BH201">
        <v>49392.076000000001</v>
      </c>
      <c r="BI201">
        <v>58375.907500000008</v>
      </c>
      <c r="BJ201">
        <v>70239.999999999985</v>
      </c>
      <c r="BK201">
        <v>81597.5</v>
      </c>
      <c r="BL201">
        <v>118941.322</v>
      </c>
      <c r="BM201">
        <v>163981.24299999949</v>
      </c>
      <c r="BN201">
        <v>270486.4050000002</v>
      </c>
      <c r="BO201">
        <v>446888.37399999989</v>
      </c>
      <c r="BP201">
        <v>2814221.66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 x14ac:dyDescent="0.35">
      <c r="A202">
        <v>351405</v>
      </c>
      <c r="B202" t="s">
        <v>259</v>
      </c>
      <c r="C202" t="s">
        <v>260</v>
      </c>
      <c r="D202" s="1">
        <v>45822</v>
      </c>
      <c r="E202">
        <v>53850</v>
      </c>
      <c r="F202">
        <v>187</v>
      </c>
      <c r="G202" t="s">
        <v>66</v>
      </c>
      <c r="H202" t="s">
        <v>262</v>
      </c>
      <c r="I202" t="s">
        <v>48</v>
      </c>
      <c r="L202">
        <v>999361870311</v>
      </c>
      <c r="M202">
        <v>20250514</v>
      </c>
      <c r="N202" t="s">
        <v>263</v>
      </c>
      <c r="Q202" t="s">
        <v>55</v>
      </c>
      <c r="R202">
        <v>36397.43</v>
      </c>
      <c r="T202">
        <v>3004644</v>
      </c>
      <c r="U202">
        <v>80008750731</v>
      </c>
      <c r="V202" t="s">
        <v>318</v>
      </c>
      <c r="W202" t="s">
        <v>319</v>
      </c>
      <c r="Y202" t="s">
        <v>49</v>
      </c>
      <c r="Z202">
        <v>1627</v>
      </c>
      <c r="AH202">
        <v>0</v>
      </c>
      <c r="AI202">
        <v>202505</v>
      </c>
      <c r="AJ202" t="s">
        <v>61</v>
      </c>
      <c r="AK202">
        <v>0</v>
      </c>
      <c r="AL202">
        <v>1</v>
      </c>
      <c r="AO202">
        <v>0</v>
      </c>
      <c r="AP202">
        <v>999</v>
      </c>
      <c r="AQ202">
        <v>173</v>
      </c>
      <c r="AR202">
        <v>173999</v>
      </c>
      <c r="AS202" t="s">
        <v>59</v>
      </c>
      <c r="AU202" t="s">
        <v>59</v>
      </c>
      <c r="AV202">
        <v>25045.55</v>
      </c>
      <c r="AW202">
        <v>26010.331999999999</v>
      </c>
      <c r="AX202">
        <v>27041.058000000001</v>
      </c>
      <c r="AY202">
        <v>28420.708999999999</v>
      </c>
      <c r="AZ202">
        <v>29962.351999999999</v>
      </c>
      <c r="BA202">
        <v>31788.16</v>
      </c>
      <c r="BB202">
        <v>34027.07</v>
      </c>
      <c r="BC202">
        <v>36641.5795</v>
      </c>
      <c r="BD202">
        <v>39840.642</v>
      </c>
      <c r="BE202">
        <v>40000</v>
      </c>
      <c r="BF202">
        <v>41343.269999999997</v>
      </c>
      <c r="BG202">
        <v>44702.324999999997</v>
      </c>
      <c r="BH202">
        <v>49392.076000000001</v>
      </c>
      <c r="BI202">
        <v>58375.907500000008</v>
      </c>
      <c r="BJ202">
        <v>70239.999999999985</v>
      </c>
      <c r="BK202">
        <v>81597.5</v>
      </c>
      <c r="BL202">
        <v>118941.322</v>
      </c>
      <c r="BM202">
        <v>163981.24299999949</v>
      </c>
      <c r="BN202">
        <v>270486.4050000002</v>
      </c>
      <c r="BO202">
        <v>446888.37399999989</v>
      </c>
      <c r="BP202">
        <v>2814221.66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 x14ac:dyDescent="0.35">
      <c r="A203">
        <v>351362</v>
      </c>
      <c r="B203" t="s">
        <v>259</v>
      </c>
      <c r="C203" t="s">
        <v>260</v>
      </c>
      <c r="D203" s="1">
        <v>45822</v>
      </c>
      <c r="E203">
        <v>53850</v>
      </c>
      <c r="F203">
        <v>191</v>
      </c>
      <c r="G203" t="s">
        <v>173</v>
      </c>
      <c r="H203" t="s">
        <v>262</v>
      </c>
      <c r="I203" t="s">
        <v>48</v>
      </c>
      <c r="L203">
        <v>1913300068122</v>
      </c>
      <c r="M203">
        <v>20250509</v>
      </c>
      <c r="N203" t="s">
        <v>263</v>
      </c>
      <c r="Q203" t="s">
        <v>55</v>
      </c>
      <c r="R203">
        <v>40000</v>
      </c>
      <c r="T203">
        <v>4918280</v>
      </c>
      <c r="U203">
        <v>3480410798</v>
      </c>
      <c r="V203" t="s">
        <v>291</v>
      </c>
      <c r="W203" t="s">
        <v>53</v>
      </c>
      <c r="X203" t="s">
        <v>232</v>
      </c>
      <c r="Y203" t="s">
        <v>49</v>
      </c>
      <c r="AH203">
        <v>0</v>
      </c>
      <c r="AI203">
        <v>202505</v>
      </c>
      <c r="AJ203" t="s">
        <v>162</v>
      </c>
      <c r="AK203">
        <v>1</v>
      </c>
      <c r="AL203">
        <v>1</v>
      </c>
      <c r="AO203">
        <v>0</v>
      </c>
      <c r="AP203">
        <v>999</v>
      </c>
      <c r="AQ203">
        <v>430</v>
      </c>
      <c r="AR203">
        <v>430999</v>
      </c>
      <c r="AT203">
        <v>1</v>
      </c>
      <c r="AU203" t="s">
        <v>54</v>
      </c>
      <c r="AV203">
        <v>25045.55</v>
      </c>
      <c r="AW203">
        <v>26010.331999999999</v>
      </c>
      <c r="AX203">
        <v>27041.058000000001</v>
      </c>
      <c r="AY203">
        <v>28420.708999999999</v>
      </c>
      <c r="AZ203">
        <v>29962.351999999999</v>
      </c>
      <c r="BA203">
        <v>31788.16</v>
      </c>
      <c r="BB203">
        <v>34027.07</v>
      </c>
      <c r="BC203">
        <v>36641.5795</v>
      </c>
      <c r="BD203">
        <v>39840.642</v>
      </c>
      <c r="BE203">
        <v>40000</v>
      </c>
      <c r="BF203">
        <v>41343.269999999997</v>
      </c>
      <c r="BG203">
        <v>44702.324999999997</v>
      </c>
      <c r="BH203">
        <v>49392.076000000001</v>
      </c>
      <c r="BI203">
        <v>58375.907500000008</v>
      </c>
      <c r="BJ203">
        <v>70239.999999999985</v>
      </c>
      <c r="BK203">
        <v>81597.5</v>
      </c>
      <c r="BL203">
        <v>118941.322</v>
      </c>
      <c r="BM203">
        <v>163981.24299999949</v>
      </c>
      <c r="BN203">
        <v>270486.4050000002</v>
      </c>
      <c r="BO203">
        <v>446888.37399999989</v>
      </c>
      <c r="BP203">
        <v>2814221.66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 x14ac:dyDescent="0.35">
      <c r="A204">
        <v>351352</v>
      </c>
      <c r="B204" t="s">
        <v>259</v>
      </c>
      <c r="C204" t="s">
        <v>260</v>
      </c>
      <c r="D204" s="1">
        <v>45822</v>
      </c>
      <c r="E204">
        <v>53850</v>
      </c>
      <c r="F204">
        <v>191</v>
      </c>
      <c r="G204" t="s">
        <v>173</v>
      </c>
      <c r="H204" t="s">
        <v>262</v>
      </c>
      <c r="I204" t="s">
        <v>48</v>
      </c>
      <c r="L204">
        <v>1913300068122</v>
      </c>
      <c r="M204">
        <v>20250515</v>
      </c>
      <c r="N204" t="s">
        <v>263</v>
      </c>
      <c r="Q204" t="s">
        <v>55</v>
      </c>
      <c r="R204">
        <v>50000</v>
      </c>
      <c r="T204">
        <v>4918280</v>
      </c>
      <c r="U204">
        <v>3480410798</v>
      </c>
      <c r="V204" t="s">
        <v>291</v>
      </c>
      <c r="W204" t="s">
        <v>53</v>
      </c>
      <c r="X204" t="s">
        <v>232</v>
      </c>
      <c r="Y204" t="s">
        <v>49</v>
      </c>
      <c r="AH204">
        <v>0</v>
      </c>
      <c r="AI204">
        <v>202505</v>
      </c>
      <c r="AJ204" t="s">
        <v>162</v>
      </c>
      <c r="AK204">
        <v>1</v>
      </c>
      <c r="AL204">
        <v>1</v>
      </c>
      <c r="AO204">
        <v>0</v>
      </c>
      <c r="AP204">
        <v>999</v>
      </c>
      <c r="AQ204">
        <v>430</v>
      </c>
      <c r="AR204">
        <v>430999</v>
      </c>
      <c r="AT204">
        <v>1</v>
      </c>
      <c r="AU204" t="s">
        <v>54</v>
      </c>
      <c r="AV204">
        <v>25045.55</v>
      </c>
      <c r="AW204">
        <v>26010.331999999999</v>
      </c>
      <c r="AX204">
        <v>27041.058000000001</v>
      </c>
      <c r="AY204">
        <v>28420.708999999999</v>
      </c>
      <c r="AZ204">
        <v>29962.351999999999</v>
      </c>
      <c r="BA204">
        <v>31788.16</v>
      </c>
      <c r="BB204">
        <v>34027.07</v>
      </c>
      <c r="BC204">
        <v>36641.5795</v>
      </c>
      <c r="BD204">
        <v>39840.642</v>
      </c>
      <c r="BE204">
        <v>40000</v>
      </c>
      <c r="BF204">
        <v>41343.269999999997</v>
      </c>
      <c r="BG204">
        <v>44702.324999999997</v>
      </c>
      <c r="BH204">
        <v>49392.076000000001</v>
      </c>
      <c r="BI204">
        <v>58375.907500000008</v>
      </c>
      <c r="BJ204">
        <v>70239.999999999985</v>
      </c>
      <c r="BK204">
        <v>81597.5</v>
      </c>
      <c r="BL204">
        <v>118941.322</v>
      </c>
      <c r="BM204">
        <v>163981.24299999949</v>
      </c>
      <c r="BN204">
        <v>270486.4050000002</v>
      </c>
      <c r="BO204">
        <v>446888.37399999989</v>
      </c>
      <c r="BP204">
        <v>2814221.66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 x14ac:dyDescent="0.35">
      <c r="A205">
        <v>351293</v>
      </c>
      <c r="B205" t="s">
        <v>259</v>
      </c>
      <c r="C205" t="s">
        <v>260</v>
      </c>
      <c r="D205" s="1">
        <v>45822</v>
      </c>
      <c r="E205">
        <v>53850</v>
      </c>
      <c r="F205">
        <v>148</v>
      </c>
      <c r="G205" t="s">
        <v>90</v>
      </c>
      <c r="H205" t="s">
        <v>262</v>
      </c>
      <c r="I205" t="s">
        <v>48</v>
      </c>
      <c r="L205">
        <v>1483300006067</v>
      </c>
      <c r="M205">
        <v>20250527</v>
      </c>
      <c r="N205" t="s">
        <v>263</v>
      </c>
      <c r="Q205" t="s">
        <v>55</v>
      </c>
      <c r="R205">
        <v>36233.43</v>
      </c>
      <c r="T205">
        <v>3737044</v>
      </c>
      <c r="U205">
        <v>15554071009</v>
      </c>
      <c r="V205" t="s">
        <v>282</v>
      </c>
      <c r="W205" t="s">
        <v>53</v>
      </c>
      <c r="X205" t="s">
        <v>283</v>
      </c>
      <c r="Y205" t="s">
        <v>49</v>
      </c>
      <c r="Z205">
        <v>1196</v>
      </c>
      <c r="AH205">
        <v>0</v>
      </c>
      <c r="AI205">
        <v>202505</v>
      </c>
      <c r="AJ205" t="s">
        <v>61</v>
      </c>
      <c r="AK205">
        <v>0</v>
      </c>
      <c r="AL205">
        <v>1</v>
      </c>
      <c r="AO205">
        <v>0</v>
      </c>
      <c r="AP205">
        <v>999</v>
      </c>
      <c r="AQ205">
        <v>430</v>
      </c>
      <c r="AR205">
        <v>430999</v>
      </c>
      <c r="AT205">
        <v>1</v>
      </c>
      <c r="AU205" t="s">
        <v>54</v>
      </c>
      <c r="AV205">
        <v>25045.55</v>
      </c>
      <c r="AW205">
        <v>26010.331999999999</v>
      </c>
      <c r="AX205">
        <v>27041.058000000001</v>
      </c>
      <c r="AY205">
        <v>28420.708999999999</v>
      </c>
      <c r="AZ205">
        <v>29962.351999999999</v>
      </c>
      <c r="BA205">
        <v>31788.16</v>
      </c>
      <c r="BB205">
        <v>34027.07</v>
      </c>
      <c r="BC205">
        <v>36641.5795</v>
      </c>
      <c r="BD205">
        <v>39840.642</v>
      </c>
      <c r="BE205">
        <v>40000</v>
      </c>
      <c r="BF205">
        <v>41343.269999999997</v>
      </c>
      <c r="BG205">
        <v>44702.324999999997</v>
      </c>
      <c r="BH205">
        <v>49392.076000000001</v>
      </c>
      <c r="BI205">
        <v>58375.907500000008</v>
      </c>
      <c r="BJ205">
        <v>70239.999999999985</v>
      </c>
      <c r="BK205">
        <v>81597.5</v>
      </c>
      <c r="BL205">
        <v>118941.322</v>
      </c>
      <c r="BM205">
        <v>163981.24299999949</v>
      </c>
      <c r="BN205">
        <v>270486.4050000002</v>
      </c>
      <c r="BO205">
        <v>446888.37399999989</v>
      </c>
      <c r="BP205">
        <v>2814221.66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 x14ac:dyDescent="0.35">
      <c r="A206">
        <v>351252</v>
      </c>
      <c r="B206" t="s">
        <v>259</v>
      </c>
      <c r="C206" t="s">
        <v>260</v>
      </c>
      <c r="D206" s="1">
        <v>45822</v>
      </c>
      <c r="E206">
        <v>53850</v>
      </c>
      <c r="F206">
        <v>171</v>
      </c>
      <c r="G206" t="s">
        <v>72</v>
      </c>
      <c r="H206" t="s">
        <v>262</v>
      </c>
      <c r="I206" t="s">
        <v>48</v>
      </c>
      <c r="L206">
        <v>1713302213842</v>
      </c>
      <c r="M206">
        <v>20250507</v>
      </c>
      <c r="N206" t="s">
        <v>263</v>
      </c>
      <c r="Q206" t="s">
        <v>55</v>
      </c>
      <c r="R206">
        <v>400000</v>
      </c>
      <c r="T206">
        <v>4148505</v>
      </c>
      <c r="U206">
        <v>5848860721</v>
      </c>
      <c r="V206" t="s">
        <v>171</v>
      </c>
      <c r="W206" t="s">
        <v>53</v>
      </c>
      <c r="X206" t="s">
        <v>85</v>
      </c>
      <c r="Y206" t="s">
        <v>49</v>
      </c>
      <c r="Z206">
        <v>1903</v>
      </c>
      <c r="AH206">
        <v>0</v>
      </c>
      <c r="AI206">
        <v>202505</v>
      </c>
      <c r="AJ206" t="s">
        <v>167</v>
      </c>
      <c r="AK206">
        <v>1</v>
      </c>
      <c r="AL206">
        <v>1</v>
      </c>
      <c r="AO206">
        <v>0</v>
      </c>
      <c r="AP206">
        <v>999</v>
      </c>
      <c r="AQ206">
        <v>430</v>
      </c>
      <c r="AR206">
        <v>430999</v>
      </c>
      <c r="AT206">
        <v>1</v>
      </c>
      <c r="AU206" t="s">
        <v>54</v>
      </c>
      <c r="AV206">
        <v>25045.55</v>
      </c>
      <c r="AW206">
        <v>26010.331999999999</v>
      </c>
      <c r="AX206">
        <v>27041.058000000001</v>
      </c>
      <c r="AY206">
        <v>28420.708999999999</v>
      </c>
      <c r="AZ206">
        <v>29962.351999999999</v>
      </c>
      <c r="BA206">
        <v>31788.16</v>
      </c>
      <c r="BB206">
        <v>34027.07</v>
      </c>
      <c r="BC206">
        <v>36641.5795</v>
      </c>
      <c r="BD206">
        <v>39840.642</v>
      </c>
      <c r="BE206">
        <v>40000</v>
      </c>
      <c r="BF206">
        <v>41343.269999999997</v>
      </c>
      <c r="BG206">
        <v>44702.324999999997</v>
      </c>
      <c r="BH206">
        <v>49392.076000000001</v>
      </c>
      <c r="BI206">
        <v>58375.907500000008</v>
      </c>
      <c r="BJ206">
        <v>70239.999999999985</v>
      </c>
      <c r="BK206">
        <v>81597.5</v>
      </c>
      <c r="BL206">
        <v>118941.322</v>
      </c>
      <c r="BM206">
        <v>163981.24299999949</v>
      </c>
      <c r="BN206">
        <v>270486.4050000002</v>
      </c>
      <c r="BO206">
        <v>446888.37399999989</v>
      </c>
      <c r="BP206">
        <v>2814221.66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0</v>
      </c>
      <c r="CK206">
        <v>0</v>
      </c>
    </row>
    <row r="207" spans="1:89" x14ac:dyDescent="0.35">
      <c r="A207">
        <v>351188</v>
      </c>
      <c r="B207" t="s">
        <v>259</v>
      </c>
      <c r="C207" t="s">
        <v>260</v>
      </c>
      <c r="D207" s="1">
        <v>45822</v>
      </c>
      <c r="E207">
        <v>53850</v>
      </c>
      <c r="F207">
        <v>122</v>
      </c>
      <c r="G207" t="s">
        <v>261</v>
      </c>
      <c r="H207" t="s">
        <v>262</v>
      </c>
      <c r="I207" t="s">
        <v>48</v>
      </c>
      <c r="L207">
        <v>1223300002128</v>
      </c>
      <c r="M207">
        <v>20250528</v>
      </c>
      <c r="N207" t="s">
        <v>263</v>
      </c>
      <c r="Q207" t="s">
        <v>55</v>
      </c>
      <c r="R207">
        <v>26719.7</v>
      </c>
      <c r="T207">
        <v>3711207</v>
      </c>
      <c r="U207">
        <v>8825020723</v>
      </c>
      <c r="V207" t="s">
        <v>264</v>
      </c>
      <c r="W207" t="s">
        <v>53</v>
      </c>
      <c r="X207" t="s">
        <v>57</v>
      </c>
      <c r="Y207" t="s">
        <v>49</v>
      </c>
      <c r="Z207">
        <v>1696</v>
      </c>
      <c r="AH207">
        <v>0</v>
      </c>
      <c r="AI207">
        <v>202505</v>
      </c>
      <c r="AJ207" t="s">
        <v>160</v>
      </c>
      <c r="AK207">
        <v>1</v>
      </c>
      <c r="AL207">
        <v>1</v>
      </c>
      <c r="AO207">
        <v>0</v>
      </c>
      <c r="AP207">
        <v>620</v>
      </c>
      <c r="AQ207">
        <v>430</v>
      </c>
      <c r="AR207">
        <v>430620</v>
      </c>
      <c r="AS207" t="s">
        <v>58</v>
      </c>
      <c r="AU207" t="s">
        <v>58</v>
      </c>
      <c r="AV207">
        <v>25045.55</v>
      </c>
      <c r="AW207">
        <v>26010.331999999999</v>
      </c>
      <c r="AX207">
        <v>27041.058000000001</v>
      </c>
      <c r="AY207">
        <v>28420.708999999999</v>
      </c>
      <c r="AZ207">
        <v>29962.351999999999</v>
      </c>
      <c r="BA207">
        <v>31788.16</v>
      </c>
      <c r="BB207">
        <v>34027.07</v>
      </c>
      <c r="BC207">
        <v>36641.5795</v>
      </c>
      <c r="BD207">
        <v>39840.642</v>
      </c>
      <c r="BE207">
        <v>40000</v>
      </c>
      <c r="BF207">
        <v>41343.269999999997</v>
      </c>
      <c r="BG207">
        <v>44702.324999999997</v>
      </c>
      <c r="BH207">
        <v>49392.076000000001</v>
      </c>
      <c r="BI207">
        <v>58375.907500000008</v>
      </c>
      <c r="BJ207">
        <v>70239.999999999985</v>
      </c>
      <c r="BK207">
        <v>81597.5</v>
      </c>
      <c r="BL207">
        <v>118941.322</v>
      </c>
      <c r="BM207">
        <v>163981.24299999949</v>
      </c>
      <c r="BN207">
        <v>270486.4050000002</v>
      </c>
      <c r="BO207">
        <v>446888.37399999989</v>
      </c>
      <c r="BP207">
        <v>2814221.66</v>
      </c>
      <c r="BQ207">
        <v>1</v>
      </c>
      <c r="BR207">
        <v>1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 x14ac:dyDescent="0.35">
      <c r="A208">
        <v>351084</v>
      </c>
      <c r="B208" t="s">
        <v>259</v>
      </c>
      <c r="C208" t="s">
        <v>260</v>
      </c>
      <c r="D208" s="1">
        <v>45822</v>
      </c>
      <c r="E208">
        <v>53850</v>
      </c>
      <c r="F208">
        <v>122</v>
      </c>
      <c r="G208" t="s">
        <v>261</v>
      </c>
      <c r="H208" t="s">
        <v>262</v>
      </c>
      <c r="I208" t="s">
        <v>48</v>
      </c>
      <c r="L208">
        <v>1223300002128</v>
      </c>
      <c r="M208">
        <v>20250528</v>
      </c>
      <c r="N208" t="s">
        <v>263</v>
      </c>
      <c r="Q208" t="s">
        <v>55</v>
      </c>
      <c r="R208">
        <v>1856796.59</v>
      </c>
      <c r="T208">
        <v>3711207</v>
      </c>
      <c r="U208">
        <v>8825020723</v>
      </c>
      <c r="V208" t="s">
        <v>264</v>
      </c>
      <c r="W208" t="s">
        <v>53</v>
      </c>
      <c r="X208" t="s">
        <v>57</v>
      </c>
      <c r="Y208" t="s">
        <v>49</v>
      </c>
      <c r="Z208">
        <v>1696</v>
      </c>
      <c r="AH208">
        <v>0</v>
      </c>
      <c r="AI208">
        <v>202505</v>
      </c>
      <c r="AJ208" t="s">
        <v>160</v>
      </c>
      <c r="AK208">
        <v>1</v>
      </c>
      <c r="AL208">
        <v>1</v>
      </c>
      <c r="AO208">
        <v>0</v>
      </c>
      <c r="AP208">
        <v>620</v>
      </c>
      <c r="AQ208">
        <v>430</v>
      </c>
      <c r="AR208">
        <v>430620</v>
      </c>
      <c r="AS208" t="s">
        <v>58</v>
      </c>
      <c r="AU208" t="s">
        <v>58</v>
      </c>
      <c r="AV208">
        <v>25045.55</v>
      </c>
      <c r="AW208">
        <v>26010.331999999999</v>
      </c>
      <c r="AX208">
        <v>27041.058000000001</v>
      </c>
      <c r="AY208">
        <v>28420.708999999999</v>
      </c>
      <c r="AZ208">
        <v>29962.351999999999</v>
      </c>
      <c r="BA208">
        <v>31788.16</v>
      </c>
      <c r="BB208">
        <v>34027.07</v>
      </c>
      <c r="BC208">
        <v>36641.5795</v>
      </c>
      <c r="BD208">
        <v>39840.642</v>
      </c>
      <c r="BE208">
        <v>40000</v>
      </c>
      <c r="BF208">
        <v>41343.269999999997</v>
      </c>
      <c r="BG208">
        <v>44702.324999999997</v>
      </c>
      <c r="BH208">
        <v>49392.076000000001</v>
      </c>
      <c r="BI208">
        <v>58375.907500000008</v>
      </c>
      <c r="BJ208">
        <v>70239.999999999985</v>
      </c>
      <c r="BK208">
        <v>81597.5</v>
      </c>
      <c r="BL208">
        <v>118941.322</v>
      </c>
      <c r="BM208">
        <v>163981.24299999949</v>
      </c>
      <c r="BN208">
        <v>270486.4050000002</v>
      </c>
      <c r="BO208">
        <v>446888.37399999989</v>
      </c>
      <c r="BP208">
        <v>2814221.66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0</v>
      </c>
    </row>
    <row r="209" spans="1:89" x14ac:dyDescent="0.35">
      <c r="A209">
        <v>351076</v>
      </c>
      <c r="B209" t="s">
        <v>259</v>
      </c>
      <c r="C209" t="s">
        <v>260</v>
      </c>
      <c r="D209" s="1">
        <v>45822</v>
      </c>
      <c r="E209">
        <v>53850</v>
      </c>
      <c r="F209">
        <v>187</v>
      </c>
      <c r="G209" t="s">
        <v>66</v>
      </c>
      <c r="H209" t="s">
        <v>262</v>
      </c>
      <c r="I209" t="s">
        <v>48</v>
      </c>
      <c r="L209">
        <v>999361870311</v>
      </c>
      <c r="M209">
        <v>20250513</v>
      </c>
      <c r="N209" t="s">
        <v>263</v>
      </c>
      <c r="Q209" t="s">
        <v>55</v>
      </c>
      <c r="R209">
        <v>292408.40999999997</v>
      </c>
      <c r="T209">
        <v>3004644</v>
      </c>
      <c r="U209">
        <v>80008750731</v>
      </c>
      <c r="V209" t="s">
        <v>318</v>
      </c>
      <c r="W209" t="s">
        <v>319</v>
      </c>
      <c r="Y209" t="s">
        <v>49</v>
      </c>
      <c r="Z209">
        <v>1627</v>
      </c>
      <c r="AH209">
        <v>0</v>
      </c>
      <c r="AI209">
        <v>202505</v>
      </c>
      <c r="AJ209" t="s">
        <v>61</v>
      </c>
      <c r="AK209">
        <v>0</v>
      </c>
      <c r="AL209">
        <v>1</v>
      </c>
      <c r="AO209">
        <v>0</v>
      </c>
      <c r="AP209">
        <v>999</v>
      </c>
      <c r="AQ209">
        <v>173</v>
      </c>
      <c r="AR209">
        <v>173999</v>
      </c>
      <c r="AS209" t="s">
        <v>59</v>
      </c>
      <c r="AU209" t="s">
        <v>59</v>
      </c>
      <c r="AV209">
        <v>25045.55</v>
      </c>
      <c r="AW209">
        <v>26010.331999999999</v>
      </c>
      <c r="AX209">
        <v>27041.058000000001</v>
      </c>
      <c r="AY209">
        <v>28420.708999999999</v>
      </c>
      <c r="AZ209">
        <v>29962.351999999999</v>
      </c>
      <c r="BA209">
        <v>31788.16</v>
      </c>
      <c r="BB209">
        <v>34027.07</v>
      </c>
      <c r="BC209">
        <v>36641.5795</v>
      </c>
      <c r="BD209">
        <v>39840.642</v>
      </c>
      <c r="BE209">
        <v>40000</v>
      </c>
      <c r="BF209">
        <v>41343.269999999997</v>
      </c>
      <c r="BG209">
        <v>44702.324999999997</v>
      </c>
      <c r="BH209">
        <v>49392.076000000001</v>
      </c>
      <c r="BI209">
        <v>58375.907500000008</v>
      </c>
      <c r="BJ209">
        <v>70239.999999999985</v>
      </c>
      <c r="BK209">
        <v>81597.5</v>
      </c>
      <c r="BL209">
        <v>118941.322</v>
      </c>
      <c r="BM209">
        <v>163981.24299999949</v>
      </c>
      <c r="BN209">
        <v>270486.4050000002</v>
      </c>
      <c r="BO209">
        <v>446888.37399999989</v>
      </c>
      <c r="BP209">
        <v>2814221.66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0</v>
      </c>
      <c r="CK209">
        <v>0</v>
      </c>
    </row>
    <row r="210" spans="1:89" x14ac:dyDescent="0.35">
      <c r="A210">
        <v>351067</v>
      </c>
      <c r="B210" t="s">
        <v>259</v>
      </c>
      <c r="C210" t="s">
        <v>260</v>
      </c>
      <c r="D210" s="1">
        <v>45822</v>
      </c>
      <c r="E210">
        <v>53850</v>
      </c>
      <c r="F210">
        <v>104</v>
      </c>
      <c r="G210" t="s">
        <v>50</v>
      </c>
      <c r="H210" t="s">
        <v>262</v>
      </c>
      <c r="I210" t="s">
        <v>48</v>
      </c>
      <c r="L210">
        <v>1043309503913</v>
      </c>
      <c r="M210">
        <v>20250516</v>
      </c>
      <c r="N210" t="s">
        <v>263</v>
      </c>
      <c r="Q210" t="s">
        <v>55</v>
      </c>
      <c r="R210">
        <v>53391.13</v>
      </c>
      <c r="T210">
        <v>424944</v>
      </c>
      <c r="U210">
        <v>3454860721</v>
      </c>
      <c r="V210" t="s">
        <v>242</v>
      </c>
      <c r="W210" t="s">
        <v>53</v>
      </c>
      <c r="X210" t="s">
        <v>74</v>
      </c>
      <c r="Y210" t="s">
        <v>49</v>
      </c>
      <c r="Z210">
        <v>1696</v>
      </c>
      <c r="AH210">
        <v>0</v>
      </c>
      <c r="AI210">
        <v>202505</v>
      </c>
      <c r="AJ210" t="s">
        <v>162</v>
      </c>
      <c r="AK210">
        <v>1</v>
      </c>
      <c r="AL210">
        <v>1</v>
      </c>
      <c r="AO210">
        <v>0</v>
      </c>
      <c r="AP210">
        <v>463</v>
      </c>
      <c r="AQ210">
        <v>430</v>
      </c>
      <c r="AR210">
        <v>430463</v>
      </c>
      <c r="AS210" t="s">
        <v>58</v>
      </c>
      <c r="AU210" t="s">
        <v>58</v>
      </c>
      <c r="AV210">
        <v>25045.55</v>
      </c>
      <c r="AW210">
        <v>26010.331999999999</v>
      </c>
      <c r="AX210">
        <v>27041.058000000001</v>
      </c>
      <c r="AY210">
        <v>28420.708999999999</v>
      </c>
      <c r="AZ210">
        <v>29962.351999999999</v>
      </c>
      <c r="BA210">
        <v>31788.16</v>
      </c>
      <c r="BB210">
        <v>34027.07</v>
      </c>
      <c r="BC210">
        <v>36641.5795</v>
      </c>
      <c r="BD210">
        <v>39840.642</v>
      </c>
      <c r="BE210">
        <v>40000</v>
      </c>
      <c r="BF210">
        <v>41343.269999999997</v>
      </c>
      <c r="BG210">
        <v>44702.324999999997</v>
      </c>
      <c r="BH210">
        <v>49392.076000000001</v>
      </c>
      <c r="BI210">
        <v>58375.907500000008</v>
      </c>
      <c r="BJ210">
        <v>70239.999999999985</v>
      </c>
      <c r="BK210">
        <v>81597.5</v>
      </c>
      <c r="BL210">
        <v>118941.322</v>
      </c>
      <c r="BM210">
        <v>163981.24299999949</v>
      </c>
      <c r="BN210">
        <v>270486.4050000002</v>
      </c>
      <c r="BO210">
        <v>446888.37399999989</v>
      </c>
      <c r="BP210">
        <v>2814221.66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 x14ac:dyDescent="0.35">
      <c r="A211">
        <v>350896</v>
      </c>
      <c r="B211" t="s">
        <v>259</v>
      </c>
      <c r="C211" t="s">
        <v>260</v>
      </c>
      <c r="D211" s="1">
        <v>45822</v>
      </c>
      <c r="E211">
        <v>53850</v>
      </c>
      <c r="F211">
        <v>187</v>
      </c>
      <c r="G211" t="s">
        <v>66</v>
      </c>
      <c r="H211" t="s">
        <v>262</v>
      </c>
      <c r="I211" t="s">
        <v>48</v>
      </c>
      <c r="L211">
        <v>999361870311</v>
      </c>
      <c r="M211">
        <v>20250512</v>
      </c>
      <c r="N211" t="s">
        <v>263</v>
      </c>
      <c r="Q211" t="s">
        <v>55</v>
      </c>
      <c r="R211">
        <v>31580.99</v>
      </c>
      <c r="T211">
        <v>3004644</v>
      </c>
      <c r="U211">
        <v>80008750731</v>
      </c>
      <c r="V211" t="s">
        <v>318</v>
      </c>
      <c r="W211" t="s">
        <v>319</v>
      </c>
      <c r="Y211" t="s">
        <v>49</v>
      </c>
      <c r="Z211">
        <v>1627</v>
      </c>
      <c r="AH211">
        <v>0</v>
      </c>
      <c r="AI211">
        <v>202505</v>
      </c>
      <c r="AJ211" t="s">
        <v>61</v>
      </c>
      <c r="AK211">
        <v>0</v>
      </c>
      <c r="AL211">
        <v>1</v>
      </c>
      <c r="AO211">
        <v>0</v>
      </c>
      <c r="AP211">
        <v>999</v>
      </c>
      <c r="AQ211">
        <v>173</v>
      </c>
      <c r="AR211">
        <v>173999</v>
      </c>
      <c r="AS211" t="s">
        <v>59</v>
      </c>
      <c r="AU211" t="s">
        <v>59</v>
      </c>
      <c r="AV211">
        <v>25045.55</v>
      </c>
      <c r="AW211">
        <v>26010.331999999999</v>
      </c>
      <c r="AX211">
        <v>27041.058000000001</v>
      </c>
      <c r="AY211">
        <v>28420.708999999999</v>
      </c>
      <c r="AZ211">
        <v>29962.351999999999</v>
      </c>
      <c r="BA211">
        <v>31788.16</v>
      </c>
      <c r="BB211">
        <v>34027.07</v>
      </c>
      <c r="BC211">
        <v>36641.5795</v>
      </c>
      <c r="BD211">
        <v>39840.642</v>
      </c>
      <c r="BE211">
        <v>40000</v>
      </c>
      <c r="BF211">
        <v>41343.269999999997</v>
      </c>
      <c r="BG211">
        <v>44702.324999999997</v>
      </c>
      <c r="BH211">
        <v>49392.076000000001</v>
      </c>
      <c r="BI211">
        <v>58375.907500000008</v>
      </c>
      <c r="BJ211">
        <v>70239.999999999985</v>
      </c>
      <c r="BK211">
        <v>81597.5</v>
      </c>
      <c r="BL211">
        <v>118941.322</v>
      </c>
      <c r="BM211">
        <v>163981.24299999949</v>
      </c>
      <c r="BN211">
        <v>270486.4050000002</v>
      </c>
      <c r="BO211">
        <v>446888.37399999989</v>
      </c>
      <c r="BP211">
        <v>2814221.66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 x14ac:dyDescent="0.35">
      <c r="A212">
        <v>350847</v>
      </c>
      <c r="B212" t="s">
        <v>259</v>
      </c>
      <c r="C212" t="s">
        <v>260</v>
      </c>
      <c r="D212" s="1">
        <v>45822</v>
      </c>
      <c r="E212">
        <v>53850</v>
      </c>
      <c r="F212">
        <v>128</v>
      </c>
      <c r="G212" t="s">
        <v>91</v>
      </c>
      <c r="H212" t="s">
        <v>262</v>
      </c>
      <c r="I212" t="s">
        <v>48</v>
      </c>
      <c r="L212">
        <v>1283300003276</v>
      </c>
      <c r="M212">
        <v>20250523</v>
      </c>
      <c r="N212" t="s">
        <v>263</v>
      </c>
      <c r="Q212" t="s">
        <v>55</v>
      </c>
      <c r="R212">
        <v>36600</v>
      </c>
      <c r="T212">
        <v>4804234</v>
      </c>
      <c r="U212">
        <v>7652810727</v>
      </c>
      <c r="V212" t="s">
        <v>332</v>
      </c>
      <c r="W212" t="s">
        <v>53</v>
      </c>
      <c r="X212" t="s">
        <v>333</v>
      </c>
      <c r="Y212" t="s">
        <v>49</v>
      </c>
      <c r="Z212">
        <v>462</v>
      </c>
      <c r="AH212">
        <v>0</v>
      </c>
      <c r="AI212">
        <v>202505</v>
      </c>
      <c r="AJ212" t="s">
        <v>61</v>
      </c>
      <c r="AK212">
        <v>0</v>
      </c>
      <c r="AL212">
        <v>1</v>
      </c>
      <c r="AO212">
        <v>0</v>
      </c>
      <c r="AP212">
        <v>999</v>
      </c>
      <c r="AQ212">
        <v>430</v>
      </c>
      <c r="AR212">
        <v>430999</v>
      </c>
      <c r="AT212">
        <v>1</v>
      </c>
      <c r="AU212" t="s">
        <v>54</v>
      </c>
      <c r="AV212">
        <v>25045.55</v>
      </c>
      <c r="AW212">
        <v>26010.331999999999</v>
      </c>
      <c r="AX212">
        <v>27041.058000000001</v>
      </c>
      <c r="AY212">
        <v>28420.708999999999</v>
      </c>
      <c r="AZ212">
        <v>29962.351999999999</v>
      </c>
      <c r="BA212">
        <v>31788.16</v>
      </c>
      <c r="BB212">
        <v>34027.07</v>
      </c>
      <c r="BC212">
        <v>36641.5795</v>
      </c>
      <c r="BD212">
        <v>39840.642</v>
      </c>
      <c r="BE212">
        <v>40000</v>
      </c>
      <c r="BF212">
        <v>41343.269999999997</v>
      </c>
      <c r="BG212">
        <v>44702.324999999997</v>
      </c>
      <c r="BH212">
        <v>49392.076000000001</v>
      </c>
      <c r="BI212">
        <v>58375.907500000008</v>
      </c>
      <c r="BJ212">
        <v>70239.999999999985</v>
      </c>
      <c r="BK212">
        <v>81597.5</v>
      </c>
      <c r="BL212">
        <v>118941.322</v>
      </c>
      <c r="BM212">
        <v>163981.24299999949</v>
      </c>
      <c r="BN212">
        <v>270486.4050000002</v>
      </c>
      <c r="BO212">
        <v>446888.37399999989</v>
      </c>
      <c r="BP212">
        <v>2814221.66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 x14ac:dyDescent="0.35">
      <c r="A213">
        <v>350828</v>
      </c>
      <c r="B213" t="s">
        <v>259</v>
      </c>
      <c r="C213" t="s">
        <v>260</v>
      </c>
      <c r="D213" s="1">
        <v>45822</v>
      </c>
      <c r="E213">
        <v>53850</v>
      </c>
      <c r="F213">
        <v>268</v>
      </c>
      <c r="G213" t="s">
        <v>168</v>
      </c>
      <c r="H213" t="s">
        <v>262</v>
      </c>
      <c r="I213" t="s">
        <v>48</v>
      </c>
      <c r="L213">
        <v>2683300010038</v>
      </c>
      <c r="M213">
        <v>20250523</v>
      </c>
      <c r="N213" t="s">
        <v>263</v>
      </c>
      <c r="Q213" t="s">
        <v>55</v>
      </c>
      <c r="R213">
        <v>99150.27</v>
      </c>
      <c r="T213">
        <v>1604219</v>
      </c>
      <c r="U213">
        <v>952850790</v>
      </c>
      <c r="V213" t="s">
        <v>281</v>
      </c>
      <c r="W213" t="s">
        <v>53</v>
      </c>
      <c r="X213" t="s">
        <v>232</v>
      </c>
      <c r="Y213" t="s">
        <v>49</v>
      </c>
      <c r="Z213">
        <v>1627</v>
      </c>
      <c r="AH213">
        <v>0</v>
      </c>
      <c r="AI213">
        <v>202505</v>
      </c>
      <c r="AJ213" t="s">
        <v>160</v>
      </c>
      <c r="AK213">
        <v>1</v>
      </c>
      <c r="AL213">
        <v>1</v>
      </c>
      <c r="AO213">
        <v>0</v>
      </c>
      <c r="AP213">
        <v>999</v>
      </c>
      <c r="AQ213">
        <v>430</v>
      </c>
      <c r="AR213">
        <v>430999</v>
      </c>
      <c r="AT213">
        <v>1</v>
      </c>
      <c r="AU213" t="s">
        <v>54</v>
      </c>
      <c r="AV213">
        <v>25045.55</v>
      </c>
      <c r="AW213">
        <v>26010.331999999999</v>
      </c>
      <c r="AX213">
        <v>27041.058000000001</v>
      </c>
      <c r="AY213">
        <v>28420.708999999999</v>
      </c>
      <c r="AZ213">
        <v>29962.351999999999</v>
      </c>
      <c r="BA213">
        <v>31788.16</v>
      </c>
      <c r="BB213">
        <v>34027.07</v>
      </c>
      <c r="BC213">
        <v>36641.5795</v>
      </c>
      <c r="BD213">
        <v>39840.642</v>
      </c>
      <c r="BE213">
        <v>40000</v>
      </c>
      <c r="BF213">
        <v>41343.269999999997</v>
      </c>
      <c r="BG213">
        <v>44702.324999999997</v>
      </c>
      <c r="BH213">
        <v>49392.076000000001</v>
      </c>
      <c r="BI213">
        <v>58375.907500000008</v>
      </c>
      <c r="BJ213">
        <v>70239.999999999985</v>
      </c>
      <c r="BK213">
        <v>81597.5</v>
      </c>
      <c r="BL213">
        <v>118941.322</v>
      </c>
      <c r="BM213">
        <v>163981.24299999949</v>
      </c>
      <c r="BN213">
        <v>270486.4050000002</v>
      </c>
      <c r="BO213">
        <v>446888.37399999989</v>
      </c>
      <c r="BP213">
        <v>2814221.66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 x14ac:dyDescent="0.35">
      <c r="A214">
        <v>350748</v>
      </c>
      <c r="B214" t="s">
        <v>259</v>
      </c>
      <c r="C214" t="s">
        <v>260</v>
      </c>
      <c r="D214" s="1">
        <v>45822</v>
      </c>
      <c r="E214">
        <v>53850</v>
      </c>
      <c r="F214">
        <v>122</v>
      </c>
      <c r="G214" t="s">
        <v>261</v>
      </c>
      <c r="H214" t="s">
        <v>262</v>
      </c>
      <c r="I214" t="s">
        <v>48</v>
      </c>
      <c r="L214">
        <v>1223300001682</v>
      </c>
      <c r="M214">
        <v>20250529</v>
      </c>
      <c r="N214" t="s">
        <v>263</v>
      </c>
      <c r="Q214" t="s">
        <v>55</v>
      </c>
      <c r="R214">
        <v>1252933.6200000001</v>
      </c>
      <c r="T214">
        <v>3711207</v>
      </c>
      <c r="U214">
        <v>8825020723</v>
      </c>
      <c r="V214" t="s">
        <v>264</v>
      </c>
      <c r="W214" t="s">
        <v>53</v>
      </c>
      <c r="X214" t="s">
        <v>57</v>
      </c>
      <c r="Y214" t="s">
        <v>49</v>
      </c>
      <c r="Z214">
        <v>1696</v>
      </c>
      <c r="AH214">
        <v>0</v>
      </c>
      <c r="AI214">
        <v>202505</v>
      </c>
      <c r="AJ214" t="s">
        <v>160</v>
      </c>
      <c r="AK214">
        <v>1</v>
      </c>
      <c r="AL214">
        <v>1</v>
      </c>
      <c r="AO214">
        <v>0</v>
      </c>
      <c r="AP214">
        <v>620</v>
      </c>
      <c r="AQ214">
        <v>430</v>
      </c>
      <c r="AR214">
        <v>430620</v>
      </c>
      <c r="AS214" t="s">
        <v>58</v>
      </c>
      <c r="AU214" t="s">
        <v>58</v>
      </c>
      <c r="AV214">
        <v>25045.55</v>
      </c>
      <c r="AW214">
        <v>26010.331999999999</v>
      </c>
      <c r="AX214">
        <v>27041.058000000001</v>
      </c>
      <c r="AY214">
        <v>28420.708999999999</v>
      </c>
      <c r="AZ214">
        <v>29962.351999999999</v>
      </c>
      <c r="BA214">
        <v>31788.16</v>
      </c>
      <c r="BB214">
        <v>34027.07</v>
      </c>
      <c r="BC214">
        <v>36641.5795</v>
      </c>
      <c r="BD214">
        <v>39840.642</v>
      </c>
      <c r="BE214">
        <v>40000</v>
      </c>
      <c r="BF214">
        <v>41343.269999999997</v>
      </c>
      <c r="BG214">
        <v>44702.324999999997</v>
      </c>
      <c r="BH214">
        <v>49392.076000000001</v>
      </c>
      <c r="BI214">
        <v>58375.907500000008</v>
      </c>
      <c r="BJ214">
        <v>70239.999999999985</v>
      </c>
      <c r="BK214">
        <v>81597.5</v>
      </c>
      <c r="BL214">
        <v>118941.322</v>
      </c>
      <c r="BM214">
        <v>163981.24299999949</v>
      </c>
      <c r="BN214">
        <v>270486.4050000002</v>
      </c>
      <c r="BO214">
        <v>446888.37399999989</v>
      </c>
      <c r="BP214">
        <v>2814221.66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0</v>
      </c>
    </row>
    <row r="215" spans="1:89" x14ac:dyDescent="0.35">
      <c r="A215">
        <v>350691</v>
      </c>
      <c r="B215" t="s">
        <v>259</v>
      </c>
      <c r="C215" t="s">
        <v>260</v>
      </c>
      <c r="D215" s="1">
        <v>45822</v>
      </c>
      <c r="E215">
        <v>53850</v>
      </c>
      <c r="F215">
        <v>141</v>
      </c>
      <c r="G215" t="s">
        <v>76</v>
      </c>
      <c r="H215" t="s">
        <v>262</v>
      </c>
      <c r="I215" t="s">
        <v>48</v>
      </c>
      <c r="L215">
        <v>1413300003347</v>
      </c>
      <c r="M215">
        <v>20250515</v>
      </c>
      <c r="N215" t="s">
        <v>263</v>
      </c>
      <c r="Q215" t="s">
        <v>55</v>
      </c>
      <c r="R215">
        <v>182691.95</v>
      </c>
      <c r="T215">
        <v>4835947</v>
      </c>
      <c r="U215">
        <v>3351210756</v>
      </c>
      <c r="V215" t="s">
        <v>324</v>
      </c>
      <c r="W215" t="s">
        <v>53</v>
      </c>
      <c r="X215" t="s">
        <v>57</v>
      </c>
      <c r="Y215" t="s">
        <v>49</v>
      </c>
      <c r="Z215">
        <v>1627</v>
      </c>
      <c r="AH215">
        <v>0</v>
      </c>
      <c r="AI215">
        <v>202505</v>
      </c>
      <c r="AJ215" t="s">
        <v>61</v>
      </c>
      <c r="AK215">
        <v>0</v>
      </c>
      <c r="AL215">
        <v>1</v>
      </c>
      <c r="AO215">
        <v>0</v>
      </c>
      <c r="AP215">
        <v>620</v>
      </c>
      <c r="AQ215">
        <v>430</v>
      </c>
      <c r="AR215">
        <v>430620</v>
      </c>
      <c r="AS215" t="s">
        <v>58</v>
      </c>
      <c r="AU215" t="s">
        <v>58</v>
      </c>
      <c r="AV215">
        <v>25045.55</v>
      </c>
      <c r="AW215">
        <v>26010.331999999999</v>
      </c>
      <c r="AX215">
        <v>27041.058000000001</v>
      </c>
      <c r="AY215">
        <v>28420.708999999999</v>
      </c>
      <c r="AZ215">
        <v>29962.351999999999</v>
      </c>
      <c r="BA215">
        <v>31788.16</v>
      </c>
      <c r="BB215">
        <v>34027.07</v>
      </c>
      <c r="BC215">
        <v>36641.5795</v>
      </c>
      <c r="BD215">
        <v>39840.642</v>
      </c>
      <c r="BE215">
        <v>40000</v>
      </c>
      <c r="BF215">
        <v>41343.269999999997</v>
      </c>
      <c r="BG215">
        <v>44702.324999999997</v>
      </c>
      <c r="BH215">
        <v>49392.076000000001</v>
      </c>
      <c r="BI215">
        <v>58375.907500000008</v>
      </c>
      <c r="BJ215">
        <v>70239.999999999985</v>
      </c>
      <c r="BK215">
        <v>81597.5</v>
      </c>
      <c r="BL215">
        <v>118941.322</v>
      </c>
      <c r="BM215">
        <v>163981.24299999949</v>
      </c>
      <c r="BN215">
        <v>270486.4050000002</v>
      </c>
      <c r="BO215">
        <v>446888.37399999989</v>
      </c>
      <c r="BP215">
        <v>2814221.66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0</v>
      </c>
      <c r="CJ215">
        <v>0</v>
      </c>
      <c r="CK215">
        <v>0</v>
      </c>
    </row>
    <row r="216" spans="1:89" x14ac:dyDescent="0.35">
      <c r="A216">
        <v>350653</v>
      </c>
      <c r="B216" t="s">
        <v>259</v>
      </c>
      <c r="C216" t="s">
        <v>260</v>
      </c>
      <c r="D216" s="1">
        <v>45822</v>
      </c>
      <c r="E216">
        <v>53850</v>
      </c>
      <c r="F216">
        <v>117</v>
      </c>
      <c r="G216" t="s">
        <v>336</v>
      </c>
      <c r="H216" t="s">
        <v>262</v>
      </c>
      <c r="I216" t="s">
        <v>48</v>
      </c>
      <c r="L216">
        <v>1173300539106</v>
      </c>
      <c r="M216">
        <v>20250520</v>
      </c>
      <c r="N216" t="s">
        <v>263</v>
      </c>
      <c r="Q216" t="s">
        <v>55</v>
      </c>
      <c r="R216">
        <v>28251.78</v>
      </c>
      <c r="T216">
        <v>4859514</v>
      </c>
      <c r="U216" t="s">
        <v>337</v>
      </c>
      <c r="V216" t="s">
        <v>338</v>
      </c>
      <c r="W216" t="s">
        <v>64</v>
      </c>
      <c r="X216" t="s">
        <v>339</v>
      </c>
      <c r="Y216" t="s">
        <v>49</v>
      </c>
      <c r="Z216">
        <v>1772</v>
      </c>
      <c r="AH216">
        <v>0</v>
      </c>
      <c r="AI216">
        <v>202505</v>
      </c>
      <c r="AJ216" t="s">
        <v>160</v>
      </c>
      <c r="AK216">
        <v>1</v>
      </c>
      <c r="AL216">
        <v>1</v>
      </c>
      <c r="AO216">
        <v>0</v>
      </c>
      <c r="AP216">
        <v>999</v>
      </c>
      <c r="AQ216">
        <v>615</v>
      </c>
      <c r="AR216">
        <v>615999</v>
      </c>
      <c r="AT216">
        <v>1</v>
      </c>
      <c r="AU216" t="s">
        <v>58</v>
      </c>
      <c r="AV216">
        <v>25045.55</v>
      </c>
      <c r="AW216">
        <v>26010.331999999999</v>
      </c>
      <c r="AX216">
        <v>27041.058000000001</v>
      </c>
      <c r="AY216">
        <v>28420.708999999999</v>
      </c>
      <c r="AZ216">
        <v>29962.351999999999</v>
      </c>
      <c r="BA216">
        <v>31788.16</v>
      </c>
      <c r="BB216">
        <v>34027.07</v>
      </c>
      <c r="BC216">
        <v>36641.5795</v>
      </c>
      <c r="BD216">
        <v>39840.642</v>
      </c>
      <c r="BE216">
        <v>40000</v>
      </c>
      <c r="BF216">
        <v>41343.269999999997</v>
      </c>
      <c r="BG216">
        <v>44702.324999999997</v>
      </c>
      <c r="BH216">
        <v>49392.076000000001</v>
      </c>
      <c r="BI216">
        <v>58375.907500000008</v>
      </c>
      <c r="BJ216">
        <v>70239.999999999985</v>
      </c>
      <c r="BK216">
        <v>81597.5</v>
      </c>
      <c r="BL216">
        <v>118941.322</v>
      </c>
      <c r="BM216">
        <v>163981.24299999949</v>
      </c>
      <c r="BN216">
        <v>270486.4050000002</v>
      </c>
      <c r="BO216">
        <v>446888.37399999989</v>
      </c>
      <c r="BP216">
        <v>2814221.66</v>
      </c>
      <c r="BQ216">
        <v>1</v>
      </c>
      <c r="BR216">
        <v>1</v>
      </c>
      <c r="BS216">
        <v>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 x14ac:dyDescent="0.35">
      <c r="A217">
        <v>350576</v>
      </c>
      <c r="B217" t="s">
        <v>259</v>
      </c>
      <c r="C217" t="s">
        <v>260</v>
      </c>
      <c r="D217" s="1">
        <v>45822</v>
      </c>
      <c r="E217">
        <v>53850</v>
      </c>
      <c r="F217">
        <v>148</v>
      </c>
      <c r="G217" t="s">
        <v>90</v>
      </c>
      <c r="H217" t="s">
        <v>262</v>
      </c>
      <c r="I217" t="s">
        <v>48</v>
      </c>
      <c r="L217">
        <v>1483300006067</v>
      </c>
      <c r="M217">
        <v>20250522</v>
      </c>
      <c r="N217" t="s">
        <v>263</v>
      </c>
      <c r="Q217" t="s">
        <v>55</v>
      </c>
      <c r="R217">
        <v>40000</v>
      </c>
      <c r="T217">
        <v>3737044</v>
      </c>
      <c r="U217">
        <v>15554071009</v>
      </c>
      <c r="V217" t="s">
        <v>282</v>
      </c>
      <c r="W217" t="s">
        <v>53</v>
      </c>
      <c r="X217" t="s">
        <v>283</v>
      </c>
      <c r="Y217" t="s">
        <v>49</v>
      </c>
      <c r="Z217">
        <v>1196</v>
      </c>
      <c r="AH217">
        <v>0</v>
      </c>
      <c r="AI217">
        <v>202505</v>
      </c>
      <c r="AJ217" t="s">
        <v>61</v>
      </c>
      <c r="AK217">
        <v>0</v>
      </c>
      <c r="AL217">
        <v>1</v>
      </c>
      <c r="AO217">
        <v>0</v>
      </c>
      <c r="AP217">
        <v>999</v>
      </c>
      <c r="AQ217">
        <v>430</v>
      </c>
      <c r="AR217">
        <v>430999</v>
      </c>
      <c r="AT217">
        <v>1</v>
      </c>
      <c r="AU217" t="s">
        <v>54</v>
      </c>
      <c r="AV217">
        <v>25045.55</v>
      </c>
      <c r="AW217">
        <v>26010.331999999999</v>
      </c>
      <c r="AX217">
        <v>27041.058000000001</v>
      </c>
      <c r="AY217">
        <v>28420.708999999999</v>
      </c>
      <c r="AZ217">
        <v>29962.351999999999</v>
      </c>
      <c r="BA217">
        <v>31788.16</v>
      </c>
      <c r="BB217">
        <v>34027.07</v>
      </c>
      <c r="BC217">
        <v>36641.5795</v>
      </c>
      <c r="BD217">
        <v>39840.642</v>
      </c>
      <c r="BE217">
        <v>40000</v>
      </c>
      <c r="BF217">
        <v>41343.269999999997</v>
      </c>
      <c r="BG217">
        <v>44702.324999999997</v>
      </c>
      <c r="BH217">
        <v>49392.076000000001</v>
      </c>
      <c r="BI217">
        <v>58375.907500000008</v>
      </c>
      <c r="BJ217">
        <v>70239.999999999985</v>
      </c>
      <c r="BK217">
        <v>81597.5</v>
      </c>
      <c r="BL217">
        <v>118941.322</v>
      </c>
      <c r="BM217">
        <v>163981.24299999949</v>
      </c>
      <c r="BN217">
        <v>270486.4050000002</v>
      </c>
      <c r="BO217">
        <v>446888.37399999989</v>
      </c>
      <c r="BP217">
        <v>2814221.66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 x14ac:dyDescent="0.35">
      <c r="A218">
        <v>350521</v>
      </c>
      <c r="B218" t="s">
        <v>259</v>
      </c>
      <c r="C218" t="s">
        <v>260</v>
      </c>
      <c r="D218" s="1">
        <v>45822</v>
      </c>
      <c r="E218">
        <v>53850</v>
      </c>
      <c r="F218">
        <v>261</v>
      </c>
      <c r="G218" t="s">
        <v>78</v>
      </c>
      <c r="H218" t="s">
        <v>262</v>
      </c>
      <c r="I218" t="s">
        <v>48</v>
      </c>
      <c r="L218">
        <v>2613300000185</v>
      </c>
      <c r="M218">
        <v>20250502</v>
      </c>
      <c r="N218" t="s">
        <v>263</v>
      </c>
      <c r="Q218" t="s">
        <v>55</v>
      </c>
      <c r="R218">
        <v>70000</v>
      </c>
      <c r="T218">
        <v>1603119</v>
      </c>
      <c r="U218">
        <v>941080707</v>
      </c>
      <c r="V218" t="s">
        <v>331</v>
      </c>
      <c r="W218" t="s">
        <v>53</v>
      </c>
      <c r="X218" t="s">
        <v>269</v>
      </c>
      <c r="Y218" t="s">
        <v>49</v>
      </c>
      <c r="Z218">
        <v>1856</v>
      </c>
      <c r="AH218">
        <v>0</v>
      </c>
      <c r="AI218">
        <v>202505</v>
      </c>
      <c r="AJ218" t="s">
        <v>51</v>
      </c>
      <c r="AK218">
        <v>0</v>
      </c>
      <c r="AL218">
        <v>1</v>
      </c>
      <c r="AO218">
        <v>0</v>
      </c>
      <c r="AP218">
        <v>999</v>
      </c>
      <c r="AQ218">
        <v>430</v>
      </c>
      <c r="AR218">
        <v>430999</v>
      </c>
      <c r="AT218">
        <v>1</v>
      </c>
      <c r="AU218" t="s">
        <v>54</v>
      </c>
      <c r="AV218">
        <v>25045.55</v>
      </c>
      <c r="AW218">
        <v>26010.331999999999</v>
      </c>
      <c r="AX218">
        <v>27041.058000000001</v>
      </c>
      <c r="AY218">
        <v>28420.708999999999</v>
      </c>
      <c r="AZ218">
        <v>29962.351999999999</v>
      </c>
      <c r="BA218">
        <v>31788.16</v>
      </c>
      <c r="BB218">
        <v>34027.07</v>
      </c>
      <c r="BC218">
        <v>36641.5795</v>
      </c>
      <c r="BD218">
        <v>39840.642</v>
      </c>
      <c r="BE218">
        <v>40000</v>
      </c>
      <c r="BF218">
        <v>41343.269999999997</v>
      </c>
      <c r="BG218">
        <v>44702.324999999997</v>
      </c>
      <c r="BH218">
        <v>49392.076000000001</v>
      </c>
      <c r="BI218">
        <v>58375.907500000008</v>
      </c>
      <c r="BJ218">
        <v>70239.999999999985</v>
      </c>
      <c r="BK218">
        <v>81597.5</v>
      </c>
      <c r="BL218">
        <v>118941.322</v>
      </c>
      <c r="BM218">
        <v>163981.24299999949</v>
      </c>
      <c r="BN218">
        <v>270486.4050000002</v>
      </c>
      <c r="BO218">
        <v>446888.37399999989</v>
      </c>
      <c r="BP218">
        <v>2814221.66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 x14ac:dyDescent="0.35">
      <c r="A219">
        <v>350518</v>
      </c>
      <c r="B219" t="s">
        <v>259</v>
      </c>
      <c r="C219" t="s">
        <v>260</v>
      </c>
      <c r="D219" s="1">
        <v>45822</v>
      </c>
      <c r="E219">
        <v>53850</v>
      </c>
      <c r="F219">
        <v>137</v>
      </c>
      <c r="G219" t="s">
        <v>71</v>
      </c>
      <c r="H219" t="s">
        <v>262</v>
      </c>
      <c r="I219" t="s">
        <v>48</v>
      </c>
      <c r="L219">
        <v>1373300006051</v>
      </c>
      <c r="M219">
        <v>20250513</v>
      </c>
      <c r="N219" t="s">
        <v>263</v>
      </c>
      <c r="Q219" t="s">
        <v>55</v>
      </c>
      <c r="R219">
        <v>31925</v>
      </c>
      <c r="T219">
        <v>3742657</v>
      </c>
      <c r="U219">
        <v>1855700702</v>
      </c>
      <c r="V219" t="s">
        <v>340</v>
      </c>
      <c r="W219" t="s">
        <v>53</v>
      </c>
      <c r="X219" t="s">
        <v>177</v>
      </c>
      <c r="Y219" t="s">
        <v>49</v>
      </c>
      <c r="Z219">
        <v>1867</v>
      </c>
      <c r="AH219">
        <v>0</v>
      </c>
      <c r="AI219">
        <v>202505</v>
      </c>
      <c r="AJ219" t="s">
        <v>61</v>
      </c>
      <c r="AK219">
        <v>0</v>
      </c>
      <c r="AL219">
        <v>1</v>
      </c>
      <c r="AO219">
        <v>0</v>
      </c>
      <c r="AP219">
        <v>451</v>
      </c>
      <c r="AQ219">
        <v>430</v>
      </c>
      <c r="AR219">
        <v>430451</v>
      </c>
      <c r="AS219" t="s">
        <v>58</v>
      </c>
      <c r="AU219" t="s">
        <v>58</v>
      </c>
      <c r="AV219">
        <v>25045.55</v>
      </c>
      <c r="AW219">
        <v>26010.331999999999</v>
      </c>
      <c r="AX219">
        <v>27041.058000000001</v>
      </c>
      <c r="AY219">
        <v>28420.708999999999</v>
      </c>
      <c r="AZ219">
        <v>29962.351999999999</v>
      </c>
      <c r="BA219">
        <v>31788.16</v>
      </c>
      <c r="BB219">
        <v>34027.07</v>
      </c>
      <c r="BC219">
        <v>36641.5795</v>
      </c>
      <c r="BD219">
        <v>39840.642</v>
      </c>
      <c r="BE219">
        <v>40000</v>
      </c>
      <c r="BF219">
        <v>41343.269999999997</v>
      </c>
      <c r="BG219">
        <v>44702.324999999997</v>
      </c>
      <c r="BH219">
        <v>49392.076000000001</v>
      </c>
      <c r="BI219">
        <v>58375.907500000008</v>
      </c>
      <c r="BJ219">
        <v>70239.999999999985</v>
      </c>
      <c r="BK219">
        <v>81597.5</v>
      </c>
      <c r="BL219">
        <v>118941.322</v>
      </c>
      <c r="BM219">
        <v>163981.24299999949</v>
      </c>
      <c r="BN219">
        <v>270486.4050000002</v>
      </c>
      <c r="BO219">
        <v>446888.37399999989</v>
      </c>
      <c r="BP219">
        <v>2814221.66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 x14ac:dyDescent="0.35">
      <c r="A220">
        <v>350469</v>
      </c>
      <c r="B220" t="s">
        <v>259</v>
      </c>
      <c r="C220" t="s">
        <v>260</v>
      </c>
      <c r="D220" s="1">
        <v>45822</v>
      </c>
      <c r="E220">
        <v>53850</v>
      </c>
      <c r="F220">
        <v>161</v>
      </c>
      <c r="G220" t="s">
        <v>298</v>
      </c>
      <c r="H220" t="s">
        <v>262</v>
      </c>
      <c r="I220" t="s">
        <v>48</v>
      </c>
      <c r="L220">
        <v>1613300032597</v>
      </c>
      <c r="M220">
        <v>20250519</v>
      </c>
      <c r="N220" t="s">
        <v>263</v>
      </c>
      <c r="Q220" t="s">
        <v>55</v>
      </c>
      <c r="R220">
        <v>299847.46999999997</v>
      </c>
      <c r="T220">
        <v>4848422</v>
      </c>
      <c r="U220">
        <v>7580050727</v>
      </c>
      <c r="V220" t="s">
        <v>316</v>
      </c>
      <c r="W220" t="s">
        <v>317</v>
      </c>
      <c r="X220" t="s">
        <v>229</v>
      </c>
      <c r="Y220" t="s">
        <v>49</v>
      </c>
      <c r="Z220">
        <v>1903</v>
      </c>
      <c r="AH220">
        <v>0</v>
      </c>
      <c r="AI220">
        <v>202505</v>
      </c>
      <c r="AJ220" t="s">
        <v>61</v>
      </c>
      <c r="AK220">
        <v>0</v>
      </c>
      <c r="AL220">
        <v>1</v>
      </c>
      <c r="AO220">
        <v>0</v>
      </c>
      <c r="AP220">
        <v>999</v>
      </c>
      <c r="AQ220">
        <v>491</v>
      </c>
      <c r="AR220">
        <v>491999</v>
      </c>
      <c r="AT220">
        <v>1</v>
      </c>
      <c r="AU220" t="s">
        <v>62</v>
      </c>
      <c r="AV220">
        <v>25045.55</v>
      </c>
      <c r="AW220">
        <v>26010.331999999999</v>
      </c>
      <c r="AX220">
        <v>27041.058000000001</v>
      </c>
      <c r="AY220">
        <v>28420.708999999999</v>
      </c>
      <c r="AZ220">
        <v>29962.351999999999</v>
      </c>
      <c r="BA220">
        <v>31788.16</v>
      </c>
      <c r="BB220">
        <v>34027.07</v>
      </c>
      <c r="BC220">
        <v>36641.5795</v>
      </c>
      <c r="BD220">
        <v>39840.642</v>
      </c>
      <c r="BE220">
        <v>40000</v>
      </c>
      <c r="BF220">
        <v>41343.269999999997</v>
      </c>
      <c r="BG220">
        <v>44702.324999999997</v>
      </c>
      <c r="BH220">
        <v>49392.076000000001</v>
      </c>
      <c r="BI220">
        <v>58375.907500000008</v>
      </c>
      <c r="BJ220">
        <v>70239.999999999985</v>
      </c>
      <c r="BK220">
        <v>81597.5</v>
      </c>
      <c r="BL220">
        <v>118941.322</v>
      </c>
      <c r="BM220">
        <v>163981.24299999949</v>
      </c>
      <c r="BN220">
        <v>270486.4050000002</v>
      </c>
      <c r="BO220">
        <v>446888.37399999989</v>
      </c>
      <c r="BP220">
        <v>2814221.66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0</v>
      </c>
      <c r="CK220">
        <v>0</v>
      </c>
    </row>
    <row r="221" spans="1:89" x14ac:dyDescent="0.35">
      <c r="A221">
        <v>350364</v>
      </c>
      <c r="B221" t="s">
        <v>259</v>
      </c>
      <c r="C221" t="s">
        <v>260</v>
      </c>
      <c r="D221" s="1">
        <v>45822</v>
      </c>
      <c r="E221">
        <v>53850</v>
      </c>
      <c r="F221">
        <v>153</v>
      </c>
      <c r="G221" t="s">
        <v>81</v>
      </c>
      <c r="H221" t="s">
        <v>262</v>
      </c>
      <c r="I221" t="s">
        <v>48</v>
      </c>
      <c r="L221">
        <v>1533300663959</v>
      </c>
      <c r="M221">
        <v>20250505</v>
      </c>
      <c r="N221" t="s">
        <v>263</v>
      </c>
      <c r="Q221" t="s">
        <v>55</v>
      </c>
      <c r="R221">
        <v>37951.49</v>
      </c>
      <c r="T221">
        <v>3721097</v>
      </c>
      <c r="U221">
        <v>10391641213</v>
      </c>
      <c r="V221" t="s">
        <v>270</v>
      </c>
      <c r="W221" t="s">
        <v>53</v>
      </c>
      <c r="X221" t="s">
        <v>83</v>
      </c>
      <c r="Y221" t="s">
        <v>49</v>
      </c>
      <c r="Z221">
        <v>1237</v>
      </c>
      <c r="AH221">
        <v>0</v>
      </c>
      <c r="AI221">
        <v>202505</v>
      </c>
      <c r="AJ221" t="s">
        <v>61</v>
      </c>
      <c r="AK221">
        <v>0</v>
      </c>
      <c r="AL221">
        <v>1</v>
      </c>
      <c r="AO221">
        <v>0</v>
      </c>
      <c r="AP221">
        <v>462</v>
      </c>
      <c r="AQ221">
        <v>430</v>
      </c>
      <c r="AR221">
        <v>430462</v>
      </c>
      <c r="AS221" t="s">
        <v>58</v>
      </c>
      <c r="AU221" t="s">
        <v>58</v>
      </c>
      <c r="AV221">
        <v>25045.55</v>
      </c>
      <c r="AW221">
        <v>26010.331999999999</v>
      </c>
      <c r="AX221">
        <v>27041.058000000001</v>
      </c>
      <c r="AY221">
        <v>28420.708999999999</v>
      </c>
      <c r="AZ221">
        <v>29962.351999999999</v>
      </c>
      <c r="BA221">
        <v>31788.16</v>
      </c>
      <c r="BB221">
        <v>34027.07</v>
      </c>
      <c r="BC221">
        <v>36641.5795</v>
      </c>
      <c r="BD221">
        <v>39840.642</v>
      </c>
      <c r="BE221">
        <v>40000</v>
      </c>
      <c r="BF221">
        <v>41343.269999999997</v>
      </c>
      <c r="BG221">
        <v>44702.324999999997</v>
      </c>
      <c r="BH221">
        <v>49392.076000000001</v>
      </c>
      <c r="BI221">
        <v>58375.907500000008</v>
      </c>
      <c r="BJ221">
        <v>70239.999999999985</v>
      </c>
      <c r="BK221">
        <v>81597.5</v>
      </c>
      <c r="BL221">
        <v>118941.322</v>
      </c>
      <c r="BM221">
        <v>163981.24299999949</v>
      </c>
      <c r="BN221">
        <v>270486.4050000002</v>
      </c>
      <c r="BO221">
        <v>446888.37399999989</v>
      </c>
      <c r="BP221">
        <v>2814221.66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 x14ac:dyDescent="0.35">
      <c r="A222">
        <v>350283</v>
      </c>
      <c r="B222" t="s">
        <v>259</v>
      </c>
      <c r="C222" t="s">
        <v>260</v>
      </c>
      <c r="D222" s="1">
        <v>45822</v>
      </c>
      <c r="E222">
        <v>53850</v>
      </c>
      <c r="F222">
        <v>125</v>
      </c>
      <c r="G222" t="s">
        <v>277</v>
      </c>
      <c r="H222" t="s">
        <v>262</v>
      </c>
      <c r="I222" t="s">
        <v>48</v>
      </c>
      <c r="L222">
        <v>1253309512895</v>
      </c>
      <c r="M222">
        <v>20250523</v>
      </c>
      <c r="N222" t="s">
        <v>263</v>
      </c>
      <c r="Q222" t="s">
        <v>55</v>
      </c>
      <c r="R222">
        <v>34953.980000000003</v>
      </c>
      <c r="T222">
        <v>4795279</v>
      </c>
      <c r="U222">
        <v>1020090658</v>
      </c>
      <c r="V222" t="s">
        <v>278</v>
      </c>
      <c r="W222" t="s">
        <v>53</v>
      </c>
      <c r="X222" t="s">
        <v>237</v>
      </c>
      <c r="Y222" t="s">
        <v>49</v>
      </c>
      <c r="Z222">
        <v>982</v>
      </c>
      <c r="AH222">
        <v>0</v>
      </c>
      <c r="AI222">
        <v>202505</v>
      </c>
      <c r="AJ222" t="s">
        <v>61</v>
      </c>
      <c r="AK222">
        <v>0</v>
      </c>
      <c r="AL222">
        <v>1</v>
      </c>
      <c r="AO222">
        <v>0</v>
      </c>
      <c r="AP222">
        <v>999</v>
      </c>
      <c r="AQ222">
        <v>430</v>
      </c>
      <c r="AR222">
        <v>430999</v>
      </c>
      <c r="AT222">
        <v>1</v>
      </c>
      <c r="AU222" t="s">
        <v>54</v>
      </c>
      <c r="AV222">
        <v>25045.55</v>
      </c>
      <c r="AW222">
        <v>26010.331999999999</v>
      </c>
      <c r="AX222">
        <v>27041.058000000001</v>
      </c>
      <c r="AY222">
        <v>28420.708999999999</v>
      </c>
      <c r="AZ222">
        <v>29962.351999999999</v>
      </c>
      <c r="BA222">
        <v>31788.16</v>
      </c>
      <c r="BB222">
        <v>34027.07</v>
      </c>
      <c r="BC222">
        <v>36641.5795</v>
      </c>
      <c r="BD222">
        <v>39840.642</v>
      </c>
      <c r="BE222">
        <v>40000</v>
      </c>
      <c r="BF222">
        <v>41343.269999999997</v>
      </c>
      <c r="BG222">
        <v>44702.324999999997</v>
      </c>
      <c r="BH222">
        <v>49392.076000000001</v>
      </c>
      <c r="BI222">
        <v>58375.907500000008</v>
      </c>
      <c r="BJ222">
        <v>70239.999999999985</v>
      </c>
      <c r="BK222">
        <v>81597.5</v>
      </c>
      <c r="BL222">
        <v>118941.322</v>
      </c>
      <c r="BM222">
        <v>163981.24299999949</v>
      </c>
      <c r="BN222">
        <v>270486.4050000002</v>
      </c>
      <c r="BO222">
        <v>446888.37399999989</v>
      </c>
      <c r="BP222">
        <v>2814221.66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 x14ac:dyDescent="0.35">
      <c r="A223">
        <v>364838</v>
      </c>
      <c r="B223" t="s">
        <v>259</v>
      </c>
      <c r="C223" t="s">
        <v>260</v>
      </c>
      <c r="D223" s="1">
        <v>45850</v>
      </c>
      <c r="E223">
        <v>53850</v>
      </c>
      <c r="F223">
        <v>141</v>
      </c>
      <c r="G223" t="s">
        <v>76</v>
      </c>
      <c r="H223" t="s">
        <v>262</v>
      </c>
      <c r="I223" t="s">
        <v>48</v>
      </c>
      <c r="L223">
        <v>1413300003985</v>
      </c>
      <c r="M223">
        <v>20250623</v>
      </c>
      <c r="N223" t="s">
        <v>263</v>
      </c>
      <c r="Q223" t="s">
        <v>55</v>
      </c>
      <c r="R223">
        <v>8550000</v>
      </c>
      <c r="T223">
        <v>4996689</v>
      </c>
      <c r="U223">
        <v>80010360750</v>
      </c>
      <c r="V223" t="s">
        <v>293</v>
      </c>
      <c r="W223" t="s">
        <v>53</v>
      </c>
      <c r="X223" t="s">
        <v>294</v>
      </c>
      <c r="Y223" t="s">
        <v>49</v>
      </c>
      <c r="Z223">
        <v>1940</v>
      </c>
      <c r="AH223">
        <v>0</v>
      </c>
      <c r="AI223">
        <v>202506</v>
      </c>
      <c r="AJ223" t="s">
        <v>162</v>
      </c>
      <c r="AK223">
        <v>1</v>
      </c>
      <c r="AL223">
        <v>1</v>
      </c>
      <c r="AO223">
        <v>0</v>
      </c>
      <c r="AP223">
        <v>931</v>
      </c>
      <c r="AQ223">
        <v>430</v>
      </c>
      <c r="AR223">
        <v>430931</v>
      </c>
      <c r="AS223" t="s">
        <v>58</v>
      </c>
      <c r="AU223" t="s">
        <v>58</v>
      </c>
      <c r="AV223">
        <v>25045.55</v>
      </c>
      <c r="AW223">
        <v>26010.331999999999</v>
      </c>
      <c r="AX223">
        <v>27041.058000000001</v>
      </c>
      <c r="AY223">
        <v>28420.708999999999</v>
      </c>
      <c r="AZ223">
        <v>29962.351999999999</v>
      </c>
      <c r="BA223">
        <v>31788.16</v>
      </c>
      <c r="BB223">
        <v>34027.07</v>
      </c>
      <c r="BC223">
        <v>36641.5795</v>
      </c>
      <c r="BD223">
        <v>39840.642</v>
      </c>
      <c r="BE223">
        <v>40000</v>
      </c>
      <c r="BF223">
        <v>41343.269999999997</v>
      </c>
      <c r="BG223">
        <v>44702.324999999997</v>
      </c>
      <c r="BH223">
        <v>49392.076000000001</v>
      </c>
      <c r="BI223">
        <v>58375.907500000008</v>
      </c>
      <c r="BJ223">
        <v>70239.999999999985</v>
      </c>
      <c r="BK223">
        <v>81597.5</v>
      </c>
      <c r="BL223">
        <v>118941.322</v>
      </c>
      <c r="BM223">
        <v>163981.24299999949</v>
      </c>
      <c r="BN223">
        <v>270486.4050000002</v>
      </c>
      <c r="BO223">
        <v>446888.37399999989</v>
      </c>
      <c r="BP223">
        <v>2814221.66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</row>
    <row r="224" spans="1:89" x14ac:dyDescent="0.35">
      <c r="A224">
        <v>364835</v>
      </c>
      <c r="B224" t="s">
        <v>259</v>
      </c>
      <c r="C224" t="s">
        <v>260</v>
      </c>
      <c r="D224" s="1">
        <v>45850</v>
      </c>
      <c r="E224">
        <v>53850</v>
      </c>
      <c r="F224">
        <v>171</v>
      </c>
      <c r="G224" t="s">
        <v>72</v>
      </c>
      <c r="H224" t="s">
        <v>262</v>
      </c>
      <c r="I224" t="s">
        <v>48</v>
      </c>
      <c r="L224">
        <v>1713302213842</v>
      </c>
      <c r="M224">
        <v>20250626</v>
      </c>
      <c r="N224" t="s">
        <v>263</v>
      </c>
      <c r="Q224" t="s">
        <v>55</v>
      </c>
      <c r="R224">
        <v>200000</v>
      </c>
      <c r="T224">
        <v>4148505</v>
      </c>
      <c r="U224">
        <v>5848860721</v>
      </c>
      <c r="V224" t="s">
        <v>171</v>
      </c>
      <c r="W224" t="s">
        <v>53</v>
      </c>
      <c r="X224" t="s">
        <v>85</v>
      </c>
      <c r="Y224" t="s">
        <v>49</v>
      </c>
      <c r="Z224">
        <v>1903</v>
      </c>
      <c r="AH224">
        <v>0</v>
      </c>
      <c r="AI224">
        <v>202506</v>
      </c>
      <c r="AJ224" t="s">
        <v>160</v>
      </c>
      <c r="AK224">
        <v>1</v>
      </c>
      <c r="AL224">
        <v>1</v>
      </c>
      <c r="AO224">
        <v>0</v>
      </c>
      <c r="AP224">
        <v>999</v>
      </c>
      <c r="AQ224">
        <v>430</v>
      </c>
      <c r="AR224">
        <v>430999</v>
      </c>
      <c r="AT224">
        <v>1</v>
      </c>
      <c r="AU224" t="s">
        <v>54</v>
      </c>
      <c r="AV224">
        <v>25045.55</v>
      </c>
      <c r="AW224">
        <v>26010.331999999999</v>
      </c>
      <c r="AX224">
        <v>27041.058000000001</v>
      </c>
      <c r="AY224">
        <v>28420.708999999999</v>
      </c>
      <c r="AZ224">
        <v>29962.351999999999</v>
      </c>
      <c r="BA224">
        <v>31788.16</v>
      </c>
      <c r="BB224">
        <v>34027.07</v>
      </c>
      <c r="BC224">
        <v>36641.5795</v>
      </c>
      <c r="BD224">
        <v>39840.642</v>
      </c>
      <c r="BE224">
        <v>40000</v>
      </c>
      <c r="BF224">
        <v>41343.269999999997</v>
      </c>
      <c r="BG224">
        <v>44702.324999999997</v>
      </c>
      <c r="BH224">
        <v>49392.076000000001</v>
      </c>
      <c r="BI224">
        <v>58375.907500000008</v>
      </c>
      <c r="BJ224">
        <v>70239.999999999985</v>
      </c>
      <c r="BK224">
        <v>81597.5</v>
      </c>
      <c r="BL224">
        <v>118941.322</v>
      </c>
      <c r="BM224">
        <v>163981.24299999949</v>
      </c>
      <c r="BN224">
        <v>270486.4050000002</v>
      </c>
      <c r="BO224">
        <v>446888.37399999989</v>
      </c>
      <c r="BP224">
        <v>2814221.66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0</v>
      </c>
      <c r="CJ224">
        <v>0</v>
      </c>
      <c r="CK224">
        <v>0</v>
      </c>
    </row>
    <row r="225" spans="1:89" x14ac:dyDescent="0.35">
      <c r="A225">
        <v>364832</v>
      </c>
      <c r="B225" t="s">
        <v>259</v>
      </c>
      <c r="C225" t="s">
        <v>260</v>
      </c>
      <c r="D225" s="1">
        <v>45850</v>
      </c>
      <c r="E225">
        <v>53850</v>
      </c>
      <c r="F225">
        <v>122</v>
      </c>
      <c r="G225" t="s">
        <v>261</v>
      </c>
      <c r="H225" t="s">
        <v>262</v>
      </c>
      <c r="I225" t="s">
        <v>48</v>
      </c>
      <c r="L225">
        <v>1223300001682</v>
      </c>
      <c r="M225">
        <v>20250609</v>
      </c>
      <c r="N225" t="s">
        <v>263</v>
      </c>
      <c r="Q225" t="s">
        <v>55</v>
      </c>
      <c r="R225">
        <v>170000</v>
      </c>
      <c r="T225">
        <v>3711207</v>
      </c>
      <c r="U225">
        <v>8825020723</v>
      </c>
      <c r="V225" t="s">
        <v>264</v>
      </c>
      <c r="W225" t="s">
        <v>53</v>
      </c>
      <c r="X225" t="s">
        <v>57</v>
      </c>
      <c r="Y225" t="s">
        <v>49</v>
      </c>
      <c r="Z225">
        <v>1696</v>
      </c>
      <c r="AH225">
        <v>0</v>
      </c>
      <c r="AI225">
        <v>202506</v>
      </c>
      <c r="AJ225" t="s">
        <v>160</v>
      </c>
      <c r="AK225">
        <v>1</v>
      </c>
      <c r="AL225">
        <v>1</v>
      </c>
      <c r="AO225">
        <v>0</v>
      </c>
      <c r="AP225">
        <v>620</v>
      </c>
      <c r="AQ225">
        <v>430</v>
      </c>
      <c r="AR225">
        <v>430620</v>
      </c>
      <c r="AS225" t="s">
        <v>58</v>
      </c>
      <c r="AU225" t="s">
        <v>58</v>
      </c>
      <c r="AV225">
        <v>25045.55</v>
      </c>
      <c r="AW225">
        <v>26010.331999999999</v>
      </c>
      <c r="AX225">
        <v>27041.058000000001</v>
      </c>
      <c r="AY225">
        <v>28420.708999999999</v>
      </c>
      <c r="AZ225">
        <v>29962.351999999999</v>
      </c>
      <c r="BA225">
        <v>31788.16</v>
      </c>
      <c r="BB225">
        <v>34027.07</v>
      </c>
      <c r="BC225">
        <v>36641.5795</v>
      </c>
      <c r="BD225">
        <v>39840.642</v>
      </c>
      <c r="BE225">
        <v>40000</v>
      </c>
      <c r="BF225">
        <v>41343.269999999997</v>
      </c>
      <c r="BG225">
        <v>44702.324999999997</v>
      </c>
      <c r="BH225">
        <v>49392.076000000001</v>
      </c>
      <c r="BI225">
        <v>58375.907500000008</v>
      </c>
      <c r="BJ225">
        <v>70239.999999999985</v>
      </c>
      <c r="BK225">
        <v>81597.5</v>
      </c>
      <c r="BL225">
        <v>118941.322</v>
      </c>
      <c r="BM225">
        <v>163981.24299999949</v>
      </c>
      <c r="BN225">
        <v>270486.4050000002</v>
      </c>
      <c r="BO225">
        <v>446888.37399999989</v>
      </c>
      <c r="BP225">
        <v>2814221.66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0</v>
      </c>
      <c r="CJ225">
        <v>0</v>
      </c>
      <c r="CK225">
        <v>0</v>
      </c>
    </row>
    <row r="226" spans="1:89" x14ac:dyDescent="0.35">
      <c r="A226">
        <v>364827</v>
      </c>
      <c r="B226" t="s">
        <v>259</v>
      </c>
      <c r="C226" t="s">
        <v>260</v>
      </c>
      <c r="D226" s="1">
        <v>45850</v>
      </c>
      <c r="E226">
        <v>53850</v>
      </c>
      <c r="F226">
        <v>192</v>
      </c>
      <c r="G226" t="s">
        <v>75</v>
      </c>
      <c r="H226" t="s">
        <v>262</v>
      </c>
      <c r="I226" t="s">
        <v>48</v>
      </c>
      <c r="L226">
        <v>1923300183163</v>
      </c>
      <c r="M226">
        <v>20250624</v>
      </c>
      <c r="N226" t="s">
        <v>263</v>
      </c>
      <c r="Q226" t="s">
        <v>55</v>
      </c>
      <c r="R226">
        <v>51800</v>
      </c>
      <c r="T226">
        <v>4695944</v>
      </c>
      <c r="U226" t="s">
        <v>271</v>
      </c>
      <c r="V226" t="s">
        <v>272</v>
      </c>
      <c r="W226" t="s">
        <v>64</v>
      </c>
      <c r="X226" t="s">
        <v>94</v>
      </c>
      <c r="Y226" t="s">
        <v>49</v>
      </c>
      <c r="Z226">
        <v>481</v>
      </c>
      <c r="AH226">
        <v>0</v>
      </c>
      <c r="AI226">
        <v>202506</v>
      </c>
      <c r="AJ226" t="s">
        <v>61</v>
      </c>
      <c r="AK226">
        <v>0</v>
      </c>
      <c r="AL226">
        <v>1</v>
      </c>
      <c r="AM226">
        <v>4695944</v>
      </c>
      <c r="AN226">
        <v>1</v>
      </c>
      <c r="AO226">
        <v>0</v>
      </c>
      <c r="AP226">
        <v>999</v>
      </c>
      <c r="AQ226">
        <v>615</v>
      </c>
      <c r="AR226">
        <v>615999</v>
      </c>
      <c r="AT226">
        <v>1</v>
      </c>
      <c r="AU226" t="s">
        <v>58</v>
      </c>
      <c r="AV226">
        <v>25045.55</v>
      </c>
      <c r="AW226">
        <v>26010.331999999999</v>
      </c>
      <c r="AX226">
        <v>27041.058000000001</v>
      </c>
      <c r="AY226">
        <v>28420.708999999999</v>
      </c>
      <c r="AZ226">
        <v>29962.351999999999</v>
      </c>
      <c r="BA226">
        <v>31788.16</v>
      </c>
      <c r="BB226">
        <v>34027.07</v>
      </c>
      <c r="BC226">
        <v>36641.5795</v>
      </c>
      <c r="BD226">
        <v>39840.642</v>
      </c>
      <c r="BE226">
        <v>40000</v>
      </c>
      <c r="BF226">
        <v>41343.269999999997</v>
      </c>
      <c r="BG226">
        <v>44702.324999999997</v>
      </c>
      <c r="BH226">
        <v>49392.076000000001</v>
      </c>
      <c r="BI226">
        <v>58375.907500000008</v>
      </c>
      <c r="BJ226">
        <v>70239.999999999985</v>
      </c>
      <c r="BK226">
        <v>81597.5</v>
      </c>
      <c r="BL226">
        <v>118941.322</v>
      </c>
      <c r="BM226">
        <v>163981.24299999949</v>
      </c>
      <c r="BN226">
        <v>270486.4050000002</v>
      </c>
      <c r="BO226">
        <v>446888.37399999989</v>
      </c>
      <c r="BP226">
        <v>2814221.66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 x14ac:dyDescent="0.35">
      <c r="A227">
        <v>364824</v>
      </c>
      <c r="B227" t="s">
        <v>259</v>
      </c>
      <c r="C227" t="s">
        <v>260</v>
      </c>
      <c r="D227" s="1">
        <v>45850</v>
      </c>
      <c r="E227">
        <v>53850</v>
      </c>
      <c r="F227">
        <v>108</v>
      </c>
      <c r="G227" t="s">
        <v>88</v>
      </c>
      <c r="H227" t="s">
        <v>262</v>
      </c>
      <c r="I227" t="s">
        <v>48</v>
      </c>
      <c r="L227">
        <v>1083300011180</v>
      </c>
      <c r="M227">
        <v>20250618</v>
      </c>
      <c r="N227" t="s">
        <v>263</v>
      </c>
      <c r="Q227" t="s">
        <v>55</v>
      </c>
      <c r="R227">
        <v>28598.95</v>
      </c>
      <c r="T227">
        <v>1118</v>
      </c>
      <c r="U227">
        <v>3246700722</v>
      </c>
      <c r="V227" t="s">
        <v>302</v>
      </c>
      <c r="W227" t="s">
        <v>53</v>
      </c>
      <c r="X227" t="s">
        <v>286</v>
      </c>
      <c r="Y227" t="s">
        <v>49</v>
      </c>
      <c r="Z227">
        <v>1058</v>
      </c>
      <c r="AH227">
        <v>0</v>
      </c>
      <c r="AI227">
        <v>202506</v>
      </c>
      <c r="AJ227" t="s">
        <v>160</v>
      </c>
      <c r="AK227">
        <v>1</v>
      </c>
      <c r="AL227">
        <v>1</v>
      </c>
      <c r="AO227">
        <v>0</v>
      </c>
      <c r="AP227">
        <v>999</v>
      </c>
      <c r="AQ227">
        <v>430</v>
      </c>
      <c r="AR227">
        <v>430999</v>
      </c>
      <c r="AT227">
        <v>1</v>
      </c>
      <c r="AU227" t="s">
        <v>54</v>
      </c>
      <c r="AV227">
        <v>25045.55</v>
      </c>
      <c r="AW227">
        <v>26010.331999999999</v>
      </c>
      <c r="AX227">
        <v>27041.058000000001</v>
      </c>
      <c r="AY227">
        <v>28420.708999999999</v>
      </c>
      <c r="AZ227">
        <v>29962.351999999999</v>
      </c>
      <c r="BA227">
        <v>31788.16</v>
      </c>
      <c r="BB227">
        <v>34027.07</v>
      </c>
      <c r="BC227">
        <v>36641.5795</v>
      </c>
      <c r="BD227">
        <v>39840.642</v>
      </c>
      <c r="BE227">
        <v>40000</v>
      </c>
      <c r="BF227">
        <v>41343.269999999997</v>
      </c>
      <c r="BG227">
        <v>44702.324999999997</v>
      </c>
      <c r="BH227">
        <v>49392.076000000001</v>
      </c>
      <c r="BI227">
        <v>58375.907500000008</v>
      </c>
      <c r="BJ227">
        <v>70239.999999999985</v>
      </c>
      <c r="BK227">
        <v>81597.5</v>
      </c>
      <c r="BL227">
        <v>118941.322</v>
      </c>
      <c r="BM227">
        <v>163981.24299999949</v>
      </c>
      <c r="BN227">
        <v>270486.4050000002</v>
      </c>
      <c r="BO227">
        <v>446888.37399999989</v>
      </c>
      <c r="BP227">
        <v>2814221.66</v>
      </c>
      <c r="BQ227">
        <v>1</v>
      </c>
      <c r="BR227">
        <v>1</v>
      </c>
      <c r="BS227">
        <v>1</v>
      </c>
      <c r="BT227">
        <v>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 x14ac:dyDescent="0.35">
      <c r="A228">
        <v>364819</v>
      </c>
      <c r="B228" t="s">
        <v>259</v>
      </c>
      <c r="C228" t="s">
        <v>260</v>
      </c>
      <c r="D228" s="1">
        <v>45850</v>
      </c>
      <c r="E228">
        <v>53850</v>
      </c>
      <c r="F228">
        <v>171</v>
      </c>
      <c r="G228" t="s">
        <v>72</v>
      </c>
      <c r="H228" t="s">
        <v>262</v>
      </c>
      <c r="I228" t="s">
        <v>48</v>
      </c>
      <c r="L228">
        <v>1713302213842</v>
      </c>
      <c r="M228">
        <v>20250625</v>
      </c>
      <c r="N228" t="s">
        <v>263</v>
      </c>
      <c r="Q228" t="s">
        <v>55</v>
      </c>
      <c r="R228">
        <v>110000</v>
      </c>
      <c r="T228">
        <v>4148505</v>
      </c>
      <c r="U228">
        <v>5848860721</v>
      </c>
      <c r="V228" t="s">
        <v>171</v>
      </c>
      <c r="W228" t="s">
        <v>53</v>
      </c>
      <c r="X228" t="s">
        <v>85</v>
      </c>
      <c r="Y228" t="s">
        <v>49</v>
      </c>
      <c r="Z228">
        <v>1903</v>
      </c>
      <c r="AH228">
        <v>0</v>
      </c>
      <c r="AI228">
        <v>202506</v>
      </c>
      <c r="AJ228" t="s">
        <v>160</v>
      </c>
      <c r="AK228">
        <v>1</v>
      </c>
      <c r="AL228">
        <v>1</v>
      </c>
      <c r="AO228">
        <v>0</v>
      </c>
      <c r="AP228">
        <v>999</v>
      </c>
      <c r="AQ228">
        <v>430</v>
      </c>
      <c r="AR228">
        <v>430999</v>
      </c>
      <c r="AT228">
        <v>1</v>
      </c>
      <c r="AU228" t="s">
        <v>54</v>
      </c>
      <c r="AV228">
        <v>25045.55</v>
      </c>
      <c r="AW228">
        <v>26010.331999999999</v>
      </c>
      <c r="AX228">
        <v>27041.058000000001</v>
      </c>
      <c r="AY228">
        <v>28420.708999999999</v>
      </c>
      <c r="AZ228">
        <v>29962.351999999999</v>
      </c>
      <c r="BA228">
        <v>31788.16</v>
      </c>
      <c r="BB228">
        <v>34027.07</v>
      </c>
      <c r="BC228">
        <v>36641.5795</v>
      </c>
      <c r="BD228">
        <v>39840.642</v>
      </c>
      <c r="BE228">
        <v>40000</v>
      </c>
      <c r="BF228">
        <v>41343.269999999997</v>
      </c>
      <c r="BG228">
        <v>44702.324999999997</v>
      </c>
      <c r="BH228">
        <v>49392.076000000001</v>
      </c>
      <c r="BI228">
        <v>58375.907500000008</v>
      </c>
      <c r="BJ228">
        <v>70239.999999999985</v>
      </c>
      <c r="BK228">
        <v>81597.5</v>
      </c>
      <c r="BL228">
        <v>118941.322</v>
      </c>
      <c r="BM228">
        <v>163981.24299999949</v>
      </c>
      <c r="BN228">
        <v>270486.4050000002</v>
      </c>
      <c r="BO228">
        <v>446888.37399999989</v>
      </c>
      <c r="BP228">
        <v>2814221.66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 x14ac:dyDescent="0.35">
      <c r="A229">
        <v>364817</v>
      </c>
      <c r="B229" t="s">
        <v>259</v>
      </c>
      <c r="C229" t="s">
        <v>260</v>
      </c>
      <c r="D229" s="1">
        <v>45850</v>
      </c>
      <c r="E229">
        <v>53850</v>
      </c>
      <c r="F229">
        <v>261</v>
      </c>
      <c r="G229" t="s">
        <v>78</v>
      </c>
      <c r="H229" t="s">
        <v>262</v>
      </c>
      <c r="I229" t="s">
        <v>48</v>
      </c>
      <c r="L229">
        <v>2613300000185</v>
      </c>
      <c r="M229">
        <v>20250603</v>
      </c>
      <c r="N229" t="s">
        <v>263</v>
      </c>
      <c r="Q229" t="s">
        <v>55</v>
      </c>
      <c r="R229">
        <v>80000</v>
      </c>
      <c r="T229">
        <v>1603119</v>
      </c>
      <c r="U229">
        <v>941080707</v>
      </c>
      <c r="V229" t="s">
        <v>331</v>
      </c>
      <c r="W229" t="s">
        <v>53</v>
      </c>
      <c r="X229" t="s">
        <v>269</v>
      </c>
      <c r="Y229" t="s">
        <v>49</v>
      </c>
      <c r="Z229">
        <v>1856</v>
      </c>
      <c r="AH229">
        <v>0</v>
      </c>
      <c r="AI229">
        <v>202506</v>
      </c>
      <c r="AK229">
        <v>1</v>
      </c>
      <c r="AL229">
        <v>1</v>
      </c>
      <c r="AO229">
        <v>0</v>
      </c>
      <c r="AP229">
        <v>999</v>
      </c>
      <c r="AQ229">
        <v>430</v>
      </c>
      <c r="AR229">
        <v>430999</v>
      </c>
      <c r="AT229">
        <v>1</v>
      </c>
      <c r="AU229" t="s">
        <v>54</v>
      </c>
      <c r="AV229">
        <v>25045.55</v>
      </c>
      <c r="AW229">
        <v>26010.331999999999</v>
      </c>
      <c r="AX229">
        <v>27041.058000000001</v>
      </c>
      <c r="AY229">
        <v>28420.708999999999</v>
      </c>
      <c r="AZ229">
        <v>29962.351999999999</v>
      </c>
      <c r="BA229">
        <v>31788.16</v>
      </c>
      <c r="BB229">
        <v>34027.07</v>
      </c>
      <c r="BC229">
        <v>36641.5795</v>
      </c>
      <c r="BD229">
        <v>39840.642</v>
      </c>
      <c r="BE229">
        <v>40000</v>
      </c>
      <c r="BF229">
        <v>41343.269999999997</v>
      </c>
      <c r="BG229">
        <v>44702.324999999997</v>
      </c>
      <c r="BH229">
        <v>49392.076000000001</v>
      </c>
      <c r="BI229">
        <v>58375.907500000008</v>
      </c>
      <c r="BJ229">
        <v>70239.999999999985</v>
      </c>
      <c r="BK229">
        <v>81597.5</v>
      </c>
      <c r="BL229">
        <v>118941.322</v>
      </c>
      <c r="BM229">
        <v>163981.24299999949</v>
      </c>
      <c r="BN229">
        <v>270486.4050000002</v>
      </c>
      <c r="BO229">
        <v>446888.37399999989</v>
      </c>
      <c r="BP229">
        <v>2814221.66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 x14ac:dyDescent="0.35">
      <c r="A230">
        <v>364815</v>
      </c>
      <c r="B230" t="s">
        <v>259</v>
      </c>
      <c r="C230" t="s">
        <v>260</v>
      </c>
      <c r="D230" s="1">
        <v>45850</v>
      </c>
      <c r="E230">
        <v>53850</v>
      </c>
      <c r="F230">
        <v>175</v>
      </c>
      <c r="G230" t="s">
        <v>63</v>
      </c>
      <c r="H230" t="s">
        <v>262</v>
      </c>
      <c r="I230" t="s">
        <v>48</v>
      </c>
      <c r="L230">
        <v>1753302203127</v>
      </c>
      <c r="M230">
        <v>20250624</v>
      </c>
      <c r="N230" t="s">
        <v>279</v>
      </c>
      <c r="Q230" t="s">
        <v>55</v>
      </c>
      <c r="R230">
        <v>34128.910000000003</v>
      </c>
      <c r="T230">
        <v>4160138</v>
      </c>
      <c r="U230">
        <v>484200779</v>
      </c>
      <c r="V230" t="s">
        <v>289</v>
      </c>
      <c r="W230" t="s">
        <v>53</v>
      </c>
      <c r="X230" t="s">
        <v>290</v>
      </c>
      <c r="Y230" t="s">
        <v>49</v>
      </c>
      <c r="Z230">
        <v>739</v>
      </c>
      <c r="AH230">
        <v>0</v>
      </c>
      <c r="AI230">
        <v>202506</v>
      </c>
      <c r="AJ230" t="s">
        <v>160</v>
      </c>
      <c r="AK230">
        <v>1</v>
      </c>
      <c r="AL230">
        <v>1</v>
      </c>
      <c r="AM230">
        <v>4160138</v>
      </c>
      <c r="AN230">
        <v>1</v>
      </c>
      <c r="AO230">
        <v>0</v>
      </c>
      <c r="AP230">
        <v>999</v>
      </c>
      <c r="AQ230">
        <v>430</v>
      </c>
      <c r="AR230">
        <v>430999</v>
      </c>
      <c r="AT230">
        <v>1</v>
      </c>
      <c r="AU230" t="s">
        <v>54</v>
      </c>
      <c r="AV230">
        <v>25045.55</v>
      </c>
      <c r="AW230">
        <v>26010.331999999999</v>
      </c>
      <c r="AX230">
        <v>27041.058000000001</v>
      </c>
      <c r="AY230">
        <v>28420.708999999999</v>
      </c>
      <c r="AZ230">
        <v>29962.351999999999</v>
      </c>
      <c r="BA230">
        <v>31788.16</v>
      </c>
      <c r="BB230">
        <v>34027.07</v>
      </c>
      <c r="BC230">
        <v>36641.5795</v>
      </c>
      <c r="BD230">
        <v>39840.642</v>
      </c>
      <c r="BE230">
        <v>40000</v>
      </c>
      <c r="BF230">
        <v>41343.269999999997</v>
      </c>
      <c r="BG230">
        <v>44702.324999999997</v>
      </c>
      <c r="BH230">
        <v>49392.076000000001</v>
      </c>
      <c r="BI230">
        <v>58375.907500000008</v>
      </c>
      <c r="BJ230">
        <v>70239.999999999985</v>
      </c>
      <c r="BK230">
        <v>81597.5</v>
      </c>
      <c r="BL230">
        <v>118941.322</v>
      </c>
      <c r="BM230">
        <v>163981.24299999949</v>
      </c>
      <c r="BN230">
        <v>270486.4050000002</v>
      </c>
      <c r="BO230">
        <v>446888.37399999989</v>
      </c>
      <c r="BP230">
        <v>2814221.66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 x14ac:dyDescent="0.35">
      <c r="A231">
        <v>364805</v>
      </c>
      <c r="B231" t="s">
        <v>259</v>
      </c>
      <c r="C231" t="s">
        <v>260</v>
      </c>
      <c r="D231" s="1">
        <v>45850</v>
      </c>
      <c r="E231">
        <v>53850</v>
      </c>
      <c r="F231">
        <v>117</v>
      </c>
      <c r="G231" t="s">
        <v>336</v>
      </c>
      <c r="H231" t="s">
        <v>262</v>
      </c>
      <c r="I231" t="s">
        <v>48</v>
      </c>
      <c r="L231">
        <v>1173300537790</v>
      </c>
      <c r="M231">
        <v>20250604</v>
      </c>
      <c r="N231" t="s">
        <v>263</v>
      </c>
      <c r="Q231" t="s">
        <v>55</v>
      </c>
      <c r="R231">
        <v>96235.67</v>
      </c>
      <c r="T231">
        <v>4385006</v>
      </c>
      <c r="U231" t="s">
        <v>341</v>
      </c>
      <c r="V231" t="s">
        <v>342</v>
      </c>
      <c r="W231" t="s">
        <v>64</v>
      </c>
      <c r="X231" t="s">
        <v>339</v>
      </c>
      <c r="Y231" t="s">
        <v>49</v>
      </c>
      <c r="Z231">
        <v>936</v>
      </c>
      <c r="AH231">
        <v>0</v>
      </c>
      <c r="AI231">
        <v>202506</v>
      </c>
      <c r="AK231">
        <v>1</v>
      </c>
      <c r="AL231">
        <v>1</v>
      </c>
      <c r="AO231">
        <v>0</v>
      </c>
      <c r="AP231">
        <v>999</v>
      </c>
      <c r="AQ231">
        <v>615</v>
      </c>
      <c r="AR231">
        <v>615999</v>
      </c>
      <c r="AT231">
        <v>1</v>
      </c>
      <c r="AU231" t="s">
        <v>58</v>
      </c>
      <c r="AV231">
        <v>25045.55</v>
      </c>
      <c r="AW231">
        <v>26010.331999999999</v>
      </c>
      <c r="AX231">
        <v>27041.058000000001</v>
      </c>
      <c r="AY231">
        <v>28420.708999999999</v>
      </c>
      <c r="AZ231">
        <v>29962.351999999999</v>
      </c>
      <c r="BA231">
        <v>31788.16</v>
      </c>
      <c r="BB231">
        <v>34027.07</v>
      </c>
      <c r="BC231">
        <v>36641.5795</v>
      </c>
      <c r="BD231">
        <v>39840.642</v>
      </c>
      <c r="BE231">
        <v>40000</v>
      </c>
      <c r="BF231">
        <v>41343.269999999997</v>
      </c>
      <c r="BG231">
        <v>44702.324999999997</v>
      </c>
      <c r="BH231">
        <v>49392.076000000001</v>
      </c>
      <c r="BI231">
        <v>58375.907500000008</v>
      </c>
      <c r="BJ231">
        <v>70239.999999999985</v>
      </c>
      <c r="BK231">
        <v>81597.5</v>
      </c>
      <c r="BL231">
        <v>118941.322</v>
      </c>
      <c r="BM231">
        <v>163981.24299999949</v>
      </c>
      <c r="BN231">
        <v>270486.4050000002</v>
      </c>
      <c r="BO231">
        <v>446888.37399999989</v>
      </c>
      <c r="BP231">
        <v>2814221.66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 x14ac:dyDescent="0.35">
      <c r="A232">
        <v>364804</v>
      </c>
      <c r="B232" t="s">
        <v>259</v>
      </c>
      <c r="C232" t="s">
        <v>260</v>
      </c>
      <c r="D232" s="1">
        <v>45850</v>
      </c>
      <c r="E232">
        <v>53850</v>
      </c>
      <c r="F232">
        <v>149</v>
      </c>
      <c r="G232" t="s">
        <v>82</v>
      </c>
      <c r="H232" t="s">
        <v>262</v>
      </c>
      <c r="I232" t="s">
        <v>48</v>
      </c>
      <c r="L232">
        <v>1493300664676</v>
      </c>
      <c r="M232">
        <v>20250603</v>
      </c>
      <c r="N232" t="s">
        <v>263</v>
      </c>
      <c r="Q232" t="s">
        <v>55</v>
      </c>
      <c r="R232">
        <v>218517.72</v>
      </c>
      <c r="T232">
        <v>4987076</v>
      </c>
      <c r="U232">
        <v>10094711214</v>
      </c>
      <c r="V232" t="s">
        <v>343</v>
      </c>
      <c r="W232" t="s">
        <v>53</v>
      </c>
      <c r="X232" t="s">
        <v>344</v>
      </c>
      <c r="Y232" t="s">
        <v>49</v>
      </c>
      <c r="Z232">
        <v>1910</v>
      </c>
      <c r="AH232">
        <v>0</v>
      </c>
      <c r="AI232">
        <v>202506</v>
      </c>
      <c r="AK232">
        <v>1</v>
      </c>
      <c r="AL232">
        <v>1</v>
      </c>
      <c r="AO232">
        <v>0</v>
      </c>
      <c r="AP232">
        <v>999</v>
      </c>
      <c r="AQ232">
        <v>430</v>
      </c>
      <c r="AR232">
        <v>430999</v>
      </c>
      <c r="AT232">
        <v>1</v>
      </c>
      <c r="AU232" t="s">
        <v>54</v>
      </c>
      <c r="AV232">
        <v>25045.55</v>
      </c>
      <c r="AW232">
        <v>26010.331999999999</v>
      </c>
      <c r="AX232">
        <v>27041.058000000001</v>
      </c>
      <c r="AY232">
        <v>28420.708999999999</v>
      </c>
      <c r="AZ232">
        <v>29962.351999999999</v>
      </c>
      <c r="BA232">
        <v>31788.16</v>
      </c>
      <c r="BB232">
        <v>34027.07</v>
      </c>
      <c r="BC232">
        <v>36641.5795</v>
      </c>
      <c r="BD232">
        <v>39840.642</v>
      </c>
      <c r="BE232">
        <v>40000</v>
      </c>
      <c r="BF232">
        <v>41343.269999999997</v>
      </c>
      <c r="BG232">
        <v>44702.324999999997</v>
      </c>
      <c r="BH232">
        <v>49392.076000000001</v>
      </c>
      <c r="BI232">
        <v>58375.907500000008</v>
      </c>
      <c r="BJ232">
        <v>70239.999999999985</v>
      </c>
      <c r="BK232">
        <v>81597.5</v>
      </c>
      <c r="BL232">
        <v>118941.322</v>
      </c>
      <c r="BM232">
        <v>163981.24299999949</v>
      </c>
      <c r="BN232">
        <v>270486.4050000002</v>
      </c>
      <c r="BO232">
        <v>446888.37399999989</v>
      </c>
      <c r="BP232">
        <v>2814221.66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0</v>
      </c>
      <c r="CJ232">
        <v>0</v>
      </c>
      <c r="CK232">
        <v>0</v>
      </c>
    </row>
    <row r="233" spans="1:89" x14ac:dyDescent="0.35">
      <c r="A233">
        <v>364800</v>
      </c>
      <c r="B233" t="s">
        <v>259</v>
      </c>
      <c r="C233" t="s">
        <v>260</v>
      </c>
      <c r="D233" s="1">
        <v>45850</v>
      </c>
      <c r="E233">
        <v>53850</v>
      </c>
      <c r="F233">
        <v>153</v>
      </c>
      <c r="G233" t="s">
        <v>81</v>
      </c>
      <c r="H233" t="s">
        <v>262</v>
      </c>
      <c r="I233" t="s">
        <v>48</v>
      </c>
      <c r="L233">
        <v>1533300663959</v>
      </c>
      <c r="M233">
        <v>20250630</v>
      </c>
      <c r="N233" t="s">
        <v>263</v>
      </c>
      <c r="Q233" t="s">
        <v>55</v>
      </c>
      <c r="R233">
        <v>31900.22</v>
      </c>
      <c r="T233">
        <v>3721097</v>
      </c>
      <c r="U233">
        <v>10391641213</v>
      </c>
      <c r="V233" t="s">
        <v>270</v>
      </c>
      <c r="W233" t="s">
        <v>53</v>
      </c>
      <c r="X233" t="s">
        <v>83</v>
      </c>
      <c r="Y233" t="s">
        <v>49</v>
      </c>
      <c r="Z233">
        <v>1237</v>
      </c>
      <c r="AH233">
        <v>0</v>
      </c>
      <c r="AI233">
        <v>202506</v>
      </c>
      <c r="AK233">
        <v>1</v>
      </c>
      <c r="AL233">
        <v>1</v>
      </c>
      <c r="AO233">
        <v>0</v>
      </c>
      <c r="AP233">
        <v>462</v>
      </c>
      <c r="AQ233">
        <v>430</v>
      </c>
      <c r="AR233">
        <v>430462</v>
      </c>
      <c r="AS233" t="s">
        <v>58</v>
      </c>
      <c r="AU233" t="s">
        <v>58</v>
      </c>
      <c r="AV233">
        <v>25045.55</v>
      </c>
      <c r="AW233">
        <v>26010.331999999999</v>
      </c>
      <c r="AX233">
        <v>27041.058000000001</v>
      </c>
      <c r="AY233">
        <v>28420.708999999999</v>
      </c>
      <c r="AZ233">
        <v>29962.351999999999</v>
      </c>
      <c r="BA233">
        <v>31788.16</v>
      </c>
      <c r="BB233">
        <v>34027.07</v>
      </c>
      <c r="BC233">
        <v>36641.5795</v>
      </c>
      <c r="BD233">
        <v>39840.642</v>
      </c>
      <c r="BE233">
        <v>40000</v>
      </c>
      <c r="BF233">
        <v>41343.269999999997</v>
      </c>
      <c r="BG233">
        <v>44702.324999999997</v>
      </c>
      <c r="BH233">
        <v>49392.076000000001</v>
      </c>
      <c r="BI233">
        <v>58375.907500000008</v>
      </c>
      <c r="BJ233">
        <v>70239.999999999985</v>
      </c>
      <c r="BK233">
        <v>81597.5</v>
      </c>
      <c r="BL233">
        <v>118941.322</v>
      </c>
      <c r="BM233">
        <v>163981.24299999949</v>
      </c>
      <c r="BN233">
        <v>270486.4050000002</v>
      </c>
      <c r="BO233">
        <v>446888.37399999989</v>
      </c>
      <c r="BP233">
        <v>2814221.66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 x14ac:dyDescent="0.35">
      <c r="A234">
        <v>364794</v>
      </c>
      <c r="B234" t="s">
        <v>259</v>
      </c>
      <c r="C234" t="s">
        <v>260</v>
      </c>
      <c r="D234" s="1">
        <v>45850</v>
      </c>
      <c r="E234">
        <v>53850</v>
      </c>
      <c r="F234">
        <v>105</v>
      </c>
      <c r="G234" t="s">
        <v>47</v>
      </c>
      <c r="H234" t="s">
        <v>262</v>
      </c>
      <c r="I234" t="s">
        <v>48</v>
      </c>
      <c r="L234">
        <v>1053306287103</v>
      </c>
      <c r="M234">
        <v>20250606</v>
      </c>
      <c r="N234" t="s">
        <v>263</v>
      </c>
      <c r="Q234" t="s">
        <v>55</v>
      </c>
      <c r="R234">
        <v>43484.41</v>
      </c>
      <c r="T234">
        <v>4263360</v>
      </c>
      <c r="U234">
        <v>5982300724</v>
      </c>
      <c r="V234" t="s">
        <v>268</v>
      </c>
      <c r="W234" t="s">
        <v>53</v>
      </c>
      <c r="X234" t="s">
        <v>269</v>
      </c>
      <c r="Y234" t="s">
        <v>49</v>
      </c>
      <c r="Z234">
        <v>1058</v>
      </c>
      <c r="AH234">
        <v>0</v>
      </c>
      <c r="AI234">
        <v>202506</v>
      </c>
      <c r="AJ234" t="s">
        <v>160</v>
      </c>
      <c r="AK234">
        <v>1</v>
      </c>
      <c r="AL234">
        <v>1</v>
      </c>
      <c r="AO234">
        <v>0</v>
      </c>
      <c r="AP234">
        <v>999</v>
      </c>
      <c r="AQ234">
        <v>430</v>
      </c>
      <c r="AR234">
        <v>430999</v>
      </c>
      <c r="AT234">
        <v>1</v>
      </c>
      <c r="AU234" t="s">
        <v>54</v>
      </c>
      <c r="AV234">
        <v>25045.55</v>
      </c>
      <c r="AW234">
        <v>26010.331999999999</v>
      </c>
      <c r="AX234">
        <v>27041.058000000001</v>
      </c>
      <c r="AY234">
        <v>28420.708999999999</v>
      </c>
      <c r="AZ234">
        <v>29962.351999999999</v>
      </c>
      <c r="BA234">
        <v>31788.16</v>
      </c>
      <c r="BB234">
        <v>34027.07</v>
      </c>
      <c r="BC234">
        <v>36641.5795</v>
      </c>
      <c r="BD234">
        <v>39840.642</v>
      </c>
      <c r="BE234">
        <v>40000</v>
      </c>
      <c r="BF234">
        <v>41343.269999999997</v>
      </c>
      <c r="BG234">
        <v>44702.324999999997</v>
      </c>
      <c r="BH234">
        <v>49392.076000000001</v>
      </c>
      <c r="BI234">
        <v>58375.907500000008</v>
      </c>
      <c r="BJ234">
        <v>70239.999999999985</v>
      </c>
      <c r="BK234">
        <v>81597.5</v>
      </c>
      <c r="BL234">
        <v>118941.322</v>
      </c>
      <c r="BM234">
        <v>163981.24299999949</v>
      </c>
      <c r="BN234">
        <v>270486.4050000002</v>
      </c>
      <c r="BO234">
        <v>446888.37399999989</v>
      </c>
      <c r="BP234">
        <v>2814221.66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 x14ac:dyDescent="0.35">
      <c r="A235">
        <v>364792</v>
      </c>
      <c r="B235" t="s">
        <v>259</v>
      </c>
      <c r="C235" t="s">
        <v>260</v>
      </c>
      <c r="D235" s="1">
        <v>45850</v>
      </c>
      <c r="E235">
        <v>53850</v>
      </c>
      <c r="F235">
        <v>141</v>
      </c>
      <c r="G235" t="s">
        <v>76</v>
      </c>
      <c r="H235" t="s">
        <v>262</v>
      </c>
      <c r="I235" t="s">
        <v>48</v>
      </c>
      <c r="L235">
        <v>1413300003985</v>
      </c>
      <c r="M235">
        <v>20250623</v>
      </c>
      <c r="N235" t="s">
        <v>263</v>
      </c>
      <c r="Q235" t="s">
        <v>55</v>
      </c>
      <c r="R235">
        <v>2756426.06</v>
      </c>
      <c r="T235">
        <v>4996689</v>
      </c>
      <c r="U235">
        <v>80010360750</v>
      </c>
      <c r="V235" t="s">
        <v>293</v>
      </c>
      <c r="W235" t="s">
        <v>53</v>
      </c>
      <c r="X235" t="s">
        <v>294</v>
      </c>
      <c r="Y235" t="s">
        <v>49</v>
      </c>
      <c r="Z235">
        <v>1940</v>
      </c>
      <c r="AH235">
        <v>0</v>
      </c>
      <c r="AI235">
        <v>202506</v>
      </c>
      <c r="AJ235" t="s">
        <v>162</v>
      </c>
      <c r="AK235">
        <v>1</v>
      </c>
      <c r="AL235">
        <v>1</v>
      </c>
      <c r="AO235">
        <v>0</v>
      </c>
      <c r="AP235">
        <v>931</v>
      </c>
      <c r="AQ235">
        <v>430</v>
      </c>
      <c r="AR235">
        <v>430931</v>
      </c>
      <c r="AS235" t="s">
        <v>58</v>
      </c>
      <c r="AU235" t="s">
        <v>58</v>
      </c>
      <c r="AV235">
        <v>25045.55</v>
      </c>
      <c r="AW235">
        <v>26010.331999999999</v>
      </c>
      <c r="AX235">
        <v>27041.058000000001</v>
      </c>
      <c r="AY235">
        <v>28420.708999999999</v>
      </c>
      <c r="AZ235">
        <v>29962.351999999999</v>
      </c>
      <c r="BA235">
        <v>31788.16</v>
      </c>
      <c r="BB235">
        <v>34027.07</v>
      </c>
      <c r="BC235">
        <v>36641.5795</v>
      </c>
      <c r="BD235">
        <v>39840.642</v>
      </c>
      <c r="BE235">
        <v>40000</v>
      </c>
      <c r="BF235">
        <v>41343.269999999997</v>
      </c>
      <c r="BG235">
        <v>44702.324999999997</v>
      </c>
      <c r="BH235">
        <v>49392.076000000001</v>
      </c>
      <c r="BI235">
        <v>58375.907500000008</v>
      </c>
      <c r="BJ235">
        <v>70239.999999999985</v>
      </c>
      <c r="BK235">
        <v>81597.5</v>
      </c>
      <c r="BL235">
        <v>118941.322</v>
      </c>
      <c r="BM235">
        <v>163981.24299999949</v>
      </c>
      <c r="BN235">
        <v>270486.4050000002</v>
      </c>
      <c r="BO235">
        <v>446888.37399999989</v>
      </c>
      <c r="BP235">
        <v>2814221.66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0</v>
      </c>
    </row>
    <row r="236" spans="1:89" x14ac:dyDescent="0.35">
      <c r="A236">
        <v>364787</v>
      </c>
      <c r="B236" t="s">
        <v>259</v>
      </c>
      <c r="C236" t="s">
        <v>260</v>
      </c>
      <c r="D236" s="1">
        <v>45850</v>
      </c>
      <c r="E236">
        <v>53850</v>
      </c>
      <c r="F236">
        <v>226</v>
      </c>
      <c r="G236" t="s">
        <v>164</v>
      </c>
      <c r="H236" t="s">
        <v>262</v>
      </c>
      <c r="I236" t="s">
        <v>48</v>
      </c>
      <c r="L236">
        <v>2263300011983</v>
      </c>
      <c r="M236">
        <v>20250612</v>
      </c>
      <c r="N236" t="s">
        <v>263</v>
      </c>
      <c r="Q236" t="s">
        <v>55</v>
      </c>
      <c r="R236">
        <v>14500000</v>
      </c>
      <c r="T236">
        <v>4877514</v>
      </c>
      <c r="U236">
        <v>1149290726</v>
      </c>
      <c r="V236" t="s">
        <v>175</v>
      </c>
      <c r="W236" t="s">
        <v>176</v>
      </c>
      <c r="X236" t="s">
        <v>77</v>
      </c>
      <c r="Y236" t="s">
        <v>49</v>
      </c>
      <c r="Z236">
        <v>1696</v>
      </c>
      <c r="AH236">
        <v>0</v>
      </c>
      <c r="AI236">
        <v>202506</v>
      </c>
      <c r="AJ236" t="s">
        <v>160</v>
      </c>
      <c r="AK236">
        <v>1</v>
      </c>
      <c r="AL236">
        <v>1</v>
      </c>
      <c r="AO236">
        <v>0</v>
      </c>
      <c r="AP236">
        <v>999</v>
      </c>
      <c r="AQ236">
        <v>290</v>
      </c>
      <c r="AR236">
        <v>290999</v>
      </c>
      <c r="AT236">
        <v>1</v>
      </c>
      <c r="AU236" t="s">
        <v>59</v>
      </c>
      <c r="AV236">
        <v>25045.55</v>
      </c>
      <c r="AW236">
        <v>26010.331999999999</v>
      </c>
      <c r="AX236">
        <v>27041.058000000001</v>
      </c>
      <c r="AY236">
        <v>28420.708999999999</v>
      </c>
      <c r="AZ236">
        <v>29962.351999999999</v>
      </c>
      <c r="BA236">
        <v>31788.16</v>
      </c>
      <c r="BB236">
        <v>34027.07</v>
      </c>
      <c r="BC236">
        <v>36641.5795</v>
      </c>
      <c r="BD236">
        <v>39840.642</v>
      </c>
      <c r="BE236">
        <v>40000</v>
      </c>
      <c r="BF236">
        <v>41343.269999999997</v>
      </c>
      <c r="BG236">
        <v>44702.324999999997</v>
      </c>
      <c r="BH236">
        <v>49392.076000000001</v>
      </c>
      <c r="BI236">
        <v>58375.907500000008</v>
      </c>
      <c r="BJ236">
        <v>70239.999999999985</v>
      </c>
      <c r="BK236">
        <v>81597.5</v>
      </c>
      <c r="BL236">
        <v>118941.322</v>
      </c>
      <c r="BM236">
        <v>163981.24299999949</v>
      </c>
      <c r="BN236">
        <v>270486.4050000002</v>
      </c>
      <c r="BO236">
        <v>446888.37399999989</v>
      </c>
      <c r="BP236">
        <v>2814221.66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</row>
    <row r="237" spans="1:89" x14ac:dyDescent="0.35">
      <c r="A237">
        <v>364785</v>
      </c>
      <c r="B237" t="s">
        <v>259</v>
      </c>
      <c r="C237" t="s">
        <v>260</v>
      </c>
      <c r="D237" s="1">
        <v>45850</v>
      </c>
      <c r="E237">
        <v>53850</v>
      </c>
      <c r="F237">
        <v>122</v>
      </c>
      <c r="G237" t="s">
        <v>261</v>
      </c>
      <c r="H237" t="s">
        <v>262</v>
      </c>
      <c r="I237" t="s">
        <v>48</v>
      </c>
      <c r="L237">
        <v>1223300001682</v>
      </c>
      <c r="M237">
        <v>20250619</v>
      </c>
      <c r="N237" t="s">
        <v>263</v>
      </c>
      <c r="Q237" t="s">
        <v>55</v>
      </c>
      <c r="R237">
        <v>888195.89</v>
      </c>
      <c r="T237">
        <v>3711207</v>
      </c>
      <c r="U237">
        <v>8825020723</v>
      </c>
      <c r="V237" t="s">
        <v>264</v>
      </c>
      <c r="W237" t="s">
        <v>53</v>
      </c>
      <c r="X237" t="s">
        <v>57</v>
      </c>
      <c r="Y237" t="s">
        <v>49</v>
      </c>
      <c r="Z237">
        <v>1696</v>
      </c>
      <c r="AH237">
        <v>0</v>
      </c>
      <c r="AI237">
        <v>202506</v>
      </c>
      <c r="AJ237" t="s">
        <v>160</v>
      </c>
      <c r="AK237">
        <v>1</v>
      </c>
      <c r="AL237">
        <v>1</v>
      </c>
      <c r="AO237">
        <v>0</v>
      </c>
      <c r="AP237">
        <v>620</v>
      </c>
      <c r="AQ237">
        <v>430</v>
      </c>
      <c r="AR237">
        <v>430620</v>
      </c>
      <c r="AS237" t="s">
        <v>58</v>
      </c>
      <c r="AU237" t="s">
        <v>58</v>
      </c>
      <c r="AV237">
        <v>25045.55</v>
      </c>
      <c r="AW237">
        <v>26010.331999999999</v>
      </c>
      <c r="AX237">
        <v>27041.058000000001</v>
      </c>
      <c r="AY237">
        <v>28420.708999999999</v>
      </c>
      <c r="AZ237">
        <v>29962.351999999999</v>
      </c>
      <c r="BA237">
        <v>31788.16</v>
      </c>
      <c r="BB237">
        <v>34027.07</v>
      </c>
      <c r="BC237">
        <v>36641.5795</v>
      </c>
      <c r="BD237">
        <v>39840.642</v>
      </c>
      <c r="BE237">
        <v>40000</v>
      </c>
      <c r="BF237">
        <v>41343.269999999997</v>
      </c>
      <c r="BG237">
        <v>44702.324999999997</v>
      </c>
      <c r="BH237">
        <v>49392.076000000001</v>
      </c>
      <c r="BI237">
        <v>58375.907500000008</v>
      </c>
      <c r="BJ237">
        <v>70239.999999999985</v>
      </c>
      <c r="BK237">
        <v>81597.5</v>
      </c>
      <c r="BL237">
        <v>118941.322</v>
      </c>
      <c r="BM237">
        <v>163981.24299999949</v>
      </c>
      <c r="BN237">
        <v>270486.4050000002</v>
      </c>
      <c r="BO237">
        <v>446888.37399999989</v>
      </c>
      <c r="BP237">
        <v>2814221.66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0</v>
      </c>
    </row>
    <row r="238" spans="1:89" x14ac:dyDescent="0.35">
      <c r="A238">
        <v>364784</v>
      </c>
      <c r="B238" t="s">
        <v>259</v>
      </c>
      <c r="C238" t="s">
        <v>260</v>
      </c>
      <c r="D238" s="1">
        <v>45850</v>
      </c>
      <c r="E238">
        <v>53850</v>
      </c>
      <c r="F238">
        <v>268</v>
      </c>
      <c r="G238" t="s">
        <v>168</v>
      </c>
      <c r="H238" t="s">
        <v>262</v>
      </c>
      <c r="I238" t="s">
        <v>48</v>
      </c>
      <c r="L238">
        <v>2683300010038</v>
      </c>
      <c r="M238">
        <v>20250612</v>
      </c>
      <c r="N238" t="s">
        <v>263</v>
      </c>
      <c r="Q238" t="s">
        <v>55</v>
      </c>
      <c r="R238">
        <v>121904.64</v>
      </c>
      <c r="T238">
        <v>1604219</v>
      </c>
      <c r="U238">
        <v>952850790</v>
      </c>
      <c r="V238" t="s">
        <v>281</v>
      </c>
      <c r="W238" t="s">
        <v>53</v>
      </c>
      <c r="X238" t="s">
        <v>232</v>
      </c>
      <c r="Y238" t="s">
        <v>49</v>
      </c>
      <c r="Z238">
        <v>1627</v>
      </c>
      <c r="AH238">
        <v>0</v>
      </c>
      <c r="AI238">
        <v>202506</v>
      </c>
      <c r="AJ238" t="s">
        <v>160</v>
      </c>
      <c r="AK238">
        <v>1</v>
      </c>
      <c r="AL238">
        <v>1</v>
      </c>
      <c r="AO238">
        <v>0</v>
      </c>
      <c r="AP238">
        <v>999</v>
      </c>
      <c r="AQ238">
        <v>430</v>
      </c>
      <c r="AR238">
        <v>430999</v>
      </c>
      <c r="AT238">
        <v>1</v>
      </c>
      <c r="AU238" t="s">
        <v>54</v>
      </c>
      <c r="AV238">
        <v>25045.55</v>
      </c>
      <c r="AW238">
        <v>26010.331999999999</v>
      </c>
      <c r="AX238">
        <v>27041.058000000001</v>
      </c>
      <c r="AY238">
        <v>28420.708999999999</v>
      </c>
      <c r="AZ238">
        <v>29962.351999999999</v>
      </c>
      <c r="BA238">
        <v>31788.16</v>
      </c>
      <c r="BB238">
        <v>34027.07</v>
      </c>
      <c r="BC238">
        <v>36641.5795</v>
      </c>
      <c r="BD238">
        <v>39840.642</v>
      </c>
      <c r="BE238">
        <v>40000</v>
      </c>
      <c r="BF238">
        <v>41343.269999999997</v>
      </c>
      <c r="BG238">
        <v>44702.324999999997</v>
      </c>
      <c r="BH238">
        <v>49392.076000000001</v>
      </c>
      <c r="BI238">
        <v>58375.907500000008</v>
      </c>
      <c r="BJ238">
        <v>70239.999999999985</v>
      </c>
      <c r="BK238">
        <v>81597.5</v>
      </c>
      <c r="BL238">
        <v>118941.322</v>
      </c>
      <c r="BM238">
        <v>163981.24299999949</v>
      </c>
      <c r="BN238">
        <v>270486.4050000002</v>
      </c>
      <c r="BO238">
        <v>446888.37399999989</v>
      </c>
      <c r="BP238">
        <v>2814221.66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0</v>
      </c>
      <c r="CI238">
        <v>0</v>
      </c>
      <c r="CJ238">
        <v>0</v>
      </c>
      <c r="CK238">
        <v>0</v>
      </c>
    </row>
    <row r="239" spans="1:89" x14ac:dyDescent="0.35">
      <c r="A239">
        <v>364776</v>
      </c>
      <c r="B239" t="s">
        <v>259</v>
      </c>
      <c r="C239" t="s">
        <v>260</v>
      </c>
      <c r="D239" s="1">
        <v>45850</v>
      </c>
      <c r="E239">
        <v>53850</v>
      </c>
      <c r="F239">
        <v>120</v>
      </c>
      <c r="G239" t="s">
        <v>248</v>
      </c>
      <c r="H239" t="s">
        <v>262</v>
      </c>
      <c r="I239" t="s">
        <v>48</v>
      </c>
      <c r="L239">
        <v>1203300002401</v>
      </c>
      <c r="M239">
        <v>20250613</v>
      </c>
      <c r="N239" t="s">
        <v>263</v>
      </c>
      <c r="Q239" t="s">
        <v>55</v>
      </c>
      <c r="R239">
        <v>9247000</v>
      </c>
      <c r="T239">
        <v>613876</v>
      </c>
      <c r="U239">
        <v>574290722</v>
      </c>
      <c r="V239" t="s">
        <v>249</v>
      </c>
      <c r="W239" t="s">
        <v>250</v>
      </c>
      <c r="X239" t="s">
        <v>251</v>
      </c>
      <c r="Y239" t="s">
        <v>49</v>
      </c>
      <c r="Z239">
        <v>1058</v>
      </c>
      <c r="AH239">
        <v>0</v>
      </c>
      <c r="AI239">
        <v>202506</v>
      </c>
      <c r="AJ239" t="s">
        <v>162</v>
      </c>
      <c r="AK239">
        <v>1</v>
      </c>
      <c r="AL239">
        <v>1</v>
      </c>
      <c r="AM239">
        <v>613876</v>
      </c>
      <c r="AN239">
        <v>1</v>
      </c>
      <c r="AO239">
        <v>0</v>
      </c>
      <c r="AP239">
        <v>999</v>
      </c>
      <c r="AQ239">
        <v>500</v>
      </c>
      <c r="AR239">
        <v>500999</v>
      </c>
      <c r="AT239">
        <v>1</v>
      </c>
      <c r="AU239" t="s">
        <v>58</v>
      </c>
      <c r="AV239">
        <v>25045.55</v>
      </c>
      <c r="AW239">
        <v>26010.331999999999</v>
      </c>
      <c r="AX239">
        <v>27041.058000000001</v>
      </c>
      <c r="AY239">
        <v>28420.708999999999</v>
      </c>
      <c r="AZ239">
        <v>29962.351999999999</v>
      </c>
      <c r="BA239">
        <v>31788.16</v>
      </c>
      <c r="BB239">
        <v>34027.07</v>
      </c>
      <c r="BC239">
        <v>36641.5795</v>
      </c>
      <c r="BD239">
        <v>39840.642</v>
      </c>
      <c r="BE239">
        <v>40000</v>
      </c>
      <c r="BF239">
        <v>41343.269999999997</v>
      </c>
      <c r="BG239">
        <v>44702.324999999997</v>
      </c>
      <c r="BH239">
        <v>49392.076000000001</v>
      </c>
      <c r="BI239">
        <v>58375.907500000008</v>
      </c>
      <c r="BJ239">
        <v>70239.999999999985</v>
      </c>
      <c r="BK239">
        <v>81597.5</v>
      </c>
      <c r="BL239">
        <v>118941.322</v>
      </c>
      <c r="BM239">
        <v>163981.24299999949</v>
      </c>
      <c r="BN239">
        <v>270486.4050000002</v>
      </c>
      <c r="BO239">
        <v>446888.37399999989</v>
      </c>
      <c r="BP239">
        <v>2814221.66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</row>
    <row r="240" spans="1:89" x14ac:dyDescent="0.35">
      <c r="A240">
        <v>364774</v>
      </c>
      <c r="B240" t="s">
        <v>259</v>
      </c>
      <c r="C240" t="s">
        <v>260</v>
      </c>
      <c r="D240" s="1">
        <v>45850</v>
      </c>
      <c r="E240">
        <v>53850</v>
      </c>
      <c r="F240">
        <v>136</v>
      </c>
      <c r="G240" t="s">
        <v>68</v>
      </c>
      <c r="H240" t="s">
        <v>262</v>
      </c>
      <c r="I240" t="s">
        <v>48</v>
      </c>
      <c r="L240">
        <v>1363300003325</v>
      </c>
      <c r="M240">
        <v>20250606</v>
      </c>
      <c r="N240" t="s">
        <v>263</v>
      </c>
      <c r="Q240" t="s">
        <v>55</v>
      </c>
      <c r="R240">
        <v>51043.47</v>
      </c>
      <c r="T240">
        <v>4395683</v>
      </c>
      <c r="U240">
        <v>2036760037</v>
      </c>
      <c r="V240" t="s">
        <v>69</v>
      </c>
      <c r="W240" t="s">
        <v>53</v>
      </c>
      <c r="X240" t="s">
        <v>70</v>
      </c>
      <c r="Y240" t="s">
        <v>49</v>
      </c>
      <c r="Z240">
        <v>1627</v>
      </c>
      <c r="AH240">
        <v>0</v>
      </c>
      <c r="AI240">
        <v>202506</v>
      </c>
      <c r="AJ240" t="s">
        <v>61</v>
      </c>
      <c r="AK240">
        <v>0</v>
      </c>
      <c r="AL240">
        <v>1</v>
      </c>
      <c r="AO240">
        <v>0</v>
      </c>
      <c r="AP240">
        <v>999</v>
      </c>
      <c r="AQ240">
        <v>430</v>
      </c>
      <c r="AR240">
        <v>430999</v>
      </c>
      <c r="AT240">
        <v>1</v>
      </c>
      <c r="AU240" t="s">
        <v>54</v>
      </c>
      <c r="AV240">
        <v>25045.55</v>
      </c>
      <c r="AW240">
        <v>26010.331999999999</v>
      </c>
      <c r="AX240">
        <v>27041.058000000001</v>
      </c>
      <c r="AY240">
        <v>28420.708999999999</v>
      </c>
      <c r="AZ240">
        <v>29962.351999999999</v>
      </c>
      <c r="BA240">
        <v>31788.16</v>
      </c>
      <c r="BB240">
        <v>34027.07</v>
      </c>
      <c r="BC240">
        <v>36641.5795</v>
      </c>
      <c r="BD240">
        <v>39840.642</v>
      </c>
      <c r="BE240">
        <v>40000</v>
      </c>
      <c r="BF240">
        <v>41343.269999999997</v>
      </c>
      <c r="BG240">
        <v>44702.324999999997</v>
      </c>
      <c r="BH240">
        <v>49392.076000000001</v>
      </c>
      <c r="BI240">
        <v>58375.907500000008</v>
      </c>
      <c r="BJ240">
        <v>70239.999999999985</v>
      </c>
      <c r="BK240">
        <v>81597.5</v>
      </c>
      <c r="BL240">
        <v>118941.322</v>
      </c>
      <c r="BM240">
        <v>163981.24299999949</v>
      </c>
      <c r="BN240">
        <v>270486.4050000002</v>
      </c>
      <c r="BO240">
        <v>446888.37399999989</v>
      </c>
      <c r="BP240">
        <v>2814221.66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 x14ac:dyDescent="0.35">
      <c r="A241">
        <v>364771</v>
      </c>
      <c r="B241" t="s">
        <v>259</v>
      </c>
      <c r="C241" t="s">
        <v>260</v>
      </c>
      <c r="D241" s="1">
        <v>45850</v>
      </c>
      <c r="E241">
        <v>53850</v>
      </c>
      <c r="F241">
        <v>287</v>
      </c>
      <c r="G241" t="s">
        <v>345</v>
      </c>
      <c r="H241" t="s">
        <v>262</v>
      </c>
      <c r="I241" t="s">
        <v>48</v>
      </c>
      <c r="L241">
        <v>2873300001853</v>
      </c>
      <c r="M241">
        <v>20250603</v>
      </c>
      <c r="N241" t="s">
        <v>279</v>
      </c>
      <c r="Q241" t="s">
        <v>55</v>
      </c>
      <c r="R241">
        <v>49901.69</v>
      </c>
      <c r="T241">
        <v>3722213</v>
      </c>
      <c r="U241">
        <v>2021570698</v>
      </c>
      <c r="V241" t="s">
        <v>346</v>
      </c>
      <c r="W241" t="s">
        <v>53</v>
      </c>
      <c r="X241" t="s">
        <v>74</v>
      </c>
      <c r="Y241" t="s">
        <v>49</v>
      </c>
      <c r="Z241">
        <v>1877</v>
      </c>
      <c r="AH241">
        <v>0</v>
      </c>
      <c r="AI241">
        <v>202506</v>
      </c>
      <c r="AJ241" t="s">
        <v>160</v>
      </c>
      <c r="AK241">
        <v>1</v>
      </c>
      <c r="AL241">
        <v>1</v>
      </c>
      <c r="AM241">
        <v>3722213</v>
      </c>
      <c r="AN241">
        <v>1</v>
      </c>
      <c r="AO241">
        <v>0</v>
      </c>
      <c r="AP241">
        <v>463</v>
      </c>
      <c r="AQ241">
        <v>430</v>
      </c>
      <c r="AR241">
        <v>430463</v>
      </c>
      <c r="AS241" t="s">
        <v>58</v>
      </c>
      <c r="AU241" t="s">
        <v>58</v>
      </c>
      <c r="AV241">
        <v>25045.55</v>
      </c>
      <c r="AW241">
        <v>26010.331999999999</v>
      </c>
      <c r="AX241">
        <v>27041.058000000001</v>
      </c>
      <c r="AY241">
        <v>28420.708999999999</v>
      </c>
      <c r="AZ241">
        <v>29962.351999999999</v>
      </c>
      <c r="BA241">
        <v>31788.16</v>
      </c>
      <c r="BB241">
        <v>34027.07</v>
      </c>
      <c r="BC241">
        <v>36641.5795</v>
      </c>
      <c r="BD241">
        <v>39840.642</v>
      </c>
      <c r="BE241">
        <v>40000</v>
      </c>
      <c r="BF241">
        <v>41343.269999999997</v>
      </c>
      <c r="BG241">
        <v>44702.324999999997</v>
      </c>
      <c r="BH241">
        <v>49392.076000000001</v>
      </c>
      <c r="BI241">
        <v>58375.907500000008</v>
      </c>
      <c r="BJ241">
        <v>70239.999999999985</v>
      </c>
      <c r="BK241">
        <v>81597.5</v>
      </c>
      <c r="BL241">
        <v>118941.322</v>
      </c>
      <c r="BM241">
        <v>163981.24299999949</v>
      </c>
      <c r="BN241">
        <v>270486.4050000002</v>
      </c>
      <c r="BO241">
        <v>446888.37399999989</v>
      </c>
      <c r="BP241">
        <v>2814221.66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 x14ac:dyDescent="0.35">
      <c r="A242">
        <v>364760</v>
      </c>
      <c r="B242" t="s">
        <v>259</v>
      </c>
      <c r="C242" t="s">
        <v>260</v>
      </c>
      <c r="D242" s="1">
        <v>45850</v>
      </c>
      <c r="E242">
        <v>53850</v>
      </c>
      <c r="F242">
        <v>147</v>
      </c>
      <c r="G242" t="s">
        <v>84</v>
      </c>
      <c r="H242" t="s">
        <v>262</v>
      </c>
      <c r="I242" t="s">
        <v>48</v>
      </c>
      <c r="L242">
        <v>1473300002782</v>
      </c>
      <c r="M242">
        <v>20250603</v>
      </c>
      <c r="N242" t="s">
        <v>263</v>
      </c>
      <c r="Q242" t="s">
        <v>55</v>
      </c>
      <c r="R242">
        <v>70228.639999999999</v>
      </c>
      <c r="T242">
        <v>4921138</v>
      </c>
      <c r="U242">
        <v>92008910637</v>
      </c>
      <c r="V242" t="s">
        <v>347</v>
      </c>
      <c r="W242" t="s">
        <v>348</v>
      </c>
      <c r="Y242" t="s">
        <v>49</v>
      </c>
      <c r="Z242">
        <v>1356</v>
      </c>
      <c r="AH242">
        <v>0</v>
      </c>
      <c r="AI242">
        <v>202506</v>
      </c>
      <c r="AJ242" t="s">
        <v>160</v>
      </c>
      <c r="AK242">
        <v>1</v>
      </c>
      <c r="AL242">
        <v>1</v>
      </c>
      <c r="AO242">
        <v>0</v>
      </c>
      <c r="AP242">
        <v>999</v>
      </c>
      <c r="AQ242">
        <v>102</v>
      </c>
      <c r="AR242">
        <v>102999</v>
      </c>
      <c r="AS242" t="s">
        <v>59</v>
      </c>
      <c r="AU242" t="s">
        <v>59</v>
      </c>
      <c r="AV242">
        <v>25045.55</v>
      </c>
      <c r="AW242">
        <v>26010.331999999999</v>
      </c>
      <c r="AX242">
        <v>27041.058000000001</v>
      </c>
      <c r="AY242">
        <v>28420.708999999999</v>
      </c>
      <c r="AZ242">
        <v>29962.351999999999</v>
      </c>
      <c r="BA242">
        <v>31788.16</v>
      </c>
      <c r="BB242">
        <v>34027.07</v>
      </c>
      <c r="BC242">
        <v>36641.5795</v>
      </c>
      <c r="BD242">
        <v>39840.642</v>
      </c>
      <c r="BE242">
        <v>40000</v>
      </c>
      <c r="BF242">
        <v>41343.269999999997</v>
      </c>
      <c r="BG242">
        <v>44702.324999999997</v>
      </c>
      <c r="BH242">
        <v>49392.076000000001</v>
      </c>
      <c r="BI242">
        <v>58375.907500000008</v>
      </c>
      <c r="BJ242">
        <v>70239.999999999985</v>
      </c>
      <c r="BK242">
        <v>81597.5</v>
      </c>
      <c r="BL242">
        <v>118941.322</v>
      </c>
      <c r="BM242">
        <v>163981.24299999949</v>
      </c>
      <c r="BN242">
        <v>270486.4050000002</v>
      </c>
      <c r="BO242">
        <v>446888.37399999989</v>
      </c>
      <c r="BP242">
        <v>2814221.66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 x14ac:dyDescent="0.35">
      <c r="A243">
        <v>364756</v>
      </c>
      <c r="B243" t="s">
        <v>259</v>
      </c>
      <c r="C243" t="s">
        <v>260</v>
      </c>
      <c r="D243" s="1">
        <v>45850</v>
      </c>
      <c r="E243">
        <v>53850</v>
      </c>
      <c r="F243">
        <v>267</v>
      </c>
      <c r="G243" t="s">
        <v>163</v>
      </c>
      <c r="H243" t="s">
        <v>262</v>
      </c>
      <c r="I243" t="s">
        <v>48</v>
      </c>
      <c r="L243">
        <v>2673300010274</v>
      </c>
      <c r="M243">
        <v>20250606</v>
      </c>
      <c r="N243" t="s">
        <v>263</v>
      </c>
      <c r="Q243" t="s">
        <v>55</v>
      </c>
      <c r="R243">
        <v>63153.94</v>
      </c>
      <c r="T243">
        <v>4992646</v>
      </c>
      <c r="U243">
        <v>3152440792</v>
      </c>
      <c r="V243" t="s">
        <v>349</v>
      </c>
      <c r="W243" t="s">
        <v>53</v>
      </c>
      <c r="X243" t="s">
        <v>246</v>
      </c>
      <c r="Y243" t="s">
        <v>49</v>
      </c>
      <c r="Z243">
        <v>1627</v>
      </c>
      <c r="AH243">
        <v>0</v>
      </c>
      <c r="AI243">
        <v>202506</v>
      </c>
      <c r="AJ243" t="s">
        <v>160</v>
      </c>
      <c r="AK243">
        <v>1</v>
      </c>
      <c r="AL243">
        <v>1</v>
      </c>
      <c r="AO243">
        <v>0</v>
      </c>
      <c r="AP243">
        <v>999</v>
      </c>
      <c r="AQ243">
        <v>430</v>
      </c>
      <c r="AR243">
        <v>430999</v>
      </c>
      <c r="AT243">
        <v>1</v>
      </c>
      <c r="AU243" t="s">
        <v>54</v>
      </c>
      <c r="AV243">
        <v>25045.55</v>
      </c>
      <c r="AW243">
        <v>26010.331999999999</v>
      </c>
      <c r="AX243">
        <v>27041.058000000001</v>
      </c>
      <c r="AY243">
        <v>28420.708999999999</v>
      </c>
      <c r="AZ243">
        <v>29962.351999999999</v>
      </c>
      <c r="BA243">
        <v>31788.16</v>
      </c>
      <c r="BB243">
        <v>34027.07</v>
      </c>
      <c r="BC243">
        <v>36641.5795</v>
      </c>
      <c r="BD243">
        <v>39840.642</v>
      </c>
      <c r="BE243">
        <v>40000</v>
      </c>
      <c r="BF243">
        <v>41343.269999999997</v>
      </c>
      <c r="BG243">
        <v>44702.324999999997</v>
      </c>
      <c r="BH243">
        <v>49392.076000000001</v>
      </c>
      <c r="BI243">
        <v>58375.907500000008</v>
      </c>
      <c r="BJ243">
        <v>70239.999999999985</v>
      </c>
      <c r="BK243">
        <v>81597.5</v>
      </c>
      <c r="BL243">
        <v>118941.322</v>
      </c>
      <c r="BM243">
        <v>163981.24299999949</v>
      </c>
      <c r="BN243">
        <v>270486.4050000002</v>
      </c>
      <c r="BO243">
        <v>446888.37399999989</v>
      </c>
      <c r="BP243">
        <v>2814221.66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 x14ac:dyDescent="0.35">
      <c r="A244">
        <v>364753</v>
      </c>
      <c r="B244" t="s">
        <v>259</v>
      </c>
      <c r="C244" t="s">
        <v>260</v>
      </c>
      <c r="D244" s="1">
        <v>45850</v>
      </c>
      <c r="E244">
        <v>53850</v>
      </c>
      <c r="F244">
        <v>153</v>
      </c>
      <c r="G244" t="s">
        <v>81</v>
      </c>
      <c r="H244" t="s">
        <v>262</v>
      </c>
      <c r="I244" t="s">
        <v>48</v>
      </c>
      <c r="L244">
        <v>1533300662905</v>
      </c>
      <c r="M244">
        <v>20250606</v>
      </c>
      <c r="N244" t="s">
        <v>263</v>
      </c>
      <c r="Q244" t="s">
        <v>55</v>
      </c>
      <c r="R244">
        <v>263439.96000000002</v>
      </c>
      <c r="T244">
        <v>4165339</v>
      </c>
      <c r="U244">
        <v>5612950633</v>
      </c>
      <c r="V244" t="s">
        <v>350</v>
      </c>
      <c r="W244" t="s">
        <v>53</v>
      </c>
      <c r="X244" t="s">
        <v>351</v>
      </c>
      <c r="Y244" t="s">
        <v>49</v>
      </c>
      <c r="Z244">
        <v>982</v>
      </c>
      <c r="AH244">
        <v>0</v>
      </c>
      <c r="AI244">
        <v>202506</v>
      </c>
      <c r="AJ244" t="s">
        <v>61</v>
      </c>
      <c r="AK244">
        <v>0</v>
      </c>
      <c r="AL244">
        <v>1</v>
      </c>
      <c r="AO244">
        <v>0</v>
      </c>
      <c r="AP244">
        <v>236</v>
      </c>
      <c r="AQ244">
        <v>430</v>
      </c>
      <c r="AR244">
        <v>430236</v>
      </c>
      <c r="AS244" t="s">
        <v>58</v>
      </c>
      <c r="AU244" t="s">
        <v>58</v>
      </c>
      <c r="AV244">
        <v>25045.55</v>
      </c>
      <c r="AW244">
        <v>26010.331999999999</v>
      </c>
      <c r="AX244">
        <v>27041.058000000001</v>
      </c>
      <c r="AY244">
        <v>28420.708999999999</v>
      </c>
      <c r="AZ244">
        <v>29962.351999999999</v>
      </c>
      <c r="BA244">
        <v>31788.16</v>
      </c>
      <c r="BB244">
        <v>34027.07</v>
      </c>
      <c r="BC244">
        <v>36641.5795</v>
      </c>
      <c r="BD244">
        <v>39840.642</v>
      </c>
      <c r="BE244">
        <v>40000</v>
      </c>
      <c r="BF244">
        <v>41343.269999999997</v>
      </c>
      <c r="BG244">
        <v>44702.324999999997</v>
      </c>
      <c r="BH244">
        <v>49392.076000000001</v>
      </c>
      <c r="BI244">
        <v>58375.907500000008</v>
      </c>
      <c r="BJ244">
        <v>70239.999999999985</v>
      </c>
      <c r="BK244">
        <v>81597.5</v>
      </c>
      <c r="BL244">
        <v>118941.322</v>
      </c>
      <c r="BM244">
        <v>163981.24299999949</v>
      </c>
      <c r="BN244">
        <v>270486.4050000002</v>
      </c>
      <c r="BO244">
        <v>446888.37399999989</v>
      </c>
      <c r="BP244">
        <v>2814221.66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0</v>
      </c>
      <c r="CJ244">
        <v>0</v>
      </c>
      <c r="CK244">
        <v>0</v>
      </c>
    </row>
    <row r="245" spans="1:89" x14ac:dyDescent="0.35">
      <c r="A245">
        <v>364743</v>
      </c>
      <c r="B245" t="s">
        <v>259</v>
      </c>
      <c r="C245" t="s">
        <v>260</v>
      </c>
      <c r="D245" s="1">
        <v>45850</v>
      </c>
      <c r="E245">
        <v>53850</v>
      </c>
      <c r="F245">
        <v>171</v>
      </c>
      <c r="G245" t="s">
        <v>72</v>
      </c>
      <c r="H245" t="s">
        <v>262</v>
      </c>
      <c r="I245" t="s">
        <v>48</v>
      </c>
      <c r="L245">
        <v>1713302213842</v>
      </c>
      <c r="M245">
        <v>20250625</v>
      </c>
      <c r="N245" t="s">
        <v>263</v>
      </c>
      <c r="Q245" t="s">
        <v>55</v>
      </c>
      <c r="R245">
        <v>500000</v>
      </c>
      <c r="T245">
        <v>4148505</v>
      </c>
      <c r="U245">
        <v>5848860721</v>
      </c>
      <c r="V245" t="s">
        <v>171</v>
      </c>
      <c r="W245" t="s">
        <v>53</v>
      </c>
      <c r="X245" t="s">
        <v>85</v>
      </c>
      <c r="Y245" t="s">
        <v>49</v>
      </c>
      <c r="Z245">
        <v>1903</v>
      </c>
      <c r="AH245">
        <v>0</v>
      </c>
      <c r="AI245">
        <v>202506</v>
      </c>
      <c r="AJ245" t="s">
        <v>160</v>
      </c>
      <c r="AK245">
        <v>1</v>
      </c>
      <c r="AL245">
        <v>1</v>
      </c>
      <c r="AO245">
        <v>0</v>
      </c>
      <c r="AP245">
        <v>999</v>
      </c>
      <c r="AQ245">
        <v>430</v>
      </c>
      <c r="AR245">
        <v>430999</v>
      </c>
      <c r="AT245">
        <v>1</v>
      </c>
      <c r="AU245" t="s">
        <v>54</v>
      </c>
      <c r="AV245">
        <v>25045.55</v>
      </c>
      <c r="AW245">
        <v>26010.331999999999</v>
      </c>
      <c r="AX245">
        <v>27041.058000000001</v>
      </c>
      <c r="AY245">
        <v>28420.708999999999</v>
      </c>
      <c r="AZ245">
        <v>29962.351999999999</v>
      </c>
      <c r="BA245">
        <v>31788.16</v>
      </c>
      <c r="BB245">
        <v>34027.07</v>
      </c>
      <c r="BC245">
        <v>36641.5795</v>
      </c>
      <c r="BD245">
        <v>39840.642</v>
      </c>
      <c r="BE245">
        <v>40000</v>
      </c>
      <c r="BF245">
        <v>41343.269999999997</v>
      </c>
      <c r="BG245">
        <v>44702.324999999997</v>
      </c>
      <c r="BH245">
        <v>49392.076000000001</v>
      </c>
      <c r="BI245">
        <v>58375.907500000008</v>
      </c>
      <c r="BJ245">
        <v>70239.999999999985</v>
      </c>
      <c r="BK245">
        <v>81597.5</v>
      </c>
      <c r="BL245">
        <v>118941.322</v>
      </c>
      <c r="BM245">
        <v>163981.24299999949</v>
      </c>
      <c r="BN245">
        <v>270486.4050000002</v>
      </c>
      <c r="BO245">
        <v>446888.37399999989</v>
      </c>
      <c r="BP245">
        <v>2814221.66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0</v>
      </c>
    </row>
    <row r="246" spans="1:89" x14ac:dyDescent="0.35">
      <c r="A246">
        <v>364737</v>
      </c>
      <c r="B246" t="s">
        <v>259</v>
      </c>
      <c r="C246" t="s">
        <v>260</v>
      </c>
      <c r="D246" s="1">
        <v>45850</v>
      </c>
      <c r="E246">
        <v>53850</v>
      </c>
      <c r="F246">
        <v>108</v>
      </c>
      <c r="G246" t="s">
        <v>88</v>
      </c>
      <c r="H246" t="s">
        <v>262</v>
      </c>
      <c r="I246" t="s">
        <v>48</v>
      </c>
      <c r="L246">
        <v>1083300011180</v>
      </c>
      <c r="M246">
        <v>20250611</v>
      </c>
      <c r="N246" t="s">
        <v>263</v>
      </c>
      <c r="Q246" t="s">
        <v>55</v>
      </c>
      <c r="R246">
        <v>88032.51</v>
      </c>
      <c r="T246">
        <v>1118</v>
      </c>
      <c r="U246">
        <v>3246700722</v>
      </c>
      <c r="V246" t="s">
        <v>302</v>
      </c>
      <c r="W246" t="s">
        <v>53</v>
      </c>
      <c r="X246" t="s">
        <v>286</v>
      </c>
      <c r="Y246" t="s">
        <v>49</v>
      </c>
      <c r="Z246">
        <v>1058</v>
      </c>
      <c r="AH246">
        <v>0</v>
      </c>
      <c r="AI246">
        <v>202506</v>
      </c>
      <c r="AJ246" t="s">
        <v>160</v>
      </c>
      <c r="AK246">
        <v>1</v>
      </c>
      <c r="AL246">
        <v>1</v>
      </c>
      <c r="AO246">
        <v>0</v>
      </c>
      <c r="AP246">
        <v>999</v>
      </c>
      <c r="AQ246">
        <v>430</v>
      </c>
      <c r="AR246">
        <v>430999</v>
      </c>
      <c r="AT246">
        <v>1</v>
      </c>
      <c r="AU246" t="s">
        <v>54</v>
      </c>
      <c r="AV246">
        <v>25045.55</v>
      </c>
      <c r="AW246">
        <v>26010.331999999999</v>
      </c>
      <c r="AX246">
        <v>27041.058000000001</v>
      </c>
      <c r="AY246">
        <v>28420.708999999999</v>
      </c>
      <c r="AZ246">
        <v>29962.351999999999</v>
      </c>
      <c r="BA246">
        <v>31788.16</v>
      </c>
      <c r="BB246">
        <v>34027.07</v>
      </c>
      <c r="BC246">
        <v>36641.5795</v>
      </c>
      <c r="BD246">
        <v>39840.642</v>
      </c>
      <c r="BE246">
        <v>40000</v>
      </c>
      <c r="BF246">
        <v>41343.269999999997</v>
      </c>
      <c r="BG246">
        <v>44702.324999999997</v>
      </c>
      <c r="BH246">
        <v>49392.076000000001</v>
      </c>
      <c r="BI246">
        <v>58375.907500000008</v>
      </c>
      <c r="BJ246">
        <v>70239.999999999985</v>
      </c>
      <c r="BK246">
        <v>81597.5</v>
      </c>
      <c r="BL246">
        <v>118941.322</v>
      </c>
      <c r="BM246">
        <v>163981.24299999949</v>
      </c>
      <c r="BN246">
        <v>270486.4050000002</v>
      </c>
      <c r="BO246">
        <v>446888.37399999989</v>
      </c>
      <c r="BP246">
        <v>2814221.66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 x14ac:dyDescent="0.35">
      <c r="A247">
        <v>364736</v>
      </c>
      <c r="B247" t="s">
        <v>259</v>
      </c>
      <c r="C247" t="s">
        <v>260</v>
      </c>
      <c r="D247" s="1">
        <v>45850</v>
      </c>
      <c r="E247">
        <v>53850</v>
      </c>
      <c r="F247">
        <v>120</v>
      </c>
      <c r="G247" t="s">
        <v>248</v>
      </c>
      <c r="H247" t="s">
        <v>262</v>
      </c>
      <c r="I247" t="s">
        <v>48</v>
      </c>
      <c r="L247">
        <v>1203300002401</v>
      </c>
      <c r="M247">
        <v>20250612</v>
      </c>
      <c r="N247" t="s">
        <v>263</v>
      </c>
      <c r="Q247" t="s">
        <v>55</v>
      </c>
      <c r="R247">
        <v>500000</v>
      </c>
      <c r="T247">
        <v>613876</v>
      </c>
      <c r="U247">
        <v>574290722</v>
      </c>
      <c r="V247" t="s">
        <v>249</v>
      </c>
      <c r="W247" t="s">
        <v>250</v>
      </c>
      <c r="X247" t="s">
        <v>251</v>
      </c>
      <c r="Y247" t="s">
        <v>49</v>
      </c>
      <c r="Z247">
        <v>1058</v>
      </c>
      <c r="AH247">
        <v>0</v>
      </c>
      <c r="AI247">
        <v>202506</v>
      </c>
      <c r="AJ247" t="s">
        <v>162</v>
      </c>
      <c r="AK247">
        <v>1</v>
      </c>
      <c r="AL247">
        <v>1</v>
      </c>
      <c r="AM247">
        <v>613876</v>
      </c>
      <c r="AN247">
        <v>1</v>
      </c>
      <c r="AO247">
        <v>0</v>
      </c>
      <c r="AP247">
        <v>999</v>
      </c>
      <c r="AQ247">
        <v>500</v>
      </c>
      <c r="AR247">
        <v>500999</v>
      </c>
      <c r="AT247">
        <v>1</v>
      </c>
      <c r="AU247" t="s">
        <v>58</v>
      </c>
      <c r="AV247">
        <v>25045.55</v>
      </c>
      <c r="AW247">
        <v>26010.331999999999</v>
      </c>
      <c r="AX247">
        <v>27041.058000000001</v>
      </c>
      <c r="AY247">
        <v>28420.708999999999</v>
      </c>
      <c r="AZ247">
        <v>29962.351999999999</v>
      </c>
      <c r="BA247">
        <v>31788.16</v>
      </c>
      <c r="BB247">
        <v>34027.07</v>
      </c>
      <c r="BC247">
        <v>36641.5795</v>
      </c>
      <c r="BD247">
        <v>39840.642</v>
      </c>
      <c r="BE247">
        <v>40000</v>
      </c>
      <c r="BF247">
        <v>41343.269999999997</v>
      </c>
      <c r="BG247">
        <v>44702.324999999997</v>
      </c>
      <c r="BH247">
        <v>49392.076000000001</v>
      </c>
      <c r="BI247">
        <v>58375.907500000008</v>
      </c>
      <c r="BJ247">
        <v>70239.999999999985</v>
      </c>
      <c r="BK247">
        <v>81597.5</v>
      </c>
      <c r="BL247">
        <v>118941.322</v>
      </c>
      <c r="BM247">
        <v>163981.24299999949</v>
      </c>
      <c r="BN247">
        <v>270486.4050000002</v>
      </c>
      <c r="BO247">
        <v>446888.37399999989</v>
      </c>
      <c r="BP247">
        <v>2814221.66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0</v>
      </c>
    </row>
    <row r="248" spans="1:89" x14ac:dyDescent="0.35">
      <c r="A248">
        <v>364732</v>
      </c>
      <c r="B248" t="s">
        <v>259</v>
      </c>
      <c r="C248" t="s">
        <v>260</v>
      </c>
      <c r="D248" s="1">
        <v>45850</v>
      </c>
      <c r="E248">
        <v>53850</v>
      </c>
      <c r="F248">
        <v>287</v>
      </c>
      <c r="G248" t="s">
        <v>345</v>
      </c>
      <c r="H248" t="s">
        <v>262</v>
      </c>
      <c r="I248" t="s">
        <v>48</v>
      </c>
      <c r="L248">
        <v>2873300001853</v>
      </c>
      <c r="M248">
        <v>20250606</v>
      </c>
      <c r="N248" t="s">
        <v>279</v>
      </c>
      <c r="Q248" t="s">
        <v>55</v>
      </c>
      <c r="R248">
        <v>29055.98</v>
      </c>
      <c r="T248">
        <v>3722213</v>
      </c>
      <c r="U248">
        <v>2021570698</v>
      </c>
      <c r="V248" t="s">
        <v>346</v>
      </c>
      <c r="W248" t="s">
        <v>53</v>
      </c>
      <c r="X248" t="s">
        <v>74</v>
      </c>
      <c r="Y248" t="s">
        <v>49</v>
      </c>
      <c r="Z248">
        <v>1877</v>
      </c>
      <c r="AH248">
        <v>0</v>
      </c>
      <c r="AI248">
        <v>202506</v>
      </c>
      <c r="AJ248" t="s">
        <v>160</v>
      </c>
      <c r="AK248">
        <v>1</v>
      </c>
      <c r="AL248">
        <v>1</v>
      </c>
      <c r="AM248">
        <v>3722213</v>
      </c>
      <c r="AN248">
        <v>1</v>
      </c>
      <c r="AO248">
        <v>0</v>
      </c>
      <c r="AP248">
        <v>463</v>
      </c>
      <c r="AQ248">
        <v>430</v>
      </c>
      <c r="AR248">
        <v>430463</v>
      </c>
      <c r="AS248" t="s">
        <v>58</v>
      </c>
      <c r="AU248" t="s">
        <v>58</v>
      </c>
      <c r="AV248">
        <v>25045.55</v>
      </c>
      <c r="AW248">
        <v>26010.331999999999</v>
      </c>
      <c r="AX248">
        <v>27041.058000000001</v>
      </c>
      <c r="AY248">
        <v>28420.708999999999</v>
      </c>
      <c r="AZ248">
        <v>29962.351999999999</v>
      </c>
      <c r="BA248">
        <v>31788.16</v>
      </c>
      <c r="BB248">
        <v>34027.07</v>
      </c>
      <c r="BC248">
        <v>36641.5795</v>
      </c>
      <c r="BD248">
        <v>39840.642</v>
      </c>
      <c r="BE248">
        <v>40000</v>
      </c>
      <c r="BF248">
        <v>41343.269999999997</v>
      </c>
      <c r="BG248">
        <v>44702.324999999997</v>
      </c>
      <c r="BH248">
        <v>49392.076000000001</v>
      </c>
      <c r="BI248">
        <v>58375.907500000008</v>
      </c>
      <c r="BJ248">
        <v>70239.999999999985</v>
      </c>
      <c r="BK248">
        <v>81597.5</v>
      </c>
      <c r="BL248">
        <v>118941.322</v>
      </c>
      <c r="BM248">
        <v>163981.24299999949</v>
      </c>
      <c r="BN248">
        <v>270486.4050000002</v>
      </c>
      <c r="BO248">
        <v>446888.37399999989</v>
      </c>
      <c r="BP248">
        <v>2814221.66</v>
      </c>
      <c r="BQ248">
        <v>1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 x14ac:dyDescent="0.35">
      <c r="A249">
        <v>364727</v>
      </c>
      <c r="B249" t="s">
        <v>259</v>
      </c>
      <c r="C249" t="s">
        <v>260</v>
      </c>
      <c r="D249" s="1">
        <v>45850</v>
      </c>
      <c r="E249">
        <v>53850</v>
      </c>
      <c r="F249">
        <v>226</v>
      </c>
      <c r="G249" t="s">
        <v>164</v>
      </c>
      <c r="H249" t="s">
        <v>262</v>
      </c>
      <c r="I249" t="s">
        <v>48</v>
      </c>
      <c r="L249">
        <v>2263300010989</v>
      </c>
      <c r="M249">
        <v>20250625</v>
      </c>
      <c r="N249" t="s">
        <v>263</v>
      </c>
      <c r="Q249" t="s">
        <v>55</v>
      </c>
      <c r="R249">
        <v>59879.89</v>
      </c>
      <c r="T249">
        <v>4804128</v>
      </c>
      <c r="U249">
        <v>6363770725</v>
      </c>
      <c r="V249" t="s">
        <v>304</v>
      </c>
      <c r="W249" t="s">
        <v>53</v>
      </c>
      <c r="X249" t="s">
        <v>79</v>
      </c>
      <c r="Y249" t="s">
        <v>49</v>
      </c>
      <c r="Z249">
        <v>1696</v>
      </c>
      <c r="AH249">
        <v>0</v>
      </c>
      <c r="AI249">
        <v>202506</v>
      </c>
      <c r="AK249">
        <v>1</v>
      </c>
      <c r="AL249">
        <v>1</v>
      </c>
      <c r="AO249">
        <v>0</v>
      </c>
      <c r="AP249">
        <v>477</v>
      </c>
      <c r="AQ249">
        <v>430</v>
      </c>
      <c r="AR249">
        <v>430477</v>
      </c>
      <c r="AS249" t="s">
        <v>58</v>
      </c>
      <c r="AU249" t="s">
        <v>58</v>
      </c>
      <c r="AV249">
        <v>25045.55</v>
      </c>
      <c r="AW249">
        <v>26010.331999999999</v>
      </c>
      <c r="AX249">
        <v>27041.058000000001</v>
      </c>
      <c r="AY249">
        <v>28420.708999999999</v>
      </c>
      <c r="AZ249">
        <v>29962.351999999999</v>
      </c>
      <c r="BA249">
        <v>31788.16</v>
      </c>
      <c r="BB249">
        <v>34027.07</v>
      </c>
      <c r="BC249">
        <v>36641.5795</v>
      </c>
      <c r="BD249">
        <v>39840.642</v>
      </c>
      <c r="BE249">
        <v>40000</v>
      </c>
      <c r="BF249">
        <v>41343.269999999997</v>
      </c>
      <c r="BG249">
        <v>44702.324999999997</v>
      </c>
      <c r="BH249">
        <v>49392.076000000001</v>
      </c>
      <c r="BI249">
        <v>58375.907500000008</v>
      </c>
      <c r="BJ249">
        <v>70239.999999999985</v>
      </c>
      <c r="BK249">
        <v>81597.5</v>
      </c>
      <c r="BL249">
        <v>118941.322</v>
      </c>
      <c r="BM249">
        <v>163981.24299999949</v>
      </c>
      <c r="BN249">
        <v>270486.4050000002</v>
      </c>
      <c r="BO249">
        <v>446888.37399999989</v>
      </c>
      <c r="BP249">
        <v>2814221.66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 x14ac:dyDescent="0.35">
      <c r="A250">
        <v>364726</v>
      </c>
      <c r="B250" t="s">
        <v>259</v>
      </c>
      <c r="C250" t="s">
        <v>260</v>
      </c>
      <c r="D250" s="1">
        <v>45850</v>
      </c>
      <c r="E250">
        <v>53850</v>
      </c>
      <c r="F250">
        <v>153</v>
      </c>
      <c r="G250" t="s">
        <v>81</v>
      </c>
      <c r="H250" t="s">
        <v>262</v>
      </c>
      <c r="I250" t="s">
        <v>48</v>
      </c>
      <c r="L250">
        <v>1533300662905</v>
      </c>
      <c r="M250">
        <v>20250604</v>
      </c>
      <c r="N250" t="s">
        <v>263</v>
      </c>
      <c r="Q250" t="s">
        <v>55</v>
      </c>
      <c r="R250">
        <v>29114.86</v>
      </c>
      <c r="T250">
        <v>4165339</v>
      </c>
      <c r="U250">
        <v>5612950633</v>
      </c>
      <c r="V250" t="s">
        <v>350</v>
      </c>
      <c r="W250" t="s">
        <v>53</v>
      </c>
      <c r="X250" t="s">
        <v>351</v>
      </c>
      <c r="Y250" t="s">
        <v>49</v>
      </c>
      <c r="Z250">
        <v>982</v>
      </c>
      <c r="AH250">
        <v>0</v>
      </c>
      <c r="AI250">
        <v>202506</v>
      </c>
      <c r="AJ250" t="s">
        <v>61</v>
      </c>
      <c r="AK250">
        <v>0</v>
      </c>
      <c r="AL250">
        <v>1</v>
      </c>
      <c r="AO250">
        <v>0</v>
      </c>
      <c r="AP250">
        <v>236</v>
      </c>
      <c r="AQ250">
        <v>430</v>
      </c>
      <c r="AR250">
        <v>430236</v>
      </c>
      <c r="AS250" t="s">
        <v>58</v>
      </c>
      <c r="AU250" t="s">
        <v>58</v>
      </c>
      <c r="AV250">
        <v>25045.55</v>
      </c>
      <c r="AW250">
        <v>26010.331999999999</v>
      </c>
      <c r="AX250">
        <v>27041.058000000001</v>
      </c>
      <c r="AY250">
        <v>28420.708999999999</v>
      </c>
      <c r="AZ250">
        <v>29962.351999999999</v>
      </c>
      <c r="BA250">
        <v>31788.16</v>
      </c>
      <c r="BB250">
        <v>34027.07</v>
      </c>
      <c r="BC250">
        <v>36641.5795</v>
      </c>
      <c r="BD250">
        <v>39840.642</v>
      </c>
      <c r="BE250">
        <v>40000</v>
      </c>
      <c r="BF250">
        <v>41343.269999999997</v>
      </c>
      <c r="BG250">
        <v>44702.324999999997</v>
      </c>
      <c r="BH250">
        <v>49392.076000000001</v>
      </c>
      <c r="BI250">
        <v>58375.907500000008</v>
      </c>
      <c r="BJ250">
        <v>70239.999999999985</v>
      </c>
      <c r="BK250">
        <v>81597.5</v>
      </c>
      <c r="BL250">
        <v>118941.322</v>
      </c>
      <c r="BM250">
        <v>163981.24299999949</v>
      </c>
      <c r="BN250">
        <v>270486.4050000002</v>
      </c>
      <c r="BO250">
        <v>446888.37399999989</v>
      </c>
      <c r="BP250">
        <v>2814221.66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 x14ac:dyDescent="0.35">
      <c r="A251">
        <v>364725</v>
      </c>
      <c r="B251" t="s">
        <v>259</v>
      </c>
      <c r="C251" t="s">
        <v>260</v>
      </c>
      <c r="D251" s="1">
        <v>45850</v>
      </c>
      <c r="E251">
        <v>53850</v>
      </c>
      <c r="F251">
        <v>104</v>
      </c>
      <c r="G251" t="s">
        <v>50</v>
      </c>
      <c r="H251" t="s">
        <v>262</v>
      </c>
      <c r="I251" t="s">
        <v>48</v>
      </c>
      <c r="L251">
        <v>1043309505524</v>
      </c>
      <c r="M251">
        <v>20250616</v>
      </c>
      <c r="N251" t="s">
        <v>263</v>
      </c>
      <c r="Q251" t="s">
        <v>55</v>
      </c>
      <c r="R251">
        <v>54125</v>
      </c>
      <c r="T251">
        <v>4255116</v>
      </c>
      <c r="U251">
        <v>6238700725</v>
      </c>
      <c r="V251" t="s">
        <v>352</v>
      </c>
      <c r="W251" t="s">
        <v>53</v>
      </c>
      <c r="X251" t="s">
        <v>307</v>
      </c>
      <c r="Y251" t="s">
        <v>49</v>
      </c>
      <c r="Z251">
        <v>727</v>
      </c>
      <c r="AH251">
        <v>0</v>
      </c>
      <c r="AI251">
        <v>202506</v>
      </c>
      <c r="AK251">
        <v>1</v>
      </c>
      <c r="AL251">
        <v>1</v>
      </c>
      <c r="AO251">
        <v>0</v>
      </c>
      <c r="AP251">
        <v>999</v>
      </c>
      <c r="AQ251">
        <v>430</v>
      </c>
      <c r="AR251">
        <v>430999</v>
      </c>
      <c r="AT251">
        <v>1</v>
      </c>
      <c r="AU251" t="s">
        <v>54</v>
      </c>
      <c r="AV251">
        <v>25045.55</v>
      </c>
      <c r="AW251">
        <v>26010.331999999999</v>
      </c>
      <c r="AX251">
        <v>27041.058000000001</v>
      </c>
      <c r="AY251">
        <v>28420.708999999999</v>
      </c>
      <c r="AZ251">
        <v>29962.351999999999</v>
      </c>
      <c r="BA251">
        <v>31788.16</v>
      </c>
      <c r="BB251">
        <v>34027.07</v>
      </c>
      <c r="BC251">
        <v>36641.5795</v>
      </c>
      <c r="BD251">
        <v>39840.642</v>
      </c>
      <c r="BE251">
        <v>40000</v>
      </c>
      <c r="BF251">
        <v>41343.269999999997</v>
      </c>
      <c r="BG251">
        <v>44702.324999999997</v>
      </c>
      <c r="BH251">
        <v>49392.076000000001</v>
      </c>
      <c r="BI251">
        <v>58375.907500000008</v>
      </c>
      <c r="BJ251">
        <v>70239.999999999985</v>
      </c>
      <c r="BK251">
        <v>81597.5</v>
      </c>
      <c r="BL251">
        <v>118941.322</v>
      </c>
      <c r="BM251">
        <v>163981.24299999949</v>
      </c>
      <c r="BN251">
        <v>270486.4050000002</v>
      </c>
      <c r="BO251">
        <v>446888.37399999989</v>
      </c>
      <c r="BP251">
        <v>2814221.66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 x14ac:dyDescent="0.35">
      <c r="A252">
        <v>364703</v>
      </c>
      <c r="B252" t="s">
        <v>259</v>
      </c>
      <c r="C252" t="s">
        <v>260</v>
      </c>
      <c r="D252" s="1">
        <v>45850</v>
      </c>
      <c r="E252">
        <v>53850</v>
      </c>
      <c r="F252">
        <v>153</v>
      </c>
      <c r="G252" t="s">
        <v>81</v>
      </c>
      <c r="H252" t="s">
        <v>262</v>
      </c>
      <c r="I252" t="s">
        <v>48</v>
      </c>
      <c r="L252">
        <v>1533300662905</v>
      </c>
      <c r="M252">
        <v>20250606</v>
      </c>
      <c r="N252" t="s">
        <v>279</v>
      </c>
      <c r="Q252" t="s">
        <v>55</v>
      </c>
      <c r="R252">
        <v>78275.320000000007</v>
      </c>
      <c r="T252">
        <v>4165339</v>
      </c>
      <c r="U252">
        <v>5612950633</v>
      </c>
      <c r="V252" t="s">
        <v>350</v>
      </c>
      <c r="W252" t="s">
        <v>53</v>
      </c>
      <c r="X252" t="s">
        <v>351</v>
      </c>
      <c r="Y252" t="s">
        <v>49</v>
      </c>
      <c r="Z252">
        <v>982</v>
      </c>
      <c r="AH252">
        <v>0</v>
      </c>
      <c r="AI252">
        <v>202506</v>
      </c>
      <c r="AJ252" t="s">
        <v>61</v>
      </c>
      <c r="AK252">
        <v>0</v>
      </c>
      <c r="AL252">
        <v>1</v>
      </c>
      <c r="AO252">
        <v>0</v>
      </c>
      <c r="AP252">
        <v>236</v>
      </c>
      <c r="AQ252">
        <v>430</v>
      </c>
      <c r="AR252">
        <v>430236</v>
      </c>
      <c r="AS252" t="s">
        <v>58</v>
      </c>
      <c r="AU252" t="s">
        <v>58</v>
      </c>
      <c r="AV252">
        <v>25045.55</v>
      </c>
      <c r="AW252">
        <v>26010.331999999999</v>
      </c>
      <c r="AX252">
        <v>27041.058000000001</v>
      </c>
      <c r="AY252">
        <v>28420.708999999999</v>
      </c>
      <c r="AZ252">
        <v>29962.351999999999</v>
      </c>
      <c r="BA252">
        <v>31788.16</v>
      </c>
      <c r="BB252">
        <v>34027.07</v>
      </c>
      <c r="BC252">
        <v>36641.5795</v>
      </c>
      <c r="BD252">
        <v>39840.642</v>
      </c>
      <c r="BE252">
        <v>40000</v>
      </c>
      <c r="BF252">
        <v>41343.269999999997</v>
      </c>
      <c r="BG252">
        <v>44702.324999999997</v>
      </c>
      <c r="BH252">
        <v>49392.076000000001</v>
      </c>
      <c r="BI252">
        <v>58375.907500000008</v>
      </c>
      <c r="BJ252">
        <v>70239.999999999985</v>
      </c>
      <c r="BK252">
        <v>81597.5</v>
      </c>
      <c r="BL252">
        <v>118941.322</v>
      </c>
      <c r="BM252">
        <v>163981.24299999949</v>
      </c>
      <c r="BN252">
        <v>270486.4050000002</v>
      </c>
      <c r="BO252">
        <v>446888.37399999989</v>
      </c>
      <c r="BP252">
        <v>2814221.66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 x14ac:dyDescent="0.35">
      <c r="A253">
        <v>364690</v>
      </c>
      <c r="B253" t="s">
        <v>259</v>
      </c>
      <c r="C253" t="s">
        <v>260</v>
      </c>
      <c r="D253" s="1">
        <v>45850</v>
      </c>
      <c r="E253">
        <v>53850</v>
      </c>
      <c r="F253">
        <v>122</v>
      </c>
      <c r="G253" t="s">
        <v>261</v>
      </c>
      <c r="H253" t="s">
        <v>262</v>
      </c>
      <c r="I253" t="s">
        <v>48</v>
      </c>
      <c r="L253">
        <v>1223300001682</v>
      </c>
      <c r="M253">
        <v>20250619</v>
      </c>
      <c r="N253" t="s">
        <v>263</v>
      </c>
      <c r="Q253" t="s">
        <v>55</v>
      </c>
      <c r="R253">
        <v>59506.05</v>
      </c>
      <c r="T253">
        <v>3711207</v>
      </c>
      <c r="U253">
        <v>8825020723</v>
      </c>
      <c r="V253" t="s">
        <v>264</v>
      </c>
      <c r="W253" t="s">
        <v>53</v>
      </c>
      <c r="X253" t="s">
        <v>57</v>
      </c>
      <c r="Y253" t="s">
        <v>49</v>
      </c>
      <c r="Z253">
        <v>1696</v>
      </c>
      <c r="AH253">
        <v>0</v>
      </c>
      <c r="AI253">
        <v>202506</v>
      </c>
      <c r="AJ253" t="s">
        <v>160</v>
      </c>
      <c r="AK253">
        <v>1</v>
      </c>
      <c r="AL253">
        <v>1</v>
      </c>
      <c r="AO253">
        <v>0</v>
      </c>
      <c r="AP253">
        <v>620</v>
      </c>
      <c r="AQ253">
        <v>430</v>
      </c>
      <c r="AR253">
        <v>430620</v>
      </c>
      <c r="AS253" t="s">
        <v>58</v>
      </c>
      <c r="AU253" t="s">
        <v>58</v>
      </c>
      <c r="AV253">
        <v>25045.55</v>
      </c>
      <c r="AW253">
        <v>26010.331999999999</v>
      </c>
      <c r="AX253">
        <v>27041.058000000001</v>
      </c>
      <c r="AY253">
        <v>28420.708999999999</v>
      </c>
      <c r="AZ253">
        <v>29962.351999999999</v>
      </c>
      <c r="BA253">
        <v>31788.16</v>
      </c>
      <c r="BB253">
        <v>34027.07</v>
      </c>
      <c r="BC253">
        <v>36641.5795</v>
      </c>
      <c r="BD253">
        <v>39840.642</v>
      </c>
      <c r="BE253">
        <v>40000</v>
      </c>
      <c r="BF253">
        <v>41343.269999999997</v>
      </c>
      <c r="BG253">
        <v>44702.324999999997</v>
      </c>
      <c r="BH253">
        <v>49392.076000000001</v>
      </c>
      <c r="BI253">
        <v>58375.907500000008</v>
      </c>
      <c r="BJ253">
        <v>70239.999999999985</v>
      </c>
      <c r="BK253">
        <v>81597.5</v>
      </c>
      <c r="BL253">
        <v>118941.322</v>
      </c>
      <c r="BM253">
        <v>163981.24299999949</v>
      </c>
      <c r="BN253">
        <v>270486.4050000002</v>
      </c>
      <c r="BO253">
        <v>446888.37399999989</v>
      </c>
      <c r="BP253">
        <v>2814221.66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 x14ac:dyDescent="0.35">
      <c r="A254">
        <v>364679</v>
      </c>
      <c r="B254" t="s">
        <v>259</v>
      </c>
      <c r="C254" t="s">
        <v>260</v>
      </c>
      <c r="D254" s="1">
        <v>45850</v>
      </c>
      <c r="E254">
        <v>53850</v>
      </c>
      <c r="F254">
        <v>103</v>
      </c>
      <c r="G254" t="s">
        <v>56</v>
      </c>
      <c r="H254" t="s">
        <v>262</v>
      </c>
      <c r="I254" t="s">
        <v>48</v>
      </c>
      <c r="L254">
        <v>1033306967935</v>
      </c>
      <c r="M254">
        <v>20250603</v>
      </c>
      <c r="N254" t="s">
        <v>279</v>
      </c>
      <c r="Q254" t="s">
        <v>55</v>
      </c>
      <c r="R254">
        <v>33195</v>
      </c>
      <c r="T254">
        <v>155052</v>
      </c>
      <c r="U254">
        <v>2563580725</v>
      </c>
      <c r="V254" t="s">
        <v>280</v>
      </c>
      <c r="W254" t="s">
        <v>53</v>
      </c>
      <c r="X254" t="s">
        <v>231</v>
      </c>
      <c r="Y254" t="s">
        <v>49</v>
      </c>
      <c r="Z254">
        <v>1926</v>
      </c>
      <c r="AH254">
        <v>0</v>
      </c>
      <c r="AI254">
        <v>202506</v>
      </c>
      <c r="AJ254" t="s">
        <v>162</v>
      </c>
      <c r="AK254">
        <v>1</v>
      </c>
      <c r="AL254">
        <v>1</v>
      </c>
      <c r="AM254">
        <v>155052</v>
      </c>
      <c r="AN254">
        <v>1</v>
      </c>
      <c r="AO254">
        <v>0</v>
      </c>
      <c r="AP254">
        <v>999</v>
      </c>
      <c r="AQ254">
        <v>430</v>
      </c>
      <c r="AR254">
        <v>430999</v>
      </c>
      <c r="AT254">
        <v>1</v>
      </c>
      <c r="AU254" t="s">
        <v>54</v>
      </c>
      <c r="AV254">
        <v>25045.55</v>
      </c>
      <c r="AW254">
        <v>26010.331999999999</v>
      </c>
      <c r="AX254">
        <v>27041.058000000001</v>
      </c>
      <c r="AY254">
        <v>28420.708999999999</v>
      </c>
      <c r="AZ254">
        <v>29962.351999999999</v>
      </c>
      <c r="BA254">
        <v>31788.16</v>
      </c>
      <c r="BB254">
        <v>34027.07</v>
      </c>
      <c r="BC254">
        <v>36641.5795</v>
      </c>
      <c r="BD254">
        <v>39840.642</v>
      </c>
      <c r="BE254">
        <v>40000</v>
      </c>
      <c r="BF254">
        <v>41343.269999999997</v>
      </c>
      <c r="BG254">
        <v>44702.324999999997</v>
      </c>
      <c r="BH254">
        <v>49392.076000000001</v>
      </c>
      <c r="BI254">
        <v>58375.907500000008</v>
      </c>
      <c r="BJ254">
        <v>70239.999999999985</v>
      </c>
      <c r="BK254">
        <v>81597.5</v>
      </c>
      <c r="BL254">
        <v>118941.322</v>
      </c>
      <c r="BM254">
        <v>163981.24299999949</v>
      </c>
      <c r="BN254">
        <v>270486.4050000002</v>
      </c>
      <c r="BO254">
        <v>446888.37399999989</v>
      </c>
      <c r="BP254">
        <v>2814221.66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 x14ac:dyDescent="0.35">
      <c r="A255">
        <v>364654</v>
      </c>
      <c r="B255" t="s">
        <v>259</v>
      </c>
      <c r="C255" t="s">
        <v>260</v>
      </c>
      <c r="D255" s="1">
        <v>45850</v>
      </c>
      <c r="E255">
        <v>53850</v>
      </c>
      <c r="F255">
        <v>122</v>
      </c>
      <c r="G255" t="s">
        <v>261</v>
      </c>
      <c r="H255" t="s">
        <v>262</v>
      </c>
      <c r="I255" t="s">
        <v>48</v>
      </c>
      <c r="L255">
        <v>1223300002128</v>
      </c>
      <c r="M255">
        <v>20250625</v>
      </c>
      <c r="N255" t="s">
        <v>263</v>
      </c>
      <c r="Q255" t="s">
        <v>55</v>
      </c>
      <c r="R255">
        <v>146206.01999999999</v>
      </c>
      <c r="T255">
        <v>3711207</v>
      </c>
      <c r="U255">
        <v>8825020723</v>
      </c>
      <c r="V255" t="s">
        <v>264</v>
      </c>
      <c r="W255" t="s">
        <v>53</v>
      </c>
      <c r="X255" t="s">
        <v>57</v>
      </c>
      <c r="Y255" t="s">
        <v>49</v>
      </c>
      <c r="Z255">
        <v>1696</v>
      </c>
      <c r="AH255">
        <v>0</v>
      </c>
      <c r="AI255">
        <v>202506</v>
      </c>
      <c r="AJ255" t="s">
        <v>160</v>
      </c>
      <c r="AK255">
        <v>1</v>
      </c>
      <c r="AL255">
        <v>1</v>
      </c>
      <c r="AO255">
        <v>0</v>
      </c>
      <c r="AP255">
        <v>620</v>
      </c>
      <c r="AQ255">
        <v>430</v>
      </c>
      <c r="AR255">
        <v>430620</v>
      </c>
      <c r="AS255" t="s">
        <v>58</v>
      </c>
      <c r="AU255" t="s">
        <v>58</v>
      </c>
      <c r="AV255">
        <v>25045.55</v>
      </c>
      <c r="AW255">
        <v>26010.331999999999</v>
      </c>
      <c r="AX255">
        <v>27041.058000000001</v>
      </c>
      <c r="AY255">
        <v>28420.708999999999</v>
      </c>
      <c r="AZ255">
        <v>29962.351999999999</v>
      </c>
      <c r="BA255">
        <v>31788.16</v>
      </c>
      <c r="BB255">
        <v>34027.07</v>
      </c>
      <c r="BC255">
        <v>36641.5795</v>
      </c>
      <c r="BD255">
        <v>39840.642</v>
      </c>
      <c r="BE255">
        <v>40000</v>
      </c>
      <c r="BF255">
        <v>41343.269999999997</v>
      </c>
      <c r="BG255">
        <v>44702.324999999997</v>
      </c>
      <c r="BH255">
        <v>49392.076000000001</v>
      </c>
      <c r="BI255">
        <v>58375.907500000008</v>
      </c>
      <c r="BJ255">
        <v>70239.999999999985</v>
      </c>
      <c r="BK255">
        <v>81597.5</v>
      </c>
      <c r="BL255">
        <v>118941.322</v>
      </c>
      <c r="BM255">
        <v>163981.24299999949</v>
      </c>
      <c r="BN255">
        <v>270486.4050000002</v>
      </c>
      <c r="BO255">
        <v>446888.37399999989</v>
      </c>
      <c r="BP255">
        <v>2814221.66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0</v>
      </c>
      <c r="CI255">
        <v>0</v>
      </c>
      <c r="CJ255">
        <v>0</v>
      </c>
      <c r="CK255">
        <v>0</v>
      </c>
    </row>
    <row r="256" spans="1:89" x14ac:dyDescent="0.35">
      <c r="A256">
        <v>364610</v>
      </c>
      <c r="B256" t="s">
        <v>259</v>
      </c>
      <c r="C256" t="s">
        <v>260</v>
      </c>
      <c r="D256" s="1">
        <v>45850</v>
      </c>
      <c r="E256">
        <v>53850</v>
      </c>
      <c r="F256">
        <v>108</v>
      </c>
      <c r="G256" t="s">
        <v>88</v>
      </c>
      <c r="H256" t="s">
        <v>262</v>
      </c>
      <c r="I256" t="s">
        <v>48</v>
      </c>
      <c r="L256">
        <v>1083300011180</v>
      </c>
      <c r="M256">
        <v>20250611</v>
      </c>
      <c r="N256" t="s">
        <v>263</v>
      </c>
      <c r="Q256" t="s">
        <v>55</v>
      </c>
      <c r="R256">
        <v>58675</v>
      </c>
      <c r="T256">
        <v>1118</v>
      </c>
      <c r="U256">
        <v>3246700722</v>
      </c>
      <c r="V256" t="s">
        <v>302</v>
      </c>
      <c r="W256" t="s">
        <v>53</v>
      </c>
      <c r="X256" t="s">
        <v>286</v>
      </c>
      <c r="Y256" t="s">
        <v>49</v>
      </c>
      <c r="Z256">
        <v>1058</v>
      </c>
      <c r="AH256">
        <v>0</v>
      </c>
      <c r="AI256">
        <v>202506</v>
      </c>
      <c r="AJ256" t="s">
        <v>160</v>
      </c>
      <c r="AK256">
        <v>1</v>
      </c>
      <c r="AL256">
        <v>1</v>
      </c>
      <c r="AO256">
        <v>0</v>
      </c>
      <c r="AP256">
        <v>999</v>
      </c>
      <c r="AQ256">
        <v>430</v>
      </c>
      <c r="AR256">
        <v>430999</v>
      </c>
      <c r="AT256">
        <v>1</v>
      </c>
      <c r="AU256" t="s">
        <v>54</v>
      </c>
      <c r="AV256">
        <v>25045.55</v>
      </c>
      <c r="AW256">
        <v>26010.331999999999</v>
      </c>
      <c r="AX256">
        <v>27041.058000000001</v>
      </c>
      <c r="AY256">
        <v>28420.708999999999</v>
      </c>
      <c r="AZ256">
        <v>29962.351999999999</v>
      </c>
      <c r="BA256">
        <v>31788.16</v>
      </c>
      <c r="BB256">
        <v>34027.07</v>
      </c>
      <c r="BC256">
        <v>36641.5795</v>
      </c>
      <c r="BD256">
        <v>39840.642</v>
      </c>
      <c r="BE256">
        <v>40000</v>
      </c>
      <c r="BF256">
        <v>41343.269999999997</v>
      </c>
      <c r="BG256">
        <v>44702.324999999997</v>
      </c>
      <c r="BH256">
        <v>49392.076000000001</v>
      </c>
      <c r="BI256">
        <v>58375.907500000008</v>
      </c>
      <c r="BJ256">
        <v>70239.999999999985</v>
      </c>
      <c r="BK256">
        <v>81597.5</v>
      </c>
      <c r="BL256">
        <v>118941.322</v>
      </c>
      <c r="BM256">
        <v>163981.24299999949</v>
      </c>
      <c r="BN256">
        <v>270486.4050000002</v>
      </c>
      <c r="BO256">
        <v>446888.37399999989</v>
      </c>
      <c r="BP256">
        <v>2814221.66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 x14ac:dyDescent="0.35">
      <c r="A257">
        <v>364602</v>
      </c>
      <c r="B257" t="s">
        <v>259</v>
      </c>
      <c r="C257" t="s">
        <v>260</v>
      </c>
      <c r="D257" s="1">
        <v>45850</v>
      </c>
      <c r="E257">
        <v>53850</v>
      </c>
      <c r="F257">
        <v>154</v>
      </c>
      <c r="G257" t="s">
        <v>235</v>
      </c>
      <c r="H257" t="s">
        <v>262</v>
      </c>
      <c r="I257" t="s">
        <v>48</v>
      </c>
      <c r="L257">
        <v>1543300004860</v>
      </c>
      <c r="M257">
        <v>20250610</v>
      </c>
      <c r="N257" t="s">
        <v>263</v>
      </c>
      <c r="Q257" t="s">
        <v>55</v>
      </c>
      <c r="R257">
        <v>48252.13</v>
      </c>
      <c r="T257">
        <v>3715569</v>
      </c>
      <c r="U257">
        <v>5424970654</v>
      </c>
      <c r="V257" t="s">
        <v>265</v>
      </c>
      <c r="W257" t="s">
        <v>53</v>
      </c>
      <c r="X257" t="s">
        <v>266</v>
      </c>
      <c r="Y257" t="s">
        <v>49</v>
      </c>
      <c r="Z257">
        <v>741</v>
      </c>
      <c r="AH257">
        <v>0</v>
      </c>
      <c r="AI257">
        <v>202506</v>
      </c>
      <c r="AK257">
        <v>1</v>
      </c>
      <c r="AL257">
        <v>1</v>
      </c>
      <c r="AO257">
        <v>0</v>
      </c>
      <c r="AP257">
        <v>999</v>
      </c>
      <c r="AQ257">
        <v>430</v>
      </c>
      <c r="AR257">
        <v>430999</v>
      </c>
      <c r="AT257">
        <v>1</v>
      </c>
      <c r="AU257" t="s">
        <v>54</v>
      </c>
      <c r="AV257">
        <v>25045.55</v>
      </c>
      <c r="AW257">
        <v>26010.331999999999</v>
      </c>
      <c r="AX257">
        <v>27041.058000000001</v>
      </c>
      <c r="AY257">
        <v>28420.708999999999</v>
      </c>
      <c r="AZ257">
        <v>29962.351999999999</v>
      </c>
      <c r="BA257">
        <v>31788.16</v>
      </c>
      <c r="BB257">
        <v>34027.07</v>
      </c>
      <c r="BC257">
        <v>36641.5795</v>
      </c>
      <c r="BD257">
        <v>39840.642</v>
      </c>
      <c r="BE257">
        <v>40000</v>
      </c>
      <c r="BF257">
        <v>41343.269999999997</v>
      </c>
      <c r="BG257">
        <v>44702.324999999997</v>
      </c>
      <c r="BH257">
        <v>49392.076000000001</v>
      </c>
      <c r="BI257">
        <v>58375.907500000008</v>
      </c>
      <c r="BJ257">
        <v>70239.999999999985</v>
      </c>
      <c r="BK257">
        <v>81597.5</v>
      </c>
      <c r="BL257">
        <v>118941.322</v>
      </c>
      <c r="BM257">
        <v>163981.24299999949</v>
      </c>
      <c r="BN257">
        <v>270486.4050000002</v>
      </c>
      <c r="BO257">
        <v>446888.37399999989</v>
      </c>
      <c r="BP257">
        <v>2814221.66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 x14ac:dyDescent="0.35">
      <c r="A258">
        <v>364583</v>
      </c>
      <c r="B258" t="s">
        <v>259</v>
      </c>
      <c r="C258" t="s">
        <v>260</v>
      </c>
      <c r="D258" s="1">
        <v>45850</v>
      </c>
      <c r="E258">
        <v>53850</v>
      </c>
      <c r="F258">
        <v>154</v>
      </c>
      <c r="G258" t="s">
        <v>235</v>
      </c>
      <c r="H258" t="s">
        <v>262</v>
      </c>
      <c r="I258" t="s">
        <v>48</v>
      </c>
      <c r="L258">
        <v>1543300004860</v>
      </c>
      <c r="M258">
        <v>20250618</v>
      </c>
      <c r="N258" t="s">
        <v>263</v>
      </c>
      <c r="Q258" t="s">
        <v>55</v>
      </c>
      <c r="R258">
        <v>50465.8</v>
      </c>
      <c r="T258">
        <v>3715569</v>
      </c>
      <c r="U258">
        <v>5424970654</v>
      </c>
      <c r="V258" t="s">
        <v>265</v>
      </c>
      <c r="W258" t="s">
        <v>53</v>
      </c>
      <c r="X258" t="s">
        <v>266</v>
      </c>
      <c r="Y258" t="s">
        <v>49</v>
      </c>
      <c r="Z258">
        <v>741</v>
      </c>
      <c r="AH258">
        <v>0</v>
      </c>
      <c r="AI258">
        <v>202506</v>
      </c>
      <c r="AK258">
        <v>1</v>
      </c>
      <c r="AL258">
        <v>1</v>
      </c>
      <c r="AO258">
        <v>0</v>
      </c>
      <c r="AP258">
        <v>999</v>
      </c>
      <c r="AQ258">
        <v>430</v>
      </c>
      <c r="AR258">
        <v>430999</v>
      </c>
      <c r="AT258">
        <v>1</v>
      </c>
      <c r="AU258" t="s">
        <v>54</v>
      </c>
      <c r="AV258">
        <v>25045.55</v>
      </c>
      <c r="AW258">
        <v>26010.331999999999</v>
      </c>
      <c r="AX258">
        <v>27041.058000000001</v>
      </c>
      <c r="AY258">
        <v>28420.708999999999</v>
      </c>
      <c r="AZ258">
        <v>29962.351999999999</v>
      </c>
      <c r="BA258">
        <v>31788.16</v>
      </c>
      <c r="BB258">
        <v>34027.07</v>
      </c>
      <c r="BC258">
        <v>36641.5795</v>
      </c>
      <c r="BD258">
        <v>39840.642</v>
      </c>
      <c r="BE258">
        <v>40000</v>
      </c>
      <c r="BF258">
        <v>41343.269999999997</v>
      </c>
      <c r="BG258">
        <v>44702.324999999997</v>
      </c>
      <c r="BH258">
        <v>49392.076000000001</v>
      </c>
      <c r="BI258">
        <v>58375.907500000008</v>
      </c>
      <c r="BJ258">
        <v>70239.999999999985</v>
      </c>
      <c r="BK258">
        <v>81597.5</v>
      </c>
      <c r="BL258">
        <v>118941.322</v>
      </c>
      <c r="BM258">
        <v>163981.24299999949</v>
      </c>
      <c r="BN258">
        <v>270486.4050000002</v>
      </c>
      <c r="BO258">
        <v>446888.37399999989</v>
      </c>
      <c r="BP258">
        <v>2814221.66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 x14ac:dyDescent="0.35">
      <c r="A259">
        <v>364573</v>
      </c>
      <c r="B259" t="s">
        <v>259</v>
      </c>
      <c r="C259" t="s">
        <v>260</v>
      </c>
      <c r="D259" s="1">
        <v>45850</v>
      </c>
      <c r="E259">
        <v>53850</v>
      </c>
      <c r="F259">
        <v>128</v>
      </c>
      <c r="G259" t="s">
        <v>91</v>
      </c>
      <c r="H259" t="s">
        <v>262</v>
      </c>
      <c r="I259" t="s">
        <v>48</v>
      </c>
      <c r="L259">
        <v>1283300001665</v>
      </c>
      <c r="M259">
        <v>20250620</v>
      </c>
      <c r="N259" t="s">
        <v>279</v>
      </c>
      <c r="Q259" t="s">
        <v>55</v>
      </c>
      <c r="R259">
        <v>58113.66</v>
      </c>
      <c r="T259">
        <v>4254896</v>
      </c>
      <c r="U259">
        <v>6234730726</v>
      </c>
      <c r="V259" t="s">
        <v>285</v>
      </c>
      <c r="W259" t="s">
        <v>53</v>
      </c>
      <c r="X259" t="s">
        <v>286</v>
      </c>
      <c r="Y259" t="s">
        <v>49</v>
      </c>
      <c r="Z259">
        <v>1919</v>
      </c>
      <c r="AH259">
        <v>0</v>
      </c>
      <c r="AI259">
        <v>202506</v>
      </c>
      <c r="AJ259" t="s">
        <v>160</v>
      </c>
      <c r="AK259">
        <v>1</v>
      </c>
      <c r="AL259">
        <v>1</v>
      </c>
      <c r="AO259">
        <v>0</v>
      </c>
      <c r="AP259">
        <v>999</v>
      </c>
      <c r="AQ259">
        <v>430</v>
      </c>
      <c r="AR259">
        <v>430999</v>
      </c>
      <c r="AT259">
        <v>1</v>
      </c>
      <c r="AU259" t="s">
        <v>54</v>
      </c>
      <c r="AV259">
        <v>25045.55</v>
      </c>
      <c r="AW259">
        <v>26010.331999999999</v>
      </c>
      <c r="AX259">
        <v>27041.058000000001</v>
      </c>
      <c r="AY259">
        <v>28420.708999999999</v>
      </c>
      <c r="AZ259">
        <v>29962.351999999999</v>
      </c>
      <c r="BA259">
        <v>31788.16</v>
      </c>
      <c r="BB259">
        <v>34027.07</v>
      </c>
      <c r="BC259">
        <v>36641.5795</v>
      </c>
      <c r="BD259">
        <v>39840.642</v>
      </c>
      <c r="BE259">
        <v>40000</v>
      </c>
      <c r="BF259">
        <v>41343.269999999997</v>
      </c>
      <c r="BG259">
        <v>44702.324999999997</v>
      </c>
      <c r="BH259">
        <v>49392.076000000001</v>
      </c>
      <c r="BI259">
        <v>58375.907500000008</v>
      </c>
      <c r="BJ259">
        <v>70239.999999999985</v>
      </c>
      <c r="BK259">
        <v>81597.5</v>
      </c>
      <c r="BL259">
        <v>118941.322</v>
      </c>
      <c r="BM259">
        <v>163981.24299999949</v>
      </c>
      <c r="BN259">
        <v>270486.4050000002</v>
      </c>
      <c r="BO259">
        <v>446888.37399999989</v>
      </c>
      <c r="BP259">
        <v>2814221.66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 x14ac:dyDescent="0.35">
      <c r="A260">
        <v>364565</v>
      </c>
      <c r="B260" t="s">
        <v>259</v>
      </c>
      <c r="C260" t="s">
        <v>260</v>
      </c>
      <c r="D260" s="1">
        <v>45850</v>
      </c>
      <c r="E260">
        <v>53850</v>
      </c>
      <c r="F260">
        <v>226</v>
      </c>
      <c r="G260" t="s">
        <v>164</v>
      </c>
      <c r="H260" t="s">
        <v>262</v>
      </c>
      <c r="I260" t="s">
        <v>48</v>
      </c>
      <c r="L260">
        <v>2263300010989</v>
      </c>
      <c r="M260">
        <v>20250623</v>
      </c>
      <c r="N260" t="s">
        <v>263</v>
      </c>
      <c r="Q260" t="s">
        <v>55</v>
      </c>
      <c r="R260">
        <v>29985.13</v>
      </c>
      <c r="T260">
        <v>4804128</v>
      </c>
      <c r="U260">
        <v>6363770725</v>
      </c>
      <c r="V260" t="s">
        <v>304</v>
      </c>
      <c r="W260" t="s">
        <v>53</v>
      </c>
      <c r="X260" t="s">
        <v>79</v>
      </c>
      <c r="Y260" t="s">
        <v>49</v>
      </c>
      <c r="Z260">
        <v>1696</v>
      </c>
      <c r="AH260">
        <v>0</v>
      </c>
      <c r="AI260">
        <v>202506</v>
      </c>
      <c r="AK260">
        <v>1</v>
      </c>
      <c r="AL260">
        <v>1</v>
      </c>
      <c r="AO260">
        <v>0</v>
      </c>
      <c r="AP260">
        <v>477</v>
      </c>
      <c r="AQ260">
        <v>430</v>
      </c>
      <c r="AR260">
        <v>430477</v>
      </c>
      <c r="AS260" t="s">
        <v>58</v>
      </c>
      <c r="AU260" t="s">
        <v>58</v>
      </c>
      <c r="AV260">
        <v>25045.55</v>
      </c>
      <c r="AW260">
        <v>26010.331999999999</v>
      </c>
      <c r="AX260">
        <v>27041.058000000001</v>
      </c>
      <c r="AY260">
        <v>28420.708999999999</v>
      </c>
      <c r="AZ260">
        <v>29962.351999999999</v>
      </c>
      <c r="BA260">
        <v>31788.16</v>
      </c>
      <c r="BB260">
        <v>34027.07</v>
      </c>
      <c r="BC260">
        <v>36641.5795</v>
      </c>
      <c r="BD260">
        <v>39840.642</v>
      </c>
      <c r="BE260">
        <v>40000</v>
      </c>
      <c r="BF260">
        <v>41343.269999999997</v>
      </c>
      <c r="BG260">
        <v>44702.324999999997</v>
      </c>
      <c r="BH260">
        <v>49392.076000000001</v>
      </c>
      <c r="BI260">
        <v>58375.907500000008</v>
      </c>
      <c r="BJ260">
        <v>70239.999999999985</v>
      </c>
      <c r="BK260">
        <v>81597.5</v>
      </c>
      <c r="BL260">
        <v>118941.322</v>
      </c>
      <c r="BM260">
        <v>163981.24299999949</v>
      </c>
      <c r="BN260">
        <v>270486.4050000002</v>
      </c>
      <c r="BO260">
        <v>446888.37399999989</v>
      </c>
      <c r="BP260">
        <v>2814221.66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 x14ac:dyDescent="0.35">
      <c r="A261">
        <v>364562</v>
      </c>
      <c r="B261" t="s">
        <v>259</v>
      </c>
      <c r="C261" t="s">
        <v>260</v>
      </c>
      <c r="D261" s="1">
        <v>45850</v>
      </c>
      <c r="E261">
        <v>53850</v>
      </c>
      <c r="F261">
        <v>154</v>
      </c>
      <c r="G261" t="s">
        <v>235</v>
      </c>
      <c r="H261" t="s">
        <v>262</v>
      </c>
      <c r="I261" t="s">
        <v>48</v>
      </c>
      <c r="L261">
        <v>1543300004860</v>
      </c>
      <c r="M261">
        <v>20250617</v>
      </c>
      <c r="N261" t="s">
        <v>263</v>
      </c>
      <c r="Q261" t="s">
        <v>55</v>
      </c>
      <c r="R261">
        <v>50177.05</v>
      </c>
      <c r="T261">
        <v>3715569</v>
      </c>
      <c r="U261">
        <v>5424970654</v>
      </c>
      <c r="V261" t="s">
        <v>265</v>
      </c>
      <c r="W261" t="s">
        <v>53</v>
      </c>
      <c r="X261" t="s">
        <v>266</v>
      </c>
      <c r="Y261" t="s">
        <v>49</v>
      </c>
      <c r="Z261">
        <v>741</v>
      </c>
      <c r="AH261">
        <v>0</v>
      </c>
      <c r="AI261">
        <v>202506</v>
      </c>
      <c r="AK261">
        <v>1</v>
      </c>
      <c r="AL261">
        <v>1</v>
      </c>
      <c r="AO261">
        <v>0</v>
      </c>
      <c r="AP261">
        <v>999</v>
      </c>
      <c r="AQ261">
        <v>430</v>
      </c>
      <c r="AR261">
        <v>430999</v>
      </c>
      <c r="AT261">
        <v>1</v>
      </c>
      <c r="AU261" t="s">
        <v>54</v>
      </c>
      <c r="AV261">
        <v>25045.55</v>
      </c>
      <c r="AW261">
        <v>26010.331999999999</v>
      </c>
      <c r="AX261">
        <v>27041.058000000001</v>
      </c>
      <c r="AY261">
        <v>28420.708999999999</v>
      </c>
      <c r="AZ261">
        <v>29962.351999999999</v>
      </c>
      <c r="BA261">
        <v>31788.16</v>
      </c>
      <c r="BB261">
        <v>34027.07</v>
      </c>
      <c r="BC261">
        <v>36641.5795</v>
      </c>
      <c r="BD261">
        <v>39840.642</v>
      </c>
      <c r="BE261">
        <v>40000</v>
      </c>
      <c r="BF261">
        <v>41343.269999999997</v>
      </c>
      <c r="BG261">
        <v>44702.324999999997</v>
      </c>
      <c r="BH261">
        <v>49392.076000000001</v>
      </c>
      <c r="BI261">
        <v>58375.907500000008</v>
      </c>
      <c r="BJ261">
        <v>70239.999999999985</v>
      </c>
      <c r="BK261">
        <v>81597.5</v>
      </c>
      <c r="BL261">
        <v>118941.322</v>
      </c>
      <c r="BM261">
        <v>163981.24299999949</v>
      </c>
      <c r="BN261">
        <v>270486.4050000002</v>
      </c>
      <c r="BO261">
        <v>446888.37399999989</v>
      </c>
      <c r="BP261">
        <v>2814221.66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 x14ac:dyDescent="0.35">
      <c r="A262">
        <v>364554</v>
      </c>
      <c r="B262" t="s">
        <v>259</v>
      </c>
      <c r="C262" t="s">
        <v>260</v>
      </c>
      <c r="D262" s="1">
        <v>45850</v>
      </c>
      <c r="E262">
        <v>53850</v>
      </c>
      <c r="F262">
        <v>108</v>
      </c>
      <c r="G262" t="s">
        <v>88</v>
      </c>
      <c r="H262" t="s">
        <v>262</v>
      </c>
      <c r="I262" t="s">
        <v>48</v>
      </c>
      <c r="L262">
        <v>1083300011180</v>
      </c>
      <c r="M262">
        <v>20250613</v>
      </c>
      <c r="N262" t="s">
        <v>263</v>
      </c>
      <c r="Q262" t="s">
        <v>55</v>
      </c>
      <c r="R262">
        <v>25505.91</v>
      </c>
      <c r="T262">
        <v>1118</v>
      </c>
      <c r="U262">
        <v>3246700722</v>
      </c>
      <c r="V262" t="s">
        <v>302</v>
      </c>
      <c r="W262" t="s">
        <v>53</v>
      </c>
      <c r="X262" t="s">
        <v>286</v>
      </c>
      <c r="Y262" t="s">
        <v>49</v>
      </c>
      <c r="Z262">
        <v>1058</v>
      </c>
      <c r="AH262">
        <v>0</v>
      </c>
      <c r="AI262">
        <v>202506</v>
      </c>
      <c r="AJ262" t="s">
        <v>160</v>
      </c>
      <c r="AK262">
        <v>1</v>
      </c>
      <c r="AL262">
        <v>1</v>
      </c>
      <c r="AO262">
        <v>0</v>
      </c>
      <c r="AP262">
        <v>999</v>
      </c>
      <c r="AQ262">
        <v>430</v>
      </c>
      <c r="AR262">
        <v>430999</v>
      </c>
      <c r="AT262">
        <v>1</v>
      </c>
      <c r="AU262" t="s">
        <v>54</v>
      </c>
      <c r="AV262">
        <v>25045.55</v>
      </c>
      <c r="AW262">
        <v>26010.331999999999</v>
      </c>
      <c r="AX262">
        <v>27041.058000000001</v>
      </c>
      <c r="AY262">
        <v>28420.708999999999</v>
      </c>
      <c r="AZ262">
        <v>29962.351999999999</v>
      </c>
      <c r="BA262">
        <v>31788.16</v>
      </c>
      <c r="BB262">
        <v>34027.07</v>
      </c>
      <c r="BC262">
        <v>36641.5795</v>
      </c>
      <c r="BD262">
        <v>39840.642</v>
      </c>
      <c r="BE262">
        <v>40000</v>
      </c>
      <c r="BF262">
        <v>41343.269999999997</v>
      </c>
      <c r="BG262">
        <v>44702.324999999997</v>
      </c>
      <c r="BH262">
        <v>49392.076000000001</v>
      </c>
      <c r="BI262">
        <v>58375.907500000008</v>
      </c>
      <c r="BJ262">
        <v>70239.999999999985</v>
      </c>
      <c r="BK262">
        <v>81597.5</v>
      </c>
      <c r="BL262">
        <v>118941.322</v>
      </c>
      <c r="BM262">
        <v>163981.24299999949</v>
      </c>
      <c r="BN262">
        <v>270486.4050000002</v>
      </c>
      <c r="BO262">
        <v>446888.37399999989</v>
      </c>
      <c r="BP262">
        <v>2814221.66</v>
      </c>
      <c r="BQ262">
        <v>1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 x14ac:dyDescent="0.35">
      <c r="A263">
        <v>364543</v>
      </c>
      <c r="B263" t="s">
        <v>259</v>
      </c>
      <c r="C263" t="s">
        <v>260</v>
      </c>
      <c r="D263" s="1">
        <v>45850</v>
      </c>
      <c r="E263">
        <v>53850</v>
      </c>
      <c r="F263">
        <v>120</v>
      </c>
      <c r="G263" t="s">
        <v>248</v>
      </c>
      <c r="H263" t="s">
        <v>262</v>
      </c>
      <c r="I263" t="s">
        <v>48</v>
      </c>
      <c r="L263">
        <v>1203300002958</v>
      </c>
      <c r="M263">
        <v>20250627</v>
      </c>
      <c r="N263" t="s">
        <v>263</v>
      </c>
      <c r="Q263" t="s">
        <v>55</v>
      </c>
      <c r="R263">
        <v>35000</v>
      </c>
      <c r="T263">
        <v>4589937</v>
      </c>
      <c r="U263">
        <v>503900771</v>
      </c>
      <c r="V263" t="s">
        <v>353</v>
      </c>
      <c r="W263" t="s">
        <v>53</v>
      </c>
      <c r="X263" t="s">
        <v>307</v>
      </c>
      <c r="Y263" t="s">
        <v>49</v>
      </c>
      <c r="Z263">
        <v>1058</v>
      </c>
      <c r="AH263">
        <v>0</v>
      </c>
      <c r="AI263">
        <v>202506</v>
      </c>
      <c r="AJ263" t="s">
        <v>160</v>
      </c>
      <c r="AK263">
        <v>1</v>
      </c>
      <c r="AL263">
        <v>1</v>
      </c>
      <c r="AO263">
        <v>0</v>
      </c>
      <c r="AP263">
        <v>999</v>
      </c>
      <c r="AQ263">
        <v>430</v>
      </c>
      <c r="AR263">
        <v>430999</v>
      </c>
      <c r="AT263">
        <v>1</v>
      </c>
      <c r="AU263" t="s">
        <v>54</v>
      </c>
      <c r="AV263">
        <v>25045.55</v>
      </c>
      <c r="AW263">
        <v>26010.331999999999</v>
      </c>
      <c r="AX263">
        <v>27041.058000000001</v>
      </c>
      <c r="AY263">
        <v>28420.708999999999</v>
      </c>
      <c r="AZ263">
        <v>29962.351999999999</v>
      </c>
      <c r="BA263">
        <v>31788.16</v>
      </c>
      <c r="BB263">
        <v>34027.07</v>
      </c>
      <c r="BC263">
        <v>36641.5795</v>
      </c>
      <c r="BD263">
        <v>39840.642</v>
      </c>
      <c r="BE263">
        <v>40000</v>
      </c>
      <c r="BF263">
        <v>41343.269999999997</v>
      </c>
      <c r="BG263">
        <v>44702.324999999997</v>
      </c>
      <c r="BH263">
        <v>49392.076000000001</v>
      </c>
      <c r="BI263">
        <v>58375.907500000008</v>
      </c>
      <c r="BJ263">
        <v>70239.999999999985</v>
      </c>
      <c r="BK263">
        <v>81597.5</v>
      </c>
      <c r="BL263">
        <v>118941.322</v>
      </c>
      <c r="BM263">
        <v>163981.24299999949</v>
      </c>
      <c r="BN263">
        <v>270486.4050000002</v>
      </c>
      <c r="BO263">
        <v>446888.37399999989</v>
      </c>
      <c r="BP263">
        <v>2814221.66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 x14ac:dyDescent="0.35">
      <c r="A264">
        <v>364540</v>
      </c>
      <c r="B264" t="s">
        <v>259</v>
      </c>
      <c r="C264" t="s">
        <v>260</v>
      </c>
      <c r="D264" s="1">
        <v>45850</v>
      </c>
      <c r="E264">
        <v>53850</v>
      </c>
      <c r="F264">
        <v>116</v>
      </c>
      <c r="G264" t="s">
        <v>165</v>
      </c>
      <c r="H264" t="s">
        <v>262</v>
      </c>
      <c r="I264" t="s">
        <v>48</v>
      </c>
      <c r="L264">
        <v>1163307620827</v>
      </c>
      <c r="M264">
        <v>20250613</v>
      </c>
      <c r="N264" t="s">
        <v>263</v>
      </c>
      <c r="Q264" t="s">
        <v>55</v>
      </c>
      <c r="R264">
        <v>57500</v>
      </c>
      <c r="T264">
        <v>4871871</v>
      </c>
      <c r="U264">
        <v>2516140726</v>
      </c>
      <c r="V264" t="s">
        <v>240</v>
      </c>
      <c r="W264" t="s">
        <v>53</v>
      </c>
      <c r="X264" t="s">
        <v>231</v>
      </c>
      <c r="Y264" t="s">
        <v>49</v>
      </c>
      <c r="Z264">
        <v>1903</v>
      </c>
      <c r="AH264">
        <v>0</v>
      </c>
      <c r="AI264">
        <v>202506</v>
      </c>
      <c r="AJ264" t="s">
        <v>167</v>
      </c>
      <c r="AK264">
        <v>1</v>
      </c>
      <c r="AL264">
        <v>1</v>
      </c>
      <c r="AO264">
        <v>0</v>
      </c>
      <c r="AP264">
        <v>999</v>
      </c>
      <c r="AQ264">
        <v>430</v>
      </c>
      <c r="AR264">
        <v>430999</v>
      </c>
      <c r="AT264">
        <v>1</v>
      </c>
      <c r="AU264" t="s">
        <v>54</v>
      </c>
      <c r="AV264">
        <v>25045.55</v>
      </c>
      <c r="AW264">
        <v>26010.331999999999</v>
      </c>
      <c r="AX264">
        <v>27041.058000000001</v>
      </c>
      <c r="AY264">
        <v>28420.708999999999</v>
      </c>
      <c r="AZ264">
        <v>29962.351999999999</v>
      </c>
      <c r="BA264">
        <v>31788.16</v>
      </c>
      <c r="BB264">
        <v>34027.07</v>
      </c>
      <c r="BC264">
        <v>36641.5795</v>
      </c>
      <c r="BD264">
        <v>39840.642</v>
      </c>
      <c r="BE264">
        <v>40000</v>
      </c>
      <c r="BF264">
        <v>41343.269999999997</v>
      </c>
      <c r="BG264">
        <v>44702.324999999997</v>
      </c>
      <c r="BH264">
        <v>49392.076000000001</v>
      </c>
      <c r="BI264">
        <v>58375.907500000008</v>
      </c>
      <c r="BJ264">
        <v>70239.999999999985</v>
      </c>
      <c r="BK264">
        <v>81597.5</v>
      </c>
      <c r="BL264">
        <v>118941.322</v>
      </c>
      <c r="BM264">
        <v>163981.24299999949</v>
      </c>
      <c r="BN264">
        <v>270486.4050000002</v>
      </c>
      <c r="BO264">
        <v>446888.37399999989</v>
      </c>
      <c r="BP264">
        <v>2814221.66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 x14ac:dyDescent="0.35">
      <c r="A265">
        <v>364495</v>
      </c>
      <c r="B265" t="s">
        <v>259</v>
      </c>
      <c r="C265" t="s">
        <v>260</v>
      </c>
      <c r="D265" s="1">
        <v>45850</v>
      </c>
      <c r="E265">
        <v>53850</v>
      </c>
      <c r="F265">
        <v>105</v>
      </c>
      <c r="G265" t="s">
        <v>47</v>
      </c>
      <c r="H265" t="s">
        <v>262</v>
      </c>
      <c r="I265" t="s">
        <v>48</v>
      </c>
      <c r="L265">
        <v>1053306287103</v>
      </c>
      <c r="M265">
        <v>20250605</v>
      </c>
      <c r="N265" t="s">
        <v>263</v>
      </c>
      <c r="Q265" t="s">
        <v>55</v>
      </c>
      <c r="R265">
        <v>102234.79</v>
      </c>
      <c r="T265">
        <v>4263360</v>
      </c>
      <c r="U265">
        <v>5982300724</v>
      </c>
      <c r="V265" t="s">
        <v>268</v>
      </c>
      <c r="W265" t="s">
        <v>53</v>
      </c>
      <c r="X265" t="s">
        <v>269</v>
      </c>
      <c r="Y265" t="s">
        <v>49</v>
      </c>
      <c r="Z265">
        <v>1058</v>
      </c>
      <c r="AH265">
        <v>0</v>
      </c>
      <c r="AI265">
        <v>202506</v>
      </c>
      <c r="AJ265" t="s">
        <v>160</v>
      </c>
      <c r="AK265">
        <v>1</v>
      </c>
      <c r="AL265">
        <v>1</v>
      </c>
      <c r="AO265">
        <v>0</v>
      </c>
      <c r="AP265">
        <v>999</v>
      </c>
      <c r="AQ265">
        <v>430</v>
      </c>
      <c r="AR265">
        <v>430999</v>
      </c>
      <c r="AT265">
        <v>1</v>
      </c>
      <c r="AU265" t="s">
        <v>54</v>
      </c>
      <c r="AV265">
        <v>25045.55</v>
      </c>
      <c r="AW265">
        <v>26010.331999999999</v>
      </c>
      <c r="AX265">
        <v>27041.058000000001</v>
      </c>
      <c r="AY265">
        <v>28420.708999999999</v>
      </c>
      <c r="AZ265">
        <v>29962.351999999999</v>
      </c>
      <c r="BA265">
        <v>31788.16</v>
      </c>
      <c r="BB265">
        <v>34027.07</v>
      </c>
      <c r="BC265">
        <v>36641.5795</v>
      </c>
      <c r="BD265">
        <v>39840.642</v>
      </c>
      <c r="BE265">
        <v>40000</v>
      </c>
      <c r="BF265">
        <v>41343.269999999997</v>
      </c>
      <c r="BG265">
        <v>44702.324999999997</v>
      </c>
      <c r="BH265">
        <v>49392.076000000001</v>
      </c>
      <c r="BI265">
        <v>58375.907500000008</v>
      </c>
      <c r="BJ265">
        <v>70239.999999999985</v>
      </c>
      <c r="BK265">
        <v>81597.5</v>
      </c>
      <c r="BL265">
        <v>118941.322</v>
      </c>
      <c r="BM265">
        <v>163981.24299999949</v>
      </c>
      <c r="BN265">
        <v>270486.4050000002</v>
      </c>
      <c r="BO265">
        <v>446888.37399999989</v>
      </c>
      <c r="BP265">
        <v>2814221.66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 x14ac:dyDescent="0.35">
      <c r="A266">
        <v>364487</v>
      </c>
      <c r="B266" t="s">
        <v>259</v>
      </c>
      <c r="C266" t="s">
        <v>260</v>
      </c>
      <c r="D266" s="1">
        <v>45850</v>
      </c>
      <c r="E266">
        <v>53850</v>
      </c>
      <c r="F266">
        <v>267</v>
      </c>
      <c r="G266" t="s">
        <v>163</v>
      </c>
      <c r="H266" t="s">
        <v>262</v>
      </c>
      <c r="I266" t="s">
        <v>48</v>
      </c>
      <c r="L266">
        <v>2673300010274</v>
      </c>
      <c r="M266">
        <v>20250617</v>
      </c>
      <c r="N266" t="s">
        <v>263</v>
      </c>
      <c r="Q266" t="s">
        <v>55</v>
      </c>
      <c r="R266">
        <v>40780.67</v>
      </c>
      <c r="T266">
        <v>4992646</v>
      </c>
      <c r="U266">
        <v>3152440792</v>
      </c>
      <c r="V266" t="s">
        <v>349</v>
      </c>
      <c r="W266" t="s">
        <v>53</v>
      </c>
      <c r="X266" t="s">
        <v>246</v>
      </c>
      <c r="Y266" t="s">
        <v>49</v>
      </c>
      <c r="Z266">
        <v>1627</v>
      </c>
      <c r="AH266">
        <v>0</v>
      </c>
      <c r="AI266">
        <v>202506</v>
      </c>
      <c r="AJ266" t="s">
        <v>160</v>
      </c>
      <c r="AK266">
        <v>1</v>
      </c>
      <c r="AL266">
        <v>1</v>
      </c>
      <c r="AO266">
        <v>0</v>
      </c>
      <c r="AP266">
        <v>999</v>
      </c>
      <c r="AQ266">
        <v>430</v>
      </c>
      <c r="AR266">
        <v>430999</v>
      </c>
      <c r="AT266">
        <v>1</v>
      </c>
      <c r="AU266" t="s">
        <v>54</v>
      </c>
      <c r="AV266">
        <v>25045.55</v>
      </c>
      <c r="AW266">
        <v>26010.331999999999</v>
      </c>
      <c r="AX266">
        <v>27041.058000000001</v>
      </c>
      <c r="AY266">
        <v>28420.708999999999</v>
      </c>
      <c r="AZ266">
        <v>29962.351999999999</v>
      </c>
      <c r="BA266">
        <v>31788.16</v>
      </c>
      <c r="BB266">
        <v>34027.07</v>
      </c>
      <c r="BC266">
        <v>36641.5795</v>
      </c>
      <c r="BD266">
        <v>39840.642</v>
      </c>
      <c r="BE266">
        <v>40000</v>
      </c>
      <c r="BF266">
        <v>41343.269999999997</v>
      </c>
      <c r="BG266">
        <v>44702.324999999997</v>
      </c>
      <c r="BH266">
        <v>49392.076000000001</v>
      </c>
      <c r="BI266">
        <v>58375.907500000008</v>
      </c>
      <c r="BJ266">
        <v>70239.999999999985</v>
      </c>
      <c r="BK266">
        <v>81597.5</v>
      </c>
      <c r="BL266">
        <v>118941.322</v>
      </c>
      <c r="BM266">
        <v>163981.24299999949</v>
      </c>
      <c r="BN266">
        <v>270486.4050000002</v>
      </c>
      <c r="BO266">
        <v>446888.37399999989</v>
      </c>
      <c r="BP266">
        <v>2814221.66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 x14ac:dyDescent="0.35">
      <c r="A267">
        <v>364483</v>
      </c>
      <c r="B267" t="s">
        <v>259</v>
      </c>
      <c r="C267" t="s">
        <v>260</v>
      </c>
      <c r="D267" s="1">
        <v>45850</v>
      </c>
      <c r="E267">
        <v>53850</v>
      </c>
      <c r="F267">
        <v>122</v>
      </c>
      <c r="G267" t="s">
        <v>261</v>
      </c>
      <c r="H267" t="s">
        <v>262</v>
      </c>
      <c r="I267" t="s">
        <v>48</v>
      </c>
      <c r="L267">
        <v>1223300002128</v>
      </c>
      <c r="M267">
        <v>20250619</v>
      </c>
      <c r="N267" t="s">
        <v>263</v>
      </c>
      <c r="Q267" t="s">
        <v>55</v>
      </c>
      <c r="R267">
        <v>35147.599999999999</v>
      </c>
      <c r="T267">
        <v>3711207</v>
      </c>
      <c r="U267">
        <v>8825020723</v>
      </c>
      <c r="V267" t="s">
        <v>264</v>
      </c>
      <c r="W267" t="s">
        <v>53</v>
      </c>
      <c r="X267" t="s">
        <v>57</v>
      </c>
      <c r="Y267" t="s">
        <v>49</v>
      </c>
      <c r="Z267">
        <v>1696</v>
      </c>
      <c r="AH267">
        <v>0</v>
      </c>
      <c r="AI267">
        <v>202506</v>
      </c>
      <c r="AJ267" t="s">
        <v>160</v>
      </c>
      <c r="AK267">
        <v>1</v>
      </c>
      <c r="AL267">
        <v>1</v>
      </c>
      <c r="AO267">
        <v>0</v>
      </c>
      <c r="AP267">
        <v>620</v>
      </c>
      <c r="AQ267">
        <v>430</v>
      </c>
      <c r="AR267">
        <v>430620</v>
      </c>
      <c r="AS267" t="s">
        <v>58</v>
      </c>
      <c r="AU267" t="s">
        <v>58</v>
      </c>
      <c r="AV267">
        <v>25045.55</v>
      </c>
      <c r="AW267">
        <v>26010.331999999999</v>
      </c>
      <c r="AX267">
        <v>27041.058000000001</v>
      </c>
      <c r="AY267">
        <v>28420.708999999999</v>
      </c>
      <c r="AZ267">
        <v>29962.351999999999</v>
      </c>
      <c r="BA267">
        <v>31788.16</v>
      </c>
      <c r="BB267">
        <v>34027.07</v>
      </c>
      <c r="BC267">
        <v>36641.5795</v>
      </c>
      <c r="BD267">
        <v>39840.642</v>
      </c>
      <c r="BE267">
        <v>40000</v>
      </c>
      <c r="BF267">
        <v>41343.269999999997</v>
      </c>
      <c r="BG267">
        <v>44702.324999999997</v>
      </c>
      <c r="BH267">
        <v>49392.076000000001</v>
      </c>
      <c r="BI267">
        <v>58375.907500000008</v>
      </c>
      <c r="BJ267">
        <v>70239.999999999985</v>
      </c>
      <c r="BK267">
        <v>81597.5</v>
      </c>
      <c r="BL267">
        <v>118941.322</v>
      </c>
      <c r="BM267">
        <v>163981.24299999949</v>
      </c>
      <c r="BN267">
        <v>270486.4050000002</v>
      </c>
      <c r="BO267">
        <v>446888.37399999989</v>
      </c>
      <c r="BP267">
        <v>2814221.66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 x14ac:dyDescent="0.35">
      <c r="A268">
        <v>364466</v>
      </c>
      <c r="B268" t="s">
        <v>259</v>
      </c>
      <c r="C268" t="s">
        <v>260</v>
      </c>
      <c r="D268" s="1">
        <v>45850</v>
      </c>
      <c r="E268">
        <v>53850</v>
      </c>
      <c r="F268">
        <v>103</v>
      </c>
      <c r="G268" t="s">
        <v>56</v>
      </c>
      <c r="H268" t="s">
        <v>262</v>
      </c>
      <c r="I268" t="s">
        <v>48</v>
      </c>
      <c r="L268">
        <v>1033306985171</v>
      </c>
      <c r="M268">
        <v>20250605</v>
      </c>
      <c r="N268" t="s">
        <v>263</v>
      </c>
      <c r="Q268" t="s">
        <v>55</v>
      </c>
      <c r="R268">
        <v>26000</v>
      </c>
      <c r="T268">
        <v>3713883</v>
      </c>
      <c r="U268">
        <v>7344540724</v>
      </c>
      <c r="V268" t="s">
        <v>354</v>
      </c>
      <c r="W268" t="s">
        <v>53</v>
      </c>
      <c r="X268" t="s">
        <v>234</v>
      </c>
      <c r="Y268" t="s">
        <v>49</v>
      </c>
      <c r="Z268">
        <v>1916</v>
      </c>
      <c r="AH268">
        <v>0</v>
      </c>
      <c r="AI268">
        <v>202506</v>
      </c>
      <c r="AK268">
        <v>1</v>
      </c>
      <c r="AL268">
        <v>1</v>
      </c>
      <c r="AO268">
        <v>0</v>
      </c>
      <c r="AP268">
        <v>999</v>
      </c>
      <c r="AQ268">
        <v>430</v>
      </c>
      <c r="AR268">
        <v>430999</v>
      </c>
      <c r="AT268">
        <v>1</v>
      </c>
      <c r="AU268" t="s">
        <v>54</v>
      </c>
      <c r="AV268">
        <v>25045.55</v>
      </c>
      <c r="AW268">
        <v>26010.331999999999</v>
      </c>
      <c r="AX268">
        <v>27041.058000000001</v>
      </c>
      <c r="AY268">
        <v>28420.708999999999</v>
      </c>
      <c r="AZ268">
        <v>29962.351999999999</v>
      </c>
      <c r="BA268">
        <v>31788.16</v>
      </c>
      <c r="BB268">
        <v>34027.07</v>
      </c>
      <c r="BC268">
        <v>36641.5795</v>
      </c>
      <c r="BD268">
        <v>39840.642</v>
      </c>
      <c r="BE268">
        <v>40000</v>
      </c>
      <c r="BF268">
        <v>41343.269999999997</v>
      </c>
      <c r="BG268">
        <v>44702.324999999997</v>
      </c>
      <c r="BH268">
        <v>49392.076000000001</v>
      </c>
      <c r="BI268">
        <v>58375.907500000008</v>
      </c>
      <c r="BJ268">
        <v>70239.999999999985</v>
      </c>
      <c r="BK268">
        <v>81597.5</v>
      </c>
      <c r="BL268">
        <v>118941.322</v>
      </c>
      <c r="BM268">
        <v>163981.24299999949</v>
      </c>
      <c r="BN268">
        <v>270486.4050000002</v>
      </c>
      <c r="BO268">
        <v>446888.37399999989</v>
      </c>
      <c r="BP268">
        <v>2814221.66</v>
      </c>
      <c r="BQ268">
        <v>1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 x14ac:dyDescent="0.35">
      <c r="A269">
        <v>364457</v>
      </c>
      <c r="B269" t="s">
        <v>259</v>
      </c>
      <c r="C269" t="s">
        <v>260</v>
      </c>
      <c r="D269" s="1">
        <v>45850</v>
      </c>
      <c r="E269">
        <v>53850</v>
      </c>
      <c r="F269">
        <v>104</v>
      </c>
      <c r="G269" t="s">
        <v>50</v>
      </c>
      <c r="H269" t="s">
        <v>262</v>
      </c>
      <c r="I269" t="s">
        <v>48</v>
      </c>
      <c r="L269">
        <v>1043309505524</v>
      </c>
      <c r="M269">
        <v>20250626</v>
      </c>
      <c r="N269" t="s">
        <v>263</v>
      </c>
      <c r="Q269" t="s">
        <v>55</v>
      </c>
      <c r="R269">
        <v>32210.07</v>
      </c>
      <c r="T269">
        <v>4255116</v>
      </c>
      <c r="U269">
        <v>6238700725</v>
      </c>
      <c r="V269" t="s">
        <v>352</v>
      </c>
      <c r="W269" t="s">
        <v>53</v>
      </c>
      <c r="X269" t="s">
        <v>307</v>
      </c>
      <c r="Y269" t="s">
        <v>49</v>
      </c>
      <c r="Z269">
        <v>727</v>
      </c>
      <c r="AH269">
        <v>0</v>
      </c>
      <c r="AI269">
        <v>202506</v>
      </c>
      <c r="AK269">
        <v>1</v>
      </c>
      <c r="AL269">
        <v>1</v>
      </c>
      <c r="AO269">
        <v>0</v>
      </c>
      <c r="AP269">
        <v>999</v>
      </c>
      <c r="AQ269">
        <v>430</v>
      </c>
      <c r="AR269">
        <v>430999</v>
      </c>
      <c r="AT269">
        <v>1</v>
      </c>
      <c r="AU269" t="s">
        <v>54</v>
      </c>
      <c r="AV269">
        <v>25045.55</v>
      </c>
      <c r="AW269">
        <v>26010.331999999999</v>
      </c>
      <c r="AX269">
        <v>27041.058000000001</v>
      </c>
      <c r="AY269">
        <v>28420.708999999999</v>
      </c>
      <c r="AZ269">
        <v>29962.351999999999</v>
      </c>
      <c r="BA269">
        <v>31788.16</v>
      </c>
      <c r="BB269">
        <v>34027.07</v>
      </c>
      <c r="BC269">
        <v>36641.5795</v>
      </c>
      <c r="BD269">
        <v>39840.642</v>
      </c>
      <c r="BE269">
        <v>40000</v>
      </c>
      <c r="BF269">
        <v>41343.269999999997</v>
      </c>
      <c r="BG269">
        <v>44702.324999999997</v>
      </c>
      <c r="BH269">
        <v>49392.076000000001</v>
      </c>
      <c r="BI269">
        <v>58375.907500000008</v>
      </c>
      <c r="BJ269">
        <v>70239.999999999985</v>
      </c>
      <c r="BK269">
        <v>81597.5</v>
      </c>
      <c r="BL269">
        <v>118941.322</v>
      </c>
      <c r="BM269">
        <v>163981.24299999949</v>
      </c>
      <c r="BN269">
        <v>270486.4050000002</v>
      </c>
      <c r="BO269">
        <v>446888.37399999989</v>
      </c>
      <c r="BP269">
        <v>2814221.66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 x14ac:dyDescent="0.35">
      <c r="A270">
        <v>364452</v>
      </c>
      <c r="B270" t="s">
        <v>259</v>
      </c>
      <c r="C270" t="s">
        <v>260</v>
      </c>
      <c r="D270" s="1">
        <v>45850</v>
      </c>
      <c r="E270">
        <v>53850</v>
      </c>
      <c r="F270">
        <v>122</v>
      </c>
      <c r="G270" t="s">
        <v>261</v>
      </c>
      <c r="H270" t="s">
        <v>262</v>
      </c>
      <c r="I270" t="s">
        <v>48</v>
      </c>
      <c r="L270">
        <v>1223300002128</v>
      </c>
      <c r="M270">
        <v>20250619</v>
      </c>
      <c r="N270" t="s">
        <v>263</v>
      </c>
      <c r="Q270" t="s">
        <v>55</v>
      </c>
      <c r="R270">
        <v>39150</v>
      </c>
      <c r="T270">
        <v>3711207</v>
      </c>
      <c r="U270">
        <v>8825020723</v>
      </c>
      <c r="V270" t="s">
        <v>264</v>
      </c>
      <c r="W270" t="s">
        <v>53</v>
      </c>
      <c r="X270" t="s">
        <v>57</v>
      </c>
      <c r="Y270" t="s">
        <v>49</v>
      </c>
      <c r="Z270">
        <v>1696</v>
      </c>
      <c r="AH270">
        <v>0</v>
      </c>
      <c r="AI270">
        <v>202506</v>
      </c>
      <c r="AJ270" t="s">
        <v>160</v>
      </c>
      <c r="AK270">
        <v>1</v>
      </c>
      <c r="AL270">
        <v>1</v>
      </c>
      <c r="AO270">
        <v>0</v>
      </c>
      <c r="AP270">
        <v>620</v>
      </c>
      <c r="AQ270">
        <v>430</v>
      </c>
      <c r="AR270">
        <v>430620</v>
      </c>
      <c r="AS270" t="s">
        <v>58</v>
      </c>
      <c r="AU270" t="s">
        <v>58</v>
      </c>
      <c r="AV270">
        <v>25045.55</v>
      </c>
      <c r="AW270">
        <v>26010.331999999999</v>
      </c>
      <c r="AX270">
        <v>27041.058000000001</v>
      </c>
      <c r="AY270">
        <v>28420.708999999999</v>
      </c>
      <c r="AZ270">
        <v>29962.351999999999</v>
      </c>
      <c r="BA270">
        <v>31788.16</v>
      </c>
      <c r="BB270">
        <v>34027.07</v>
      </c>
      <c r="BC270">
        <v>36641.5795</v>
      </c>
      <c r="BD270">
        <v>39840.642</v>
      </c>
      <c r="BE270">
        <v>40000</v>
      </c>
      <c r="BF270">
        <v>41343.269999999997</v>
      </c>
      <c r="BG270">
        <v>44702.324999999997</v>
      </c>
      <c r="BH270">
        <v>49392.076000000001</v>
      </c>
      <c r="BI270">
        <v>58375.907500000008</v>
      </c>
      <c r="BJ270">
        <v>70239.999999999985</v>
      </c>
      <c r="BK270">
        <v>81597.5</v>
      </c>
      <c r="BL270">
        <v>118941.322</v>
      </c>
      <c r="BM270">
        <v>163981.24299999949</v>
      </c>
      <c r="BN270">
        <v>270486.4050000002</v>
      </c>
      <c r="BO270">
        <v>446888.37399999989</v>
      </c>
      <c r="BP270">
        <v>2814221.66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 x14ac:dyDescent="0.35">
      <c r="A271">
        <v>364441</v>
      </c>
      <c r="B271" t="s">
        <v>259</v>
      </c>
      <c r="C271" t="s">
        <v>260</v>
      </c>
      <c r="D271" s="1">
        <v>45850</v>
      </c>
      <c r="E271">
        <v>53850</v>
      </c>
      <c r="F271">
        <v>154</v>
      </c>
      <c r="G271" t="s">
        <v>235</v>
      </c>
      <c r="H271" t="s">
        <v>262</v>
      </c>
      <c r="I271" t="s">
        <v>48</v>
      </c>
      <c r="L271">
        <v>1543300004860</v>
      </c>
      <c r="M271">
        <v>20250623</v>
      </c>
      <c r="N271" t="s">
        <v>263</v>
      </c>
      <c r="Q271" t="s">
        <v>55</v>
      </c>
      <c r="R271">
        <v>39445.730000000003</v>
      </c>
      <c r="T271">
        <v>3715569</v>
      </c>
      <c r="U271">
        <v>5424970654</v>
      </c>
      <c r="V271" t="s">
        <v>265</v>
      </c>
      <c r="W271" t="s">
        <v>53</v>
      </c>
      <c r="X271" t="s">
        <v>266</v>
      </c>
      <c r="Y271" t="s">
        <v>49</v>
      </c>
      <c r="Z271">
        <v>741</v>
      </c>
      <c r="AH271">
        <v>0</v>
      </c>
      <c r="AI271">
        <v>202506</v>
      </c>
      <c r="AK271">
        <v>1</v>
      </c>
      <c r="AL271">
        <v>1</v>
      </c>
      <c r="AO271">
        <v>0</v>
      </c>
      <c r="AP271">
        <v>999</v>
      </c>
      <c r="AQ271">
        <v>430</v>
      </c>
      <c r="AR271">
        <v>430999</v>
      </c>
      <c r="AT271">
        <v>1</v>
      </c>
      <c r="AU271" t="s">
        <v>54</v>
      </c>
      <c r="AV271">
        <v>25045.55</v>
      </c>
      <c r="AW271">
        <v>26010.331999999999</v>
      </c>
      <c r="AX271">
        <v>27041.058000000001</v>
      </c>
      <c r="AY271">
        <v>28420.708999999999</v>
      </c>
      <c r="AZ271">
        <v>29962.351999999999</v>
      </c>
      <c r="BA271">
        <v>31788.16</v>
      </c>
      <c r="BB271">
        <v>34027.07</v>
      </c>
      <c r="BC271">
        <v>36641.5795</v>
      </c>
      <c r="BD271">
        <v>39840.642</v>
      </c>
      <c r="BE271">
        <v>40000</v>
      </c>
      <c r="BF271">
        <v>41343.269999999997</v>
      </c>
      <c r="BG271">
        <v>44702.324999999997</v>
      </c>
      <c r="BH271">
        <v>49392.076000000001</v>
      </c>
      <c r="BI271">
        <v>58375.907500000008</v>
      </c>
      <c r="BJ271">
        <v>70239.999999999985</v>
      </c>
      <c r="BK271">
        <v>81597.5</v>
      </c>
      <c r="BL271">
        <v>118941.322</v>
      </c>
      <c r="BM271">
        <v>163981.24299999949</v>
      </c>
      <c r="BN271">
        <v>270486.4050000002</v>
      </c>
      <c r="BO271">
        <v>446888.37399999989</v>
      </c>
      <c r="BP271">
        <v>2814221.66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 x14ac:dyDescent="0.35">
      <c r="A272">
        <v>364437</v>
      </c>
      <c r="B272" t="s">
        <v>259</v>
      </c>
      <c r="C272" t="s">
        <v>260</v>
      </c>
      <c r="D272" s="1">
        <v>45850</v>
      </c>
      <c r="E272">
        <v>53850</v>
      </c>
      <c r="F272">
        <v>171</v>
      </c>
      <c r="G272" t="s">
        <v>72</v>
      </c>
      <c r="H272" t="s">
        <v>262</v>
      </c>
      <c r="I272" t="s">
        <v>48</v>
      </c>
      <c r="L272">
        <v>1713302213842</v>
      </c>
      <c r="M272">
        <v>20250626</v>
      </c>
      <c r="N272" t="s">
        <v>263</v>
      </c>
      <c r="Q272" t="s">
        <v>55</v>
      </c>
      <c r="R272">
        <v>330000</v>
      </c>
      <c r="T272">
        <v>4148505</v>
      </c>
      <c r="U272">
        <v>5848860721</v>
      </c>
      <c r="V272" t="s">
        <v>171</v>
      </c>
      <c r="W272" t="s">
        <v>53</v>
      </c>
      <c r="X272" t="s">
        <v>85</v>
      </c>
      <c r="Y272" t="s">
        <v>49</v>
      </c>
      <c r="Z272">
        <v>1903</v>
      </c>
      <c r="AH272">
        <v>0</v>
      </c>
      <c r="AI272">
        <v>202506</v>
      </c>
      <c r="AJ272" t="s">
        <v>160</v>
      </c>
      <c r="AK272">
        <v>1</v>
      </c>
      <c r="AL272">
        <v>1</v>
      </c>
      <c r="AO272">
        <v>0</v>
      </c>
      <c r="AP272">
        <v>999</v>
      </c>
      <c r="AQ272">
        <v>430</v>
      </c>
      <c r="AR272">
        <v>430999</v>
      </c>
      <c r="AT272">
        <v>1</v>
      </c>
      <c r="AU272" t="s">
        <v>54</v>
      </c>
      <c r="AV272">
        <v>25045.55</v>
      </c>
      <c r="AW272">
        <v>26010.331999999999</v>
      </c>
      <c r="AX272">
        <v>27041.058000000001</v>
      </c>
      <c r="AY272">
        <v>28420.708999999999</v>
      </c>
      <c r="AZ272">
        <v>29962.351999999999</v>
      </c>
      <c r="BA272">
        <v>31788.16</v>
      </c>
      <c r="BB272">
        <v>34027.07</v>
      </c>
      <c r="BC272">
        <v>36641.5795</v>
      </c>
      <c r="BD272">
        <v>39840.642</v>
      </c>
      <c r="BE272">
        <v>40000</v>
      </c>
      <c r="BF272">
        <v>41343.269999999997</v>
      </c>
      <c r="BG272">
        <v>44702.324999999997</v>
      </c>
      <c r="BH272">
        <v>49392.076000000001</v>
      </c>
      <c r="BI272">
        <v>58375.907500000008</v>
      </c>
      <c r="BJ272">
        <v>70239.999999999985</v>
      </c>
      <c r="BK272">
        <v>81597.5</v>
      </c>
      <c r="BL272">
        <v>118941.322</v>
      </c>
      <c r="BM272">
        <v>163981.24299999949</v>
      </c>
      <c r="BN272">
        <v>270486.4050000002</v>
      </c>
      <c r="BO272">
        <v>446888.37399999989</v>
      </c>
      <c r="BP272">
        <v>2814221.66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0</v>
      </c>
      <c r="CK272">
        <v>0</v>
      </c>
    </row>
    <row r="273" spans="1:89" x14ac:dyDescent="0.35">
      <c r="A273">
        <v>364421</v>
      </c>
      <c r="B273" t="s">
        <v>259</v>
      </c>
      <c r="C273" t="s">
        <v>260</v>
      </c>
      <c r="D273" s="1">
        <v>45850</v>
      </c>
      <c r="E273">
        <v>53850</v>
      </c>
      <c r="F273">
        <v>128</v>
      </c>
      <c r="G273" t="s">
        <v>91</v>
      </c>
      <c r="H273" t="s">
        <v>262</v>
      </c>
      <c r="I273" t="s">
        <v>48</v>
      </c>
      <c r="L273">
        <v>1283300003276</v>
      </c>
      <c r="M273">
        <v>20250612</v>
      </c>
      <c r="N273" t="s">
        <v>263</v>
      </c>
      <c r="Q273" t="s">
        <v>55</v>
      </c>
      <c r="R273">
        <v>81740</v>
      </c>
      <c r="T273">
        <v>4804234</v>
      </c>
      <c r="U273">
        <v>7652810727</v>
      </c>
      <c r="V273" t="s">
        <v>332</v>
      </c>
      <c r="W273" t="s">
        <v>53</v>
      </c>
      <c r="X273" t="s">
        <v>333</v>
      </c>
      <c r="Y273" t="s">
        <v>49</v>
      </c>
      <c r="Z273">
        <v>462</v>
      </c>
      <c r="AH273">
        <v>0</v>
      </c>
      <c r="AI273">
        <v>202506</v>
      </c>
      <c r="AK273">
        <v>1</v>
      </c>
      <c r="AL273">
        <v>1</v>
      </c>
      <c r="AO273">
        <v>0</v>
      </c>
      <c r="AP273">
        <v>999</v>
      </c>
      <c r="AQ273">
        <v>430</v>
      </c>
      <c r="AR273">
        <v>430999</v>
      </c>
      <c r="AT273">
        <v>1</v>
      </c>
      <c r="AU273" t="s">
        <v>54</v>
      </c>
      <c r="AV273">
        <v>25045.55</v>
      </c>
      <c r="AW273">
        <v>26010.331999999999</v>
      </c>
      <c r="AX273">
        <v>27041.058000000001</v>
      </c>
      <c r="AY273">
        <v>28420.708999999999</v>
      </c>
      <c r="AZ273">
        <v>29962.351999999999</v>
      </c>
      <c r="BA273">
        <v>31788.16</v>
      </c>
      <c r="BB273">
        <v>34027.07</v>
      </c>
      <c r="BC273">
        <v>36641.5795</v>
      </c>
      <c r="BD273">
        <v>39840.642</v>
      </c>
      <c r="BE273">
        <v>40000</v>
      </c>
      <c r="BF273">
        <v>41343.269999999997</v>
      </c>
      <c r="BG273">
        <v>44702.324999999997</v>
      </c>
      <c r="BH273">
        <v>49392.076000000001</v>
      </c>
      <c r="BI273">
        <v>58375.907500000008</v>
      </c>
      <c r="BJ273">
        <v>70239.999999999985</v>
      </c>
      <c r="BK273">
        <v>81597.5</v>
      </c>
      <c r="BL273">
        <v>118941.322</v>
      </c>
      <c r="BM273">
        <v>163981.24299999949</v>
      </c>
      <c r="BN273">
        <v>270486.4050000002</v>
      </c>
      <c r="BO273">
        <v>446888.37399999989</v>
      </c>
      <c r="BP273">
        <v>2814221.66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 x14ac:dyDescent="0.35">
      <c r="A274">
        <v>364400</v>
      </c>
      <c r="B274" t="s">
        <v>259</v>
      </c>
      <c r="C274" t="s">
        <v>260</v>
      </c>
      <c r="D274" s="1">
        <v>45850</v>
      </c>
      <c r="E274">
        <v>53850</v>
      </c>
      <c r="F274">
        <v>105</v>
      </c>
      <c r="G274" t="s">
        <v>47</v>
      </c>
      <c r="H274" t="s">
        <v>262</v>
      </c>
      <c r="I274" t="s">
        <v>48</v>
      </c>
      <c r="L274">
        <v>1053306287103</v>
      </c>
      <c r="M274">
        <v>20250617</v>
      </c>
      <c r="N274" t="s">
        <v>263</v>
      </c>
      <c r="Q274" t="s">
        <v>55</v>
      </c>
      <c r="R274">
        <v>2704796</v>
      </c>
      <c r="T274">
        <v>4263360</v>
      </c>
      <c r="U274">
        <v>5982300724</v>
      </c>
      <c r="V274" t="s">
        <v>268</v>
      </c>
      <c r="W274" t="s">
        <v>53</v>
      </c>
      <c r="X274" t="s">
        <v>269</v>
      </c>
      <c r="Y274" t="s">
        <v>49</v>
      </c>
      <c r="Z274">
        <v>1058</v>
      </c>
      <c r="AH274">
        <v>0</v>
      </c>
      <c r="AI274">
        <v>202506</v>
      </c>
      <c r="AJ274" t="s">
        <v>160</v>
      </c>
      <c r="AK274">
        <v>1</v>
      </c>
      <c r="AL274">
        <v>1</v>
      </c>
      <c r="AO274">
        <v>0</v>
      </c>
      <c r="AP274">
        <v>999</v>
      </c>
      <c r="AQ274">
        <v>430</v>
      </c>
      <c r="AR274">
        <v>430999</v>
      </c>
      <c r="AT274">
        <v>1</v>
      </c>
      <c r="AU274" t="s">
        <v>54</v>
      </c>
      <c r="AV274">
        <v>25045.55</v>
      </c>
      <c r="AW274">
        <v>26010.331999999999</v>
      </c>
      <c r="AX274">
        <v>27041.058000000001</v>
      </c>
      <c r="AY274">
        <v>28420.708999999999</v>
      </c>
      <c r="AZ274">
        <v>29962.351999999999</v>
      </c>
      <c r="BA274">
        <v>31788.16</v>
      </c>
      <c r="BB274">
        <v>34027.07</v>
      </c>
      <c r="BC274">
        <v>36641.5795</v>
      </c>
      <c r="BD274">
        <v>39840.642</v>
      </c>
      <c r="BE274">
        <v>40000</v>
      </c>
      <c r="BF274">
        <v>41343.269999999997</v>
      </c>
      <c r="BG274">
        <v>44702.324999999997</v>
      </c>
      <c r="BH274">
        <v>49392.076000000001</v>
      </c>
      <c r="BI274">
        <v>58375.907500000008</v>
      </c>
      <c r="BJ274">
        <v>70239.999999999985</v>
      </c>
      <c r="BK274">
        <v>81597.5</v>
      </c>
      <c r="BL274">
        <v>118941.322</v>
      </c>
      <c r="BM274">
        <v>163981.24299999949</v>
      </c>
      <c r="BN274">
        <v>270486.4050000002</v>
      </c>
      <c r="BO274">
        <v>446888.37399999989</v>
      </c>
      <c r="BP274">
        <v>2814221.66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0</v>
      </c>
    </row>
    <row r="275" spans="1:89" x14ac:dyDescent="0.35">
      <c r="A275">
        <v>364376</v>
      </c>
      <c r="B275" t="s">
        <v>259</v>
      </c>
      <c r="C275" t="s">
        <v>260</v>
      </c>
      <c r="D275" s="1">
        <v>45850</v>
      </c>
      <c r="E275">
        <v>53850</v>
      </c>
      <c r="F275">
        <v>117</v>
      </c>
      <c r="G275" t="s">
        <v>336</v>
      </c>
      <c r="H275" t="s">
        <v>262</v>
      </c>
      <c r="I275" t="s">
        <v>48</v>
      </c>
      <c r="L275">
        <v>1173300537790</v>
      </c>
      <c r="M275">
        <v>20250606</v>
      </c>
      <c r="N275" t="s">
        <v>263</v>
      </c>
      <c r="Q275" t="s">
        <v>55</v>
      </c>
      <c r="R275">
        <v>320562.28999999998</v>
      </c>
      <c r="T275">
        <v>4385006</v>
      </c>
      <c r="U275" t="s">
        <v>341</v>
      </c>
      <c r="V275" t="s">
        <v>342</v>
      </c>
      <c r="W275" t="s">
        <v>64</v>
      </c>
      <c r="X275" t="s">
        <v>339</v>
      </c>
      <c r="Y275" t="s">
        <v>49</v>
      </c>
      <c r="Z275">
        <v>936</v>
      </c>
      <c r="AH275">
        <v>0</v>
      </c>
      <c r="AI275">
        <v>202506</v>
      </c>
      <c r="AK275">
        <v>1</v>
      </c>
      <c r="AL275">
        <v>1</v>
      </c>
      <c r="AO275">
        <v>0</v>
      </c>
      <c r="AP275">
        <v>999</v>
      </c>
      <c r="AQ275">
        <v>615</v>
      </c>
      <c r="AR275">
        <v>615999</v>
      </c>
      <c r="AT275">
        <v>1</v>
      </c>
      <c r="AU275" t="s">
        <v>58</v>
      </c>
      <c r="AV275">
        <v>25045.55</v>
      </c>
      <c r="AW275">
        <v>26010.331999999999</v>
      </c>
      <c r="AX275">
        <v>27041.058000000001</v>
      </c>
      <c r="AY275">
        <v>28420.708999999999</v>
      </c>
      <c r="AZ275">
        <v>29962.351999999999</v>
      </c>
      <c r="BA275">
        <v>31788.16</v>
      </c>
      <c r="BB275">
        <v>34027.07</v>
      </c>
      <c r="BC275">
        <v>36641.5795</v>
      </c>
      <c r="BD275">
        <v>39840.642</v>
      </c>
      <c r="BE275">
        <v>40000</v>
      </c>
      <c r="BF275">
        <v>41343.269999999997</v>
      </c>
      <c r="BG275">
        <v>44702.324999999997</v>
      </c>
      <c r="BH275">
        <v>49392.076000000001</v>
      </c>
      <c r="BI275">
        <v>58375.907500000008</v>
      </c>
      <c r="BJ275">
        <v>70239.999999999985</v>
      </c>
      <c r="BK275">
        <v>81597.5</v>
      </c>
      <c r="BL275">
        <v>118941.322</v>
      </c>
      <c r="BM275">
        <v>163981.24299999949</v>
      </c>
      <c r="BN275">
        <v>270486.4050000002</v>
      </c>
      <c r="BO275">
        <v>446888.37399999989</v>
      </c>
      <c r="BP275">
        <v>2814221.66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0</v>
      </c>
      <c r="CK275">
        <v>0</v>
      </c>
    </row>
    <row r="276" spans="1:89" x14ac:dyDescent="0.35">
      <c r="A276">
        <v>364375</v>
      </c>
      <c r="B276" t="s">
        <v>259</v>
      </c>
      <c r="C276" t="s">
        <v>260</v>
      </c>
      <c r="D276" s="1">
        <v>45850</v>
      </c>
      <c r="E276">
        <v>53850</v>
      </c>
      <c r="F276">
        <v>137</v>
      </c>
      <c r="G276" t="s">
        <v>71</v>
      </c>
      <c r="H276" t="s">
        <v>262</v>
      </c>
      <c r="I276" t="s">
        <v>48</v>
      </c>
      <c r="L276">
        <v>1373304102177</v>
      </c>
      <c r="M276">
        <v>20250625</v>
      </c>
      <c r="N276" t="s">
        <v>263</v>
      </c>
      <c r="Q276" t="s">
        <v>55</v>
      </c>
      <c r="R276">
        <v>63000</v>
      </c>
      <c r="T276">
        <v>4172627</v>
      </c>
      <c r="U276">
        <v>820790707</v>
      </c>
      <c r="V276" t="s">
        <v>355</v>
      </c>
      <c r="W276" t="s">
        <v>53</v>
      </c>
      <c r="X276" t="s">
        <v>296</v>
      </c>
      <c r="Y276" t="s">
        <v>49</v>
      </c>
      <c r="Z276">
        <v>1856</v>
      </c>
      <c r="AH276">
        <v>0</v>
      </c>
      <c r="AI276">
        <v>202506</v>
      </c>
      <c r="AJ276" t="s">
        <v>160</v>
      </c>
      <c r="AK276">
        <v>1</v>
      </c>
      <c r="AL276">
        <v>1</v>
      </c>
      <c r="AO276">
        <v>0</v>
      </c>
      <c r="AP276">
        <v>464</v>
      </c>
      <c r="AQ276">
        <v>430</v>
      </c>
      <c r="AR276">
        <v>430464</v>
      </c>
      <c r="AS276" t="s">
        <v>297</v>
      </c>
      <c r="AU276" t="s">
        <v>297</v>
      </c>
      <c r="AV276">
        <v>25045.55</v>
      </c>
      <c r="AW276">
        <v>26010.331999999999</v>
      </c>
      <c r="AX276">
        <v>27041.058000000001</v>
      </c>
      <c r="AY276">
        <v>28420.708999999999</v>
      </c>
      <c r="AZ276">
        <v>29962.351999999999</v>
      </c>
      <c r="BA276">
        <v>31788.16</v>
      </c>
      <c r="BB276">
        <v>34027.07</v>
      </c>
      <c r="BC276">
        <v>36641.5795</v>
      </c>
      <c r="BD276">
        <v>39840.642</v>
      </c>
      <c r="BE276">
        <v>40000</v>
      </c>
      <c r="BF276">
        <v>41343.269999999997</v>
      </c>
      <c r="BG276">
        <v>44702.324999999997</v>
      </c>
      <c r="BH276">
        <v>49392.076000000001</v>
      </c>
      <c r="BI276">
        <v>58375.907500000008</v>
      </c>
      <c r="BJ276">
        <v>70239.999999999985</v>
      </c>
      <c r="BK276">
        <v>81597.5</v>
      </c>
      <c r="BL276">
        <v>118941.322</v>
      </c>
      <c r="BM276">
        <v>163981.24299999949</v>
      </c>
      <c r="BN276">
        <v>270486.4050000002</v>
      </c>
      <c r="BO276">
        <v>446888.37399999989</v>
      </c>
      <c r="BP276">
        <v>2814221.66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 x14ac:dyDescent="0.35">
      <c r="A277">
        <v>364371</v>
      </c>
      <c r="B277" t="s">
        <v>259</v>
      </c>
      <c r="C277" t="s">
        <v>260</v>
      </c>
      <c r="D277" s="1">
        <v>45850</v>
      </c>
      <c r="E277">
        <v>53850</v>
      </c>
      <c r="F277">
        <v>108</v>
      </c>
      <c r="G277" t="s">
        <v>88</v>
      </c>
      <c r="H277" t="s">
        <v>262</v>
      </c>
      <c r="I277" t="s">
        <v>48</v>
      </c>
      <c r="L277">
        <v>1083300011180</v>
      </c>
      <c r="M277">
        <v>20250619</v>
      </c>
      <c r="N277" t="s">
        <v>263</v>
      </c>
      <c r="Q277" t="s">
        <v>55</v>
      </c>
      <c r="R277">
        <v>57523.8</v>
      </c>
      <c r="T277">
        <v>1118</v>
      </c>
      <c r="U277">
        <v>3246700722</v>
      </c>
      <c r="V277" t="s">
        <v>302</v>
      </c>
      <c r="W277" t="s">
        <v>53</v>
      </c>
      <c r="X277" t="s">
        <v>286</v>
      </c>
      <c r="Y277" t="s">
        <v>49</v>
      </c>
      <c r="Z277">
        <v>1058</v>
      </c>
      <c r="AH277">
        <v>0</v>
      </c>
      <c r="AI277">
        <v>202506</v>
      </c>
      <c r="AJ277" t="s">
        <v>160</v>
      </c>
      <c r="AK277">
        <v>1</v>
      </c>
      <c r="AL277">
        <v>1</v>
      </c>
      <c r="AO277">
        <v>0</v>
      </c>
      <c r="AP277">
        <v>999</v>
      </c>
      <c r="AQ277">
        <v>430</v>
      </c>
      <c r="AR277">
        <v>430999</v>
      </c>
      <c r="AT277">
        <v>1</v>
      </c>
      <c r="AU277" t="s">
        <v>54</v>
      </c>
      <c r="AV277">
        <v>25045.55</v>
      </c>
      <c r="AW277">
        <v>26010.331999999999</v>
      </c>
      <c r="AX277">
        <v>27041.058000000001</v>
      </c>
      <c r="AY277">
        <v>28420.708999999999</v>
      </c>
      <c r="AZ277">
        <v>29962.351999999999</v>
      </c>
      <c r="BA277">
        <v>31788.16</v>
      </c>
      <c r="BB277">
        <v>34027.07</v>
      </c>
      <c r="BC277">
        <v>36641.5795</v>
      </c>
      <c r="BD277">
        <v>39840.642</v>
      </c>
      <c r="BE277">
        <v>40000</v>
      </c>
      <c r="BF277">
        <v>41343.269999999997</v>
      </c>
      <c r="BG277">
        <v>44702.324999999997</v>
      </c>
      <c r="BH277">
        <v>49392.076000000001</v>
      </c>
      <c r="BI277">
        <v>58375.907500000008</v>
      </c>
      <c r="BJ277">
        <v>70239.999999999985</v>
      </c>
      <c r="BK277">
        <v>81597.5</v>
      </c>
      <c r="BL277">
        <v>118941.322</v>
      </c>
      <c r="BM277">
        <v>163981.24299999949</v>
      </c>
      <c r="BN277">
        <v>270486.4050000002</v>
      </c>
      <c r="BO277">
        <v>446888.37399999989</v>
      </c>
      <c r="BP277">
        <v>2814221.66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 x14ac:dyDescent="0.35">
      <c r="A278">
        <v>364341</v>
      </c>
      <c r="B278" t="s">
        <v>259</v>
      </c>
      <c r="C278" t="s">
        <v>260</v>
      </c>
      <c r="D278" s="1">
        <v>45850</v>
      </c>
      <c r="E278">
        <v>53850</v>
      </c>
      <c r="F278">
        <v>171</v>
      </c>
      <c r="G278" t="s">
        <v>72</v>
      </c>
      <c r="H278" t="s">
        <v>262</v>
      </c>
      <c r="I278" t="s">
        <v>48</v>
      </c>
      <c r="L278">
        <v>1713302217591</v>
      </c>
      <c r="M278">
        <v>20250603</v>
      </c>
      <c r="N278" t="s">
        <v>263</v>
      </c>
      <c r="Q278" t="s">
        <v>55</v>
      </c>
      <c r="R278">
        <v>664021.56999999995</v>
      </c>
      <c r="T278">
        <v>4805735</v>
      </c>
      <c r="U278">
        <v>5001120723</v>
      </c>
      <c r="V278" t="s">
        <v>356</v>
      </c>
      <c r="W278" t="s">
        <v>53</v>
      </c>
      <c r="X278" t="s">
        <v>74</v>
      </c>
      <c r="Y278" t="s">
        <v>49</v>
      </c>
      <c r="Z278">
        <v>1903</v>
      </c>
      <c r="AH278">
        <v>0</v>
      </c>
      <c r="AI278">
        <v>202506</v>
      </c>
      <c r="AJ278" t="s">
        <v>160</v>
      </c>
      <c r="AK278">
        <v>1</v>
      </c>
      <c r="AL278">
        <v>1</v>
      </c>
      <c r="AO278">
        <v>0</v>
      </c>
      <c r="AP278">
        <v>463</v>
      </c>
      <c r="AQ278">
        <v>430</v>
      </c>
      <c r="AR278">
        <v>430463</v>
      </c>
      <c r="AS278" t="s">
        <v>58</v>
      </c>
      <c r="AU278" t="s">
        <v>58</v>
      </c>
      <c r="AV278">
        <v>25045.55</v>
      </c>
      <c r="AW278">
        <v>26010.331999999999</v>
      </c>
      <c r="AX278">
        <v>27041.058000000001</v>
      </c>
      <c r="AY278">
        <v>28420.708999999999</v>
      </c>
      <c r="AZ278">
        <v>29962.351999999999</v>
      </c>
      <c r="BA278">
        <v>31788.16</v>
      </c>
      <c r="BB278">
        <v>34027.07</v>
      </c>
      <c r="BC278">
        <v>36641.5795</v>
      </c>
      <c r="BD278">
        <v>39840.642</v>
      </c>
      <c r="BE278">
        <v>40000</v>
      </c>
      <c r="BF278">
        <v>41343.269999999997</v>
      </c>
      <c r="BG278">
        <v>44702.324999999997</v>
      </c>
      <c r="BH278">
        <v>49392.076000000001</v>
      </c>
      <c r="BI278">
        <v>58375.907500000008</v>
      </c>
      <c r="BJ278">
        <v>70239.999999999985</v>
      </c>
      <c r="BK278">
        <v>81597.5</v>
      </c>
      <c r="BL278">
        <v>118941.322</v>
      </c>
      <c r="BM278">
        <v>163981.24299999949</v>
      </c>
      <c r="BN278">
        <v>270486.4050000002</v>
      </c>
      <c r="BO278">
        <v>446888.37399999989</v>
      </c>
      <c r="BP278">
        <v>2814221.66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0</v>
      </c>
    </row>
    <row r="279" spans="1:89" x14ac:dyDescent="0.35">
      <c r="A279">
        <v>364324</v>
      </c>
      <c r="B279" t="s">
        <v>259</v>
      </c>
      <c r="C279" t="s">
        <v>260</v>
      </c>
      <c r="D279" s="1">
        <v>45850</v>
      </c>
      <c r="E279">
        <v>53850</v>
      </c>
      <c r="F279">
        <v>122</v>
      </c>
      <c r="G279" t="s">
        <v>261</v>
      </c>
      <c r="H279" t="s">
        <v>262</v>
      </c>
      <c r="I279" t="s">
        <v>48</v>
      </c>
      <c r="L279">
        <v>1223300001682</v>
      </c>
      <c r="M279">
        <v>20250625</v>
      </c>
      <c r="N279" t="s">
        <v>263</v>
      </c>
      <c r="Q279" t="s">
        <v>55</v>
      </c>
      <c r="R279">
        <v>35600</v>
      </c>
      <c r="T279">
        <v>3711207</v>
      </c>
      <c r="U279">
        <v>8825020723</v>
      </c>
      <c r="V279" t="s">
        <v>264</v>
      </c>
      <c r="W279" t="s">
        <v>53</v>
      </c>
      <c r="X279" t="s">
        <v>57</v>
      </c>
      <c r="Y279" t="s">
        <v>49</v>
      </c>
      <c r="Z279">
        <v>1696</v>
      </c>
      <c r="AH279">
        <v>0</v>
      </c>
      <c r="AI279">
        <v>202506</v>
      </c>
      <c r="AJ279" t="s">
        <v>160</v>
      </c>
      <c r="AK279">
        <v>1</v>
      </c>
      <c r="AL279">
        <v>1</v>
      </c>
      <c r="AO279">
        <v>0</v>
      </c>
      <c r="AP279">
        <v>620</v>
      </c>
      <c r="AQ279">
        <v>430</v>
      </c>
      <c r="AR279">
        <v>430620</v>
      </c>
      <c r="AS279" t="s">
        <v>58</v>
      </c>
      <c r="AU279" t="s">
        <v>58</v>
      </c>
      <c r="AV279">
        <v>25045.55</v>
      </c>
      <c r="AW279">
        <v>26010.331999999999</v>
      </c>
      <c r="AX279">
        <v>27041.058000000001</v>
      </c>
      <c r="AY279">
        <v>28420.708999999999</v>
      </c>
      <c r="AZ279">
        <v>29962.351999999999</v>
      </c>
      <c r="BA279">
        <v>31788.16</v>
      </c>
      <c r="BB279">
        <v>34027.07</v>
      </c>
      <c r="BC279">
        <v>36641.5795</v>
      </c>
      <c r="BD279">
        <v>39840.642</v>
      </c>
      <c r="BE279">
        <v>40000</v>
      </c>
      <c r="BF279">
        <v>41343.269999999997</v>
      </c>
      <c r="BG279">
        <v>44702.324999999997</v>
      </c>
      <c r="BH279">
        <v>49392.076000000001</v>
      </c>
      <c r="BI279">
        <v>58375.907500000008</v>
      </c>
      <c r="BJ279">
        <v>70239.999999999985</v>
      </c>
      <c r="BK279">
        <v>81597.5</v>
      </c>
      <c r="BL279">
        <v>118941.322</v>
      </c>
      <c r="BM279">
        <v>163981.24299999949</v>
      </c>
      <c r="BN279">
        <v>270486.4050000002</v>
      </c>
      <c r="BO279">
        <v>446888.37399999989</v>
      </c>
      <c r="BP279">
        <v>2814221.66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 x14ac:dyDescent="0.35">
      <c r="A280">
        <v>364322</v>
      </c>
      <c r="B280" t="s">
        <v>259</v>
      </c>
      <c r="C280" t="s">
        <v>260</v>
      </c>
      <c r="D280" s="1">
        <v>45850</v>
      </c>
      <c r="E280">
        <v>53850</v>
      </c>
      <c r="F280">
        <v>154</v>
      </c>
      <c r="G280" t="s">
        <v>235</v>
      </c>
      <c r="H280" t="s">
        <v>262</v>
      </c>
      <c r="I280" t="s">
        <v>48</v>
      </c>
      <c r="L280">
        <v>1543300004860</v>
      </c>
      <c r="M280">
        <v>20250604</v>
      </c>
      <c r="N280" t="s">
        <v>263</v>
      </c>
      <c r="Q280" t="s">
        <v>55</v>
      </c>
      <c r="R280">
        <v>42500</v>
      </c>
      <c r="T280">
        <v>3715569</v>
      </c>
      <c r="U280">
        <v>5424970654</v>
      </c>
      <c r="V280" t="s">
        <v>265</v>
      </c>
      <c r="W280" t="s">
        <v>53</v>
      </c>
      <c r="X280" t="s">
        <v>266</v>
      </c>
      <c r="Y280" t="s">
        <v>49</v>
      </c>
      <c r="Z280">
        <v>741</v>
      </c>
      <c r="AH280">
        <v>0</v>
      </c>
      <c r="AI280">
        <v>202506</v>
      </c>
      <c r="AK280">
        <v>1</v>
      </c>
      <c r="AL280">
        <v>1</v>
      </c>
      <c r="AO280">
        <v>0</v>
      </c>
      <c r="AP280">
        <v>999</v>
      </c>
      <c r="AQ280">
        <v>430</v>
      </c>
      <c r="AR280">
        <v>430999</v>
      </c>
      <c r="AT280">
        <v>1</v>
      </c>
      <c r="AU280" t="s">
        <v>54</v>
      </c>
      <c r="AV280">
        <v>25045.55</v>
      </c>
      <c r="AW280">
        <v>26010.331999999999</v>
      </c>
      <c r="AX280">
        <v>27041.058000000001</v>
      </c>
      <c r="AY280">
        <v>28420.708999999999</v>
      </c>
      <c r="AZ280">
        <v>29962.351999999999</v>
      </c>
      <c r="BA280">
        <v>31788.16</v>
      </c>
      <c r="BB280">
        <v>34027.07</v>
      </c>
      <c r="BC280">
        <v>36641.5795</v>
      </c>
      <c r="BD280">
        <v>39840.642</v>
      </c>
      <c r="BE280">
        <v>40000</v>
      </c>
      <c r="BF280">
        <v>41343.269999999997</v>
      </c>
      <c r="BG280">
        <v>44702.324999999997</v>
      </c>
      <c r="BH280">
        <v>49392.076000000001</v>
      </c>
      <c r="BI280">
        <v>58375.907500000008</v>
      </c>
      <c r="BJ280">
        <v>70239.999999999985</v>
      </c>
      <c r="BK280">
        <v>81597.5</v>
      </c>
      <c r="BL280">
        <v>118941.322</v>
      </c>
      <c r="BM280">
        <v>163981.24299999949</v>
      </c>
      <c r="BN280">
        <v>270486.4050000002</v>
      </c>
      <c r="BO280">
        <v>446888.37399999989</v>
      </c>
      <c r="BP280">
        <v>2814221.66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 x14ac:dyDescent="0.35">
      <c r="A281">
        <v>364305</v>
      </c>
      <c r="B281" t="s">
        <v>259</v>
      </c>
      <c r="C281" t="s">
        <v>260</v>
      </c>
      <c r="D281" s="1">
        <v>45850</v>
      </c>
      <c r="E281">
        <v>53850</v>
      </c>
      <c r="F281">
        <v>191</v>
      </c>
      <c r="G281" t="s">
        <v>173</v>
      </c>
      <c r="H281" t="s">
        <v>262</v>
      </c>
      <c r="I281" t="s">
        <v>48</v>
      </c>
      <c r="L281">
        <v>1913300068122</v>
      </c>
      <c r="M281">
        <v>20250611</v>
      </c>
      <c r="N281" t="s">
        <v>263</v>
      </c>
      <c r="Q281" t="s">
        <v>55</v>
      </c>
      <c r="R281">
        <v>150000</v>
      </c>
      <c r="T281">
        <v>4918280</v>
      </c>
      <c r="U281">
        <v>3480410798</v>
      </c>
      <c r="V281" t="s">
        <v>291</v>
      </c>
      <c r="W281" t="s">
        <v>53</v>
      </c>
      <c r="X281" t="s">
        <v>232</v>
      </c>
      <c r="Y281" t="s">
        <v>49</v>
      </c>
      <c r="AH281">
        <v>0</v>
      </c>
      <c r="AI281">
        <v>202506</v>
      </c>
      <c r="AK281">
        <v>1</v>
      </c>
      <c r="AL281">
        <v>1</v>
      </c>
      <c r="AO281">
        <v>0</v>
      </c>
      <c r="AP281">
        <v>999</v>
      </c>
      <c r="AQ281">
        <v>430</v>
      </c>
      <c r="AR281">
        <v>430999</v>
      </c>
      <c r="AT281">
        <v>1</v>
      </c>
      <c r="AU281" t="s">
        <v>54</v>
      </c>
      <c r="AV281">
        <v>25045.55</v>
      </c>
      <c r="AW281">
        <v>26010.331999999999</v>
      </c>
      <c r="AX281">
        <v>27041.058000000001</v>
      </c>
      <c r="AY281">
        <v>28420.708999999999</v>
      </c>
      <c r="AZ281">
        <v>29962.351999999999</v>
      </c>
      <c r="BA281">
        <v>31788.16</v>
      </c>
      <c r="BB281">
        <v>34027.07</v>
      </c>
      <c r="BC281">
        <v>36641.5795</v>
      </c>
      <c r="BD281">
        <v>39840.642</v>
      </c>
      <c r="BE281">
        <v>40000</v>
      </c>
      <c r="BF281">
        <v>41343.269999999997</v>
      </c>
      <c r="BG281">
        <v>44702.324999999997</v>
      </c>
      <c r="BH281">
        <v>49392.076000000001</v>
      </c>
      <c r="BI281">
        <v>58375.907500000008</v>
      </c>
      <c r="BJ281">
        <v>70239.999999999985</v>
      </c>
      <c r="BK281">
        <v>81597.5</v>
      </c>
      <c r="BL281">
        <v>118941.322</v>
      </c>
      <c r="BM281">
        <v>163981.24299999949</v>
      </c>
      <c r="BN281">
        <v>270486.4050000002</v>
      </c>
      <c r="BO281">
        <v>446888.37399999989</v>
      </c>
      <c r="BP281">
        <v>2814221.66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0</v>
      </c>
      <c r="CI281">
        <v>0</v>
      </c>
      <c r="CJ281">
        <v>0</v>
      </c>
      <c r="CK281">
        <v>0</v>
      </c>
    </row>
    <row r="282" spans="1:89" x14ac:dyDescent="0.35">
      <c r="A282">
        <v>364293</v>
      </c>
      <c r="B282" t="s">
        <v>259</v>
      </c>
      <c r="C282" t="s">
        <v>260</v>
      </c>
      <c r="D282" s="1">
        <v>45850</v>
      </c>
      <c r="E282">
        <v>53850</v>
      </c>
      <c r="F282">
        <v>153</v>
      </c>
      <c r="G282" t="s">
        <v>81</v>
      </c>
      <c r="H282" t="s">
        <v>262</v>
      </c>
      <c r="I282" t="s">
        <v>48</v>
      </c>
      <c r="L282">
        <v>1533300663959</v>
      </c>
      <c r="M282">
        <v>20250623</v>
      </c>
      <c r="N282" t="s">
        <v>263</v>
      </c>
      <c r="Q282" t="s">
        <v>55</v>
      </c>
      <c r="R282">
        <v>28930.13</v>
      </c>
      <c r="T282">
        <v>3721097</v>
      </c>
      <c r="U282">
        <v>10391641213</v>
      </c>
      <c r="V282" t="s">
        <v>270</v>
      </c>
      <c r="W282" t="s">
        <v>53</v>
      </c>
      <c r="X282" t="s">
        <v>83</v>
      </c>
      <c r="Y282" t="s">
        <v>49</v>
      </c>
      <c r="Z282">
        <v>1237</v>
      </c>
      <c r="AH282">
        <v>0</v>
      </c>
      <c r="AI282">
        <v>202506</v>
      </c>
      <c r="AK282">
        <v>1</v>
      </c>
      <c r="AL282">
        <v>1</v>
      </c>
      <c r="AO282">
        <v>0</v>
      </c>
      <c r="AP282">
        <v>462</v>
      </c>
      <c r="AQ282">
        <v>430</v>
      </c>
      <c r="AR282">
        <v>430462</v>
      </c>
      <c r="AS282" t="s">
        <v>58</v>
      </c>
      <c r="AU282" t="s">
        <v>58</v>
      </c>
      <c r="AV282">
        <v>25045.55</v>
      </c>
      <c r="AW282">
        <v>26010.331999999999</v>
      </c>
      <c r="AX282">
        <v>27041.058000000001</v>
      </c>
      <c r="AY282">
        <v>28420.708999999999</v>
      </c>
      <c r="AZ282">
        <v>29962.351999999999</v>
      </c>
      <c r="BA282">
        <v>31788.16</v>
      </c>
      <c r="BB282">
        <v>34027.07</v>
      </c>
      <c r="BC282">
        <v>36641.5795</v>
      </c>
      <c r="BD282">
        <v>39840.642</v>
      </c>
      <c r="BE282">
        <v>40000</v>
      </c>
      <c r="BF282">
        <v>41343.269999999997</v>
      </c>
      <c r="BG282">
        <v>44702.324999999997</v>
      </c>
      <c r="BH282">
        <v>49392.076000000001</v>
      </c>
      <c r="BI282">
        <v>58375.907500000008</v>
      </c>
      <c r="BJ282">
        <v>70239.999999999985</v>
      </c>
      <c r="BK282">
        <v>81597.5</v>
      </c>
      <c r="BL282">
        <v>118941.322</v>
      </c>
      <c r="BM282">
        <v>163981.24299999949</v>
      </c>
      <c r="BN282">
        <v>270486.4050000002</v>
      </c>
      <c r="BO282">
        <v>446888.37399999989</v>
      </c>
      <c r="BP282">
        <v>2814221.66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 x14ac:dyDescent="0.35">
      <c r="A283">
        <v>364289</v>
      </c>
      <c r="B283" t="s">
        <v>259</v>
      </c>
      <c r="C283" t="s">
        <v>260</v>
      </c>
      <c r="D283" s="1">
        <v>45850</v>
      </c>
      <c r="E283">
        <v>53850</v>
      </c>
      <c r="F283">
        <v>153</v>
      </c>
      <c r="G283" t="s">
        <v>81</v>
      </c>
      <c r="H283" t="s">
        <v>262</v>
      </c>
      <c r="I283" t="s">
        <v>48</v>
      </c>
      <c r="L283">
        <v>1533300663959</v>
      </c>
      <c r="M283">
        <v>20250609</v>
      </c>
      <c r="N283" t="s">
        <v>263</v>
      </c>
      <c r="Q283" t="s">
        <v>55</v>
      </c>
      <c r="R283">
        <v>44161.48</v>
      </c>
      <c r="T283">
        <v>3721097</v>
      </c>
      <c r="U283">
        <v>10391641213</v>
      </c>
      <c r="V283" t="s">
        <v>270</v>
      </c>
      <c r="W283" t="s">
        <v>53</v>
      </c>
      <c r="X283" t="s">
        <v>83</v>
      </c>
      <c r="Y283" t="s">
        <v>49</v>
      </c>
      <c r="Z283">
        <v>1237</v>
      </c>
      <c r="AH283">
        <v>0</v>
      </c>
      <c r="AI283">
        <v>202506</v>
      </c>
      <c r="AK283">
        <v>1</v>
      </c>
      <c r="AL283">
        <v>1</v>
      </c>
      <c r="AO283">
        <v>0</v>
      </c>
      <c r="AP283">
        <v>462</v>
      </c>
      <c r="AQ283">
        <v>430</v>
      </c>
      <c r="AR283">
        <v>430462</v>
      </c>
      <c r="AS283" t="s">
        <v>58</v>
      </c>
      <c r="AU283" t="s">
        <v>58</v>
      </c>
      <c r="AV283">
        <v>25045.55</v>
      </c>
      <c r="AW283">
        <v>26010.331999999999</v>
      </c>
      <c r="AX283">
        <v>27041.058000000001</v>
      </c>
      <c r="AY283">
        <v>28420.708999999999</v>
      </c>
      <c r="AZ283">
        <v>29962.351999999999</v>
      </c>
      <c r="BA283">
        <v>31788.16</v>
      </c>
      <c r="BB283">
        <v>34027.07</v>
      </c>
      <c r="BC283">
        <v>36641.5795</v>
      </c>
      <c r="BD283">
        <v>39840.642</v>
      </c>
      <c r="BE283">
        <v>40000</v>
      </c>
      <c r="BF283">
        <v>41343.269999999997</v>
      </c>
      <c r="BG283">
        <v>44702.324999999997</v>
      </c>
      <c r="BH283">
        <v>49392.076000000001</v>
      </c>
      <c r="BI283">
        <v>58375.907500000008</v>
      </c>
      <c r="BJ283">
        <v>70239.999999999985</v>
      </c>
      <c r="BK283">
        <v>81597.5</v>
      </c>
      <c r="BL283">
        <v>118941.322</v>
      </c>
      <c r="BM283">
        <v>163981.24299999949</v>
      </c>
      <c r="BN283">
        <v>270486.4050000002</v>
      </c>
      <c r="BO283">
        <v>446888.37399999989</v>
      </c>
      <c r="BP283">
        <v>2814221.66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 x14ac:dyDescent="0.35">
      <c r="A284">
        <v>364270</v>
      </c>
      <c r="B284" t="s">
        <v>259</v>
      </c>
      <c r="C284" t="s">
        <v>260</v>
      </c>
      <c r="D284" s="1">
        <v>45850</v>
      </c>
      <c r="E284">
        <v>53850</v>
      </c>
      <c r="F284">
        <v>122</v>
      </c>
      <c r="G284" t="s">
        <v>261</v>
      </c>
      <c r="H284" t="s">
        <v>262</v>
      </c>
      <c r="I284" t="s">
        <v>48</v>
      </c>
      <c r="L284">
        <v>1223300002128</v>
      </c>
      <c r="M284">
        <v>20250619</v>
      </c>
      <c r="N284" t="s">
        <v>263</v>
      </c>
      <c r="Q284" t="s">
        <v>55</v>
      </c>
      <c r="R284">
        <v>56323.34</v>
      </c>
      <c r="T284">
        <v>3711207</v>
      </c>
      <c r="U284">
        <v>8825020723</v>
      </c>
      <c r="V284" t="s">
        <v>264</v>
      </c>
      <c r="W284" t="s">
        <v>53</v>
      </c>
      <c r="X284" t="s">
        <v>57</v>
      </c>
      <c r="Y284" t="s">
        <v>49</v>
      </c>
      <c r="Z284">
        <v>1696</v>
      </c>
      <c r="AH284">
        <v>0</v>
      </c>
      <c r="AI284">
        <v>202506</v>
      </c>
      <c r="AJ284" t="s">
        <v>160</v>
      </c>
      <c r="AK284">
        <v>1</v>
      </c>
      <c r="AL284">
        <v>1</v>
      </c>
      <c r="AO284">
        <v>0</v>
      </c>
      <c r="AP284">
        <v>620</v>
      </c>
      <c r="AQ284">
        <v>430</v>
      </c>
      <c r="AR284">
        <v>430620</v>
      </c>
      <c r="AS284" t="s">
        <v>58</v>
      </c>
      <c r="AU284" t="s">
        <v>58</v>
      </c>
      <c r="AV284">
        <v>25045.55</v>
      </c>
      <c r="AW284">
        <v>26010.331999999999</v>
      </c>
      <c r="AX284">
        <v>27041.058000000001</v>
      </c>
      <c r="AY284">
        <v>28420.708999999999</v>
      </c>
      <c r="AZ284">
        <v>29962.351999999999</v>
      </c>
      <c r="BA284">
        <v>31788.16</v>
      </c>
      <c r="BB284">
        <v>34027.07</v>
      </c>
      <c r="BC284">
        <v>36641.5795</v>
      </c>
      <c r="BD284">
        <v>39840.642</v>
      </c>
      <c r="BE284">
        <v>40000</v>
      </c>
      <c r="BF284">
        <v>41343.269999999997</v>
      </c>
      <c r="BG284">
        <v>44702.324999999997</v>
      </c>
      <c r="BH284">
        <v>49392.076000000001</v>
      </c>
      <c r="BI284">
        <v>58375.907500000008</v>
      </c>
      <c r="BJ284">
        <v>70239.999999999985</v>
      </c>
      <c r="BK284">
        <v>81597.5</v>
      </c>
      <c r="BL284">
        <v>118941.322</v>
      </c>
      <c r="BM284">
        <v>163981.24299999949</v>
      </c>
      <c r="BN284">
        <v>270486.4050000002</v>
      </c>
      <c r="BO284">
        <v>446888.37399999989</v>
      </c>
      <c r="BP284">
        <v>2814221.66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 x14ac:dyDescent="0.35">
      <c r="A285">
        <v>364257</v>
      </c>
      <c r="B285" t="s">
        <v>259</v>
      </c>
      <c r="C285" t="s">
        <v>260</v>
      </c>
      <c r="D285" s="1">
        <v>45850</v>
      </c>
      <c r="E285">
        <v>53850</v>
      </c>
      <c r="F285">
        <v>108</v>
      </c>
      <c r="G285" t="s">
        <v>88</v>
      </c>
      <c r="H285" t="s">
        <v>262</v>
      </c>
      <c r="I285" t="s">
        <v>48</v>
      </c>
      <c r="L285">
        <v>1083300011180</v>
      </c>
      <c r="M285">
        <v>20250611</v>
      </c>
      <c r="N285" t="s">
        <v>287</v>
      </c>
      <c r="Q285" t="s">
        <v>55</v>
      </c>
      <c r="R285">
        <v>38964.839999999997</v>
      </c>
      <c r="T285">
        <v>1118</v>
      </c>
      <c r="U285">
        <v>3246700722</v>
      </c>
      <c r="V285" t="s">
        <v>302</v>
      </c>
      <c r="W285" t="s">
        <v>53</v>
      </c>
      <c r="X285" t="s">
        <v>286</v>
      </c>
      <c r="Y285" t="s">
        <v>49</v>
      </c>
      <c r="Z285">
        <v>1058</v>
      </c>
      <c r="AH285">
        <v>0</v>
      </c>
      <c r="AI285">
        <v>202506</v>
      </c>
      <c r="AJ285" t="s">
        <v>160</v>
      </c>
      <c r="AK285">
        <v>1</v>
      </c>
      <c r="AL285">
        <v>1</v>
      </c>
      <c r="AO285">
        <v>0</v>
      </c>
      <c r="AP285">
        <v>999</v>
      </c>
      <c r="AQ285">
        <v>430</v>
      </c>
      <c r="AR285">
        <v>430999</v>
      </c>
      <c r="AT285">
        <v>1</v>
      </c>
      <c r="AU285" t="s">
        <v>54</v>
      </c>
      <c r="AV285">
        <v>25045.55</v>
      </c>
      <c r="AW285">
        <v>26010.331999999999</v>
      </c>
      <c r="AX285">
        <v>27041.058000000001</v>
      </c>
      <c r="AY285">
        <v>28420.708999999999</v>
      </c>
      <c r="AZ285">
        <v>29962.351999999999</v>
      </c>
      <c r="BA285">
        <v>31788.16</v>
      </c>
      <c r="BB285">
        <v>34027.07</v>
      </c>
      <c r="BC285">
        <v>36641.5795</v>
      </c>
      <c r="BD285">
        <v>39840.642</v>
      </c>
      <c r="BE285">
        <v>40000</v>
      </c>
      <c r="BF285">
        <v>41343.269999999997</v>
      </c>
      <c r="BG285">
        <v>44702.324999999997</v>
      </c>
      <c r="BH285">
        <v>49392.076000000001</v>
      </c>
      <c r="BI285">
        <v>58375.907500000008</v>
      </c>
      <c r="BJ285">
        <v>70239.999999999985</v>
      </c>
      <c r="BK285">
        <v>81597.5</v>
      </c>
      <c r="BL285">
        <v>118941.322</v>
      </c>
      <c r="BM285">
        <v>163981.24299999949</v>
      </c>
      <c r="BN285">
        <v>270486.4050000002</v>
      </c>
      <c r="BO285">
        <v>446888.37399999989</v>
      </c>
      <c r="BP285">
        <v>2814221.66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 x14ac:dyDescent="0.35">
      <c r="A286">
        <v>364250</v>
      </c>
      <c r="B286" t="s">
        <v>259</v>
      </c>
      <c r="C286" t="s">
        <v>260</v>
      </c>
      <c r="D286" s="1">
        <v>45850</v>
      </c>
      <c r="E286">
        <v>53850</v>
      </c>
      <c r="F286">
        <v>287</v>
      </c>
      <c r="G286" t="s">
        <v>345</v>
      </c>
      <c r="H286" t="s">
        <v>262</v>
      </c>
      <c r="I286" t="s">
        <v>48</v>
      </c>
      <c r="L286">
        <v>2873300001853</v>
      </c>
      <c r="M286">
        <v>20250609</v>
      </c>
      <c r="N286" t="s">
        <v>279</v>
      </c>
      <c r="Q286" t="s">
        <v>55</v>
      </c>
      <c r="R286">
        <v>101179.49</v>
      </c>
      <c r="T286">
        <v>3722213</v>
      </c>
      <c r="U286">
        <v>2021570698</v>
      </c>
      <c r="V286" t="s">
        <v>346</v>
      </c>
      <c r="W286" t="s">
        <v>53</v>
      </c>
      <c r="X286" t="s">
        <v>74</v>
      </c>
      <c r="Y286" t="s">
        <v>49</v>
      </c>
      <c r="Z286">
        <v>1877</v>
      </c>
      <c r="AH286">
        <v>0</v>
      </c>
      <c r="AI286">
        <v>202506</v>
      </c>
      <c r="AJ286" t="s">
        <v>160</v>
      </c>
      <c r="AK286">
        <v>1</v>
      </c>
      <c r="AL286">
        <v>1</v>
      </c>
      <c r="AM286">
        <v>3722213</v>
      </c>
      <c r="AN286">
        <v>1</v>
      </c>
      <c r="AO286">
        <v>0</v>
      </c>
      <c r="AP286">
        <v>463</v>
      </c>
      <c r="AQ286">
        <v>430</v>
      </c>
      <c r="AR286">
        <v>430463</v>
      </c>
      <c r="AS286" t="s">
        <v>58</v>
      </c>
      <c r="AU286" t="s">
        <v>58</v>
      </c>
      <c r="AV286">
        <v>25045.55</v>
      </c>
      <c r="AW286">
        <v>26010.331999999999</v>
      </c>
      <c r="AX286">
        <v>27041.058000000001</v>
      </c>
      <c r="AY286">
        <v>28420.708999999999</v>
      </c>
      <c r="AZ286">
        <v>29962.351999999999</v>
      </c>
      <c r="BA286">
        <v>31788.16</v>
      </c>
      <c r="BB286">
        <v>34027.07</v>
      </c>
      <c r="BC286">
        <v>36641.5795</v>
      </c>
      <c r="BD286">
        <v>39840.642</v>
      </c>
      <c r="BE286">
        <v>40000</v>
      </c>
      <c r="BF286">
        <v>41343.269999999997</v>
      </c>
      <c r="BG286">
        <v>44702.324999999997</v>
      </c>
      <c r="BH286">
        <v>49392.076000000001</v>
      </c>
      <c r="BI286">
        <v>58375.907500000008</v>
      </c>
      <c r="BJ286">
        <v>70239.999999999985</v>
      </c>
      <c r="BK286">
        <v>81597.5</v>
      </c>
      <c r="BL286">
        <v>118941.322</v>
      </c>
      <c r="BM286">
        <v>163981.24299999949</v>
      </c>
      <c r="BN286">
        <v>270486.4050000002</v>
      </c>
      <c r="BO286">
        <v>446888.37399999989</v>
      </c>
      <c r="BP286">
        <v>2814221.66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 x14ac:dyDescent="0.35">
      <c r="A287">
        <v>364245</v>
      </c>
      <c r="B287" t="s">
        <v>259</v>
      </c>
      <c r="C287" t="s">
        <v>260</v>
      </c>
      <c r="D287" s="1">
        <v>45850</v>
      </c>
      <c r="E287">
        <v>53850</v>
      </c>
      <c r="F287">
        <v>103</v>
      </c>
      <c r="G287" t="s">
        <v>56</v>
      </c>
      <c r="H287" t="s">
        <v>262</v>
      </c>
      <c r="I287" t="s">
        <v>48</v>
      </c>
      <c r="L287">
        <v>1033306967935</v>
      </c>
      <c r="M287">
        <v>20250617</v>
      </c>
      <c r="N287" t="s">
        <v>263</v>
      </c>
      <c r="Q287" t="s">
        <v>55</v>
      </c>
      <c r="R287">
        <v>50043.34</v>
      </c>
      <c r="T287">
        <v>155052</v>
      </c>
      <c r="U287">
        <v>2563580725</v>
      </c>
      <c r="V287" t="s">
        <v>280</v>
      </c>
      <c r="W287" t="s">
        <v>53</v>
      </c>
      <c r="X287" t="s">
        <v>231</v>
      </c>
      <c r="Y287" t="s">
        <v>49</v>
      </c>
      <c r="Z287">
        <v>1926</v>
      </c>
      <c r="AH287">
        <v>0</v>
      </c>
      <c r="AI287">
        <v>202506</v>
      </c>
      <c r="AJ287" t="s">
        <v>162</v>
      </c>
      <c r="AK287">
        <v>1</v>
      </c>
      <c r="AL287">
        <v>1</v>
      </c>
      <c r="AM287">
        <v>155052</v>
      </c>
      <c r="AN287">
        <v>1</v>
      </c>
      <c r="AO287">
        <v>0</v>
      </c>
      <c r="AP287">
        <v>999</v>
      </c>
      <c r="AQ287">
        <v>430</v>
      </c>
      <c r="AR287">
        <v>430999</v>
      </c>
      <c r="AT287">
        <v>1</v>
      </c>
      <c r="AU287" t="s">
        <v>54</v>
      </c>
      <c r="AV287">
        <v>25045.55</v>
      </c>
      <c r="AW287">
        <v>26010.331999999999</v>
      </c>
      <c r="AX287">
        <v>27041.058000000001</v>
      </c>
      <c r="AY287">
        <v>28420.708999999999</v>
      </c>
      <c r="AZ287">
        <v>29962.351999999999</v>
      </c>
      <c r="BA287">
        <v>31788.16</v>
      </c>
      <c r="BB287">
        <v>34027.07</v>
      </c>
      <c r="BC287">
        <v>36641.5795</v>
      </c>
      <c r="BD287">
        <v>39840.642</v>
      </c>
      <c r="BE287">
        <v>40000</v>
      </c>
      <c r="BF287">
        <v>41343.269999999997</v>
      </c>
      <c r="BG287">
        <v>44702.324999999997</v>
      </c>
      <c r="BH287">
        <v>49392.076000000001</v>
      </c>
      <c r="BI287">
        <v>58375.907500000008</v>
      </c>
      <c r="BJ287">
        <v>70239.999999999985</v>
      </c>
      <c r="BK287">
        <v>81597.5</v>
      </c>
      <c r="BL287">
        <v>118941.322</v>
      </c>
      <c r="BM287">
        <v>163981.24299999949</v>
      </c>
      <c r="BN287">
        <v>270486.4050000002</v>
      </c>
      <c r="BO287">
        <v>446888.37399999989</v>
      </c>
      <c r="BP287">
        <v>2814221.66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 x14ac:dyDescent="0.35">
      <c r="A288">
        <v>364242</v>
      </c>
      <c r="B288" t="s">
        <v>259</v>
      </c>
      <c r="C288" t="s">
        <v>260</v>
      </c>
      <c r="D288" s="1">
        <v>45850</v>
      </c>
      <c r="E288">
        <v>53850</v>
      </c>
      <c r="F288">
        <v>174</v>
      </c>
      <c r="G288" t="s">
        <v>87</v>
      </c>
      <c r="H288" t="s">
        <v>262</v>
      </c>
      <c r="I288" t="s">
        <v>48</v>
      </c>
      <c r="L288">
        <v>1743302881016</v>
      </c>
      <c r="M288">
        <v>20250609</v>
      </c>
      <c r="N288" t="s">
        <v>263</v>
      </c>
      <c r="Q288" t="s">
        <v>55</v>
      </c>
      <c r="R288">
        <v>35093.78</v>
      </c>
      <c r="T288">
        <v>3710716</v>
      </c>
      <c r="U288">
        <v>1695450740</v>
      </c>
      <c r="V288" t="s">
        <v>357</v>
      </c>
      <c r="W288" t="s">
        <v>53</v>
      </c>
      <c r="X288" t="s">
        <v>74</v>
      </c>
      <c r="Y288" t="s">
        <v>49</v>
      </c>
      <c r="Z288">
        <v>1058</v>
      </c>
      <c r="AH288">
        <v>0</v>
      </c>
      <c r="AI288">
        <v>202506</v>
      </c>
      <c r="AK288">
        <v>1</v>
      </c>
      <c r="AL288">
        <v>1</v>
      </c>
      <c r="AO288">
        <v>0</v>
      </c>
      <c r="AP288">
        <v>463</v>
      </c>
      <c r="AQ288">
        <v>430</v>
      </c>
      <c r="AR288">
        <v>430463</v>
      </c>
      <c r="AS288" t="s">
        <v>58</v>
      </c>
      <c r="AU288" t="s">
        <v>58</v>
      </c>
      <c r="AV288">
        <v>25045.55</v>
      </c>
      <c r="AW288">
        <v>26010.331999999999</v>
      </c>
      <c r="AX288">
        <v>27041.058000000001</v>
      </c>
      <c r="AY288">
        <v>28420.708999999999</v>
      </c>
      <c r="AZ288">
        <v>29962.351999999999</v>
      </c>
      <c r="BA288">
        <v>31788.16</v>
      </c>
      <c r="BB288">
        <v>34027.07</v>
      </c>
      <c r="BC288">
        <v>36641.5795</v>
      </c>
      <c r="BD288">
        <v>39840.642</v>
      </c>
      <c r="BE288">
        <v>40000</v>
      </c>
      <c r="BF288">
        <v>41343.269999999997</v>
      </c>
      <c r="BG288">
        <v>44702.324999999997</v>
      </c>
      <c r="BH288">
        <v>49392.076000000001</v>
      </c>
      <c r="BI288">
        <v>58375.907500000008</v>
      </c>
      <c r="BJ288">
        <v>70239.999999999985</v>
      </c>
      <c r="BK288">
        <v>81597.5</v>
      </c>
      <c r="BL288">
        <v>118941.322</v>
      </c>
      <c r="BM288">
        <v>163981.24299999949</v>
      </c>
      <c r="BN288">
        <v>270486.4050000002</v>
      </c>
      <c r="BO288">
        <v>446888.37399999989</v>
      </c>
      <c r="BP288">
        <v>2814221.66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 x14ac:dyDescent="0.35">
      <c r="A289">
        <v>364236</v>
      </c>
      <c r="B289" t="s">
        <v>259</v>
      </c>
      <c r="C289" t="s">
        <v>260</v>
      </c>
      <c r="D289" s="1">
        <v>45850</v>
      </c>
      <c r="E289">
        <v>53850</v>
      </c>
      <c r="F289">
        <v>267</v>
      </c>
      <c r="G289" t="s">
        <v>163</v>
      </c>
      <c r="H289" t="s">
        <v>262</v>
      </c>
      <c r="I289" t="s">
        <v>48</v>
      </c>
      <c r="L289">
        <v>2673300010274</v>
      </c>
      <c r="M289">
        <v>20250617</v>
      </c>
      <c r="N289" t="s">
        <v>279</v>
      </c>
      <c r="Q289" t="s">
        <v>55</v>
      </c>
      <c r="R289">
        <v>26168.12</v>
      </c>
      <c r="T289">
        <v>4992646</v>
      </c>
      <c r="U289">
        <v>3152440792</v>
      </c>
      <c r="V289" t="s">
        <v>349</v>
      </c>
      <c r="W289" t="s">
        <v>53</v>
      </c>
      <c r="X289" t="s">
        <v>246</v>
      </c>
      <c r="Y289" t="s">
        <v>49</v>
      </c>
      <c r="Z289">
        <v>1627</v>
      </c>
      <c r="AH289">
        <v>0</v>
      </c>
      <c r="AI289">
        <v>202506</v>
      </c>
      <c r="AJ289" t="s">
        <v>160</v>
      </c>
      <c r="AK289">
        <v>1</v>
      </c>
      <c r="AL289">
        <v>1</v>
      </c>
      <c r="AO289">
        <v>0</v>
      </c>
      <c r="AP289">
        <v>999</v>
      </c>
      <c r="AQ289">
        <v>430</v>
      </c>
      <c r="AR289">
        <v>430999</v>
      </c>
      <c r="AT289">
        <v>1</v>
      </c>
      <c r="AU289" t="s">
        <v>54</v>
      </c>
      <c r="AV289">
        <v>25045.55</v>
      </c>
      <c r="AW289">
        <v>26010.331999999999</v>
      </c>
      <c r="AX289">
        <v>27041.058000000001</v>
      </c>
      <c r="AY289">
        <v>28420.708999999999</v>
      </c>
      <c r="AZ289">
        <v>29962.351999999999</v>
      </c>
      <c r="BA289">
        <v>31788.16</v>
      </c>
      <c r="BB289">
        <v>34027.07</v>
      </c>
      <c r="BC289">
        <v>36641.5795</v>
      </c>
      <c r="BD289">
        <v>39840.642</v>
      </c>
      <c r="BE289">
        <v>40000</v>
      </c>
      <c r="BF289">
        <v>41343.269999999997</v>
      </c>
      <c r="BG289">
        <v>44702.324999999997</v>
      </c>
      <c r="BH289">
        <v>49392.076000000001</v>
      </c>
      <c r="BI289">
        <v>58375.907500000008</v>
      </c>
      <c r="BJ289">
        <v>70239.999999999985</v>
      </c>
      <c r="BK289">
        <v>81597.5</v>
      </c>
      <c r="BL289">
        <v>118941.322</v>
      </c>
      <c r="BM289">
        <v>163981.24299999949</v>
      </c>
      <c r="BN289">
        <v>270486.4050000002</v>
      </c>
      <c r="BO289">
        <v>446888.37399999989</v>
      </c>
      <c r="BP289">
        <v>2814221.66</v>
      </c>
      <c r="BQ289">
        <v>1</v>
      </c>
      <c r="BR289">
        <v>1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 x14ac:dyDescent="0.35">
      <c r="A290">
        <v>364219</v>
      </c>
      <c r="B290" t="s">
        <v>259</v>
      </c>
      <c r="C290" t="s">
        <v>260</v>
      </c>
      <c r="D290" s="1">
        <v>45850</v>
      </c>
      <c r="E290">
        <v>53850</v>
      </c>
      <c r="F290">
        <v>261</v>
      </c>
      <c r="G290" t="s">
        <v>78</v>
      </c>
      <c r="H290" t="s">
        <v>262</v>
      </c>
      <c r="I290" t="s">
        <v>48</v>
      </c>
      <c r="L290">
        <v>2613300000185</v>
      </c>
      <c r="M290">
        <v>20250616</v>
      </c>
      <c r="N290" t="s">
        <v>263</v>
      </c>
      <c r="Q290" t="s">
        <v>55</v>
      </c>
      <c r="R290">
        <v>84000</v>
      </c>
      <c r="T290">
        <v>1603119</v>
      </c>
      <c r="U290">
        <v>941080707</v>
      </c>
      <c r="V290" t="s">
        <v>331</v>
      </c>
      <c r="W290" t="s">
        <v>53</v>
      </c>
      <c r="X290" t="s">
        <v>269</v>
      </c>
      <c r="Y290" t="s">
        <v>49</v>
      </c>
      <c r="Z290">
        <v>1856</v>
      </c>
      <c r="AH290">
        <v>0</v>
      </c>
      <c r="AI290">
        <v>202506</v>
      </c>
      <c r="AK290">
        <v>1</v>
      </c>
      <c r="AL290">
        <v>1</v>
      </c>
      <c r="AO290">
        <v>0</v>
      </c>
      <c r="AP290">
        <v>999</v>
      </c>
      <c r="AQ290">
        <v>430</v>
      </c>
      <c r="AR290">
        <v>430999</v>
      </c>
      <c r="AT290">
        <v>1</v>
      </c>
      <c r="AU290" t="s">
        <v>54</v>
      </c>
      <c r="AV290">
        <v>25045.55</v>
      </c>
      <c r="AW290">
        <v>26010.331999999999</v>
      </c>
      <c r="AX290">
        <v>27041.058000000001</v>
      </c>
      <c r="AY290">
        <v>28420.708999999999</v>
      </c>
      <c r="AZ290">
        <v>29962.351999999999</v>
      </c>
      <c r="BA290">
        <v>31788.16</v>
      </c>
      <c r="BB290">
        <v>34027.07</v>
      </c>
      <c r="BC290">
        <v>36641.5795</v>
      </c>
      <c r="BD290">
        <v>39840.642</v>
      </c>
      <c r="BE290">
        <v>40000</v>
      </c>
      <c r="BF290">
        <v>41343.269999999997</v>
      </c>
      <c r="BG290">
        <v>44702.324999999997</v>
      </c>
      <c r="BH290">
        <v>49392.076000000001</v>
      </c>
      <c r="BI290">
        <v>58375.907500000008</v>
      </c>
      <c r="BJ290">
        <v>70239.999999999985</v>
      </c>
      <c r="BK290">
        <v>81597.5</v>
      </c>
      <c r="BL290">
        <v>118941.322</v>
      </c>
      <c r="BM290">
        <v>163981.24299999949</v>
      </c>
      <c r="BN290">
        <v>270486.4050000002</v>
      </c>
      <c r="BO290">
        <v>446888.37399999989</v>
      </c>
      <c r="BP290">
        <v>2814221.66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 x14ac:dyDescent="0.35">
      <c r="A291">
        <v>364148</v>
      </c>
      <c r="B291" t="s">
        <v>259</v>
      </c>
      <c r="C291" t="s">
        <v>260</v>
      </c>
      <c r="D291" s="1">
        <v>45850</v>
      </c>
      <c r="E291">
        <v>53850</v>
      </c>
      <c r="F291">
        <v>268</v>
      </c>
      <c r="G291" t="s">
        <v>168</v>
      </c>
      <c r="H291" t="s">
        <v>262</v>
      </c>
      <c r="I291" t="s">
        <v>48</v>
      </c>
      <c r="L291">
        <v>2683300010038</v>
      </c>
      <c r="M291">
        <v>20250612</v>
      </c>
      <c r="N291" t="s">
        <v>263</v>
      </c>
      <c r="Q291" t="s">
        <v>55</v>
      </c>
      <c r="R291">
        <v>40354.29</v>
      </c>
      <c r="T291">
        <v>1604219</v>
      </c>
      <c r="U291">
        <v>952850790</v>
      </c>
      <c r="V291" t="s">
        <v>281</v>
      </c>
      <c r="W291" t="s">
        <v>53</v>
      </c>
      <c r="X291" t="s">
        <v>232</v>
      </c>
      <c r="Y291" t="s">
        <v>49</v>
      </c>
      <c r="Z291">
        <v>1627</v>
      </c>
      <c r="AH291">
        <v>0</v>
      </c>
      <c r="AI291">
        <v>202506</v>
      </c>
      <c r="AJ291" t="s">
        <v>160</v>
      </c>
      <c r="AK291">
        <v>1</v>
      </c>
      <c r="AL291">
        <v>1</v>
      </c>
      <c r="AO291">
        <v>0</v>
      </c>
      <c r="AP291">
        <v>999</v>
      </c>
      <c r="AQ291">
        <v>430</v>
      </c>
      <c r="AR291">
        <v>430999</v>
      </c>
      <c r="AT291">
        <v>1</v>
      </c>
      <c r="AU291" t="s">
        <v>54</v>
      </c>
      <c r="AV291">
        <v>25045.55</v>
      </c>
      <c r="AW291">
        <v>26010.331999999999</v>
      </c>
      <c r="AX291">
        <v>27041.058000000001</v>
      </c>
      <c r="AY291">
        <v>28420.708999999999</v>
      </c>
      <c r="AZ291">
        <v>29962.351999999999</v>
      </c>
      <c r="BA291">
        <v>31788.16</v>
      </c>
      <c r="BB291">
        <v>34027.07</v>
      </c>
      <c r="BC291">
        <v>36641.5795</v>
      </c>
      <c r="BD291">
        <v>39840.642</v>
      </c>
      <c r="BE291">
        <v>40000</v>
      </c>
      <c r="BF291">
        <v>41343.269999999997</v>
      </c>
      <c r="BG291">
        <v>44702.324999999997</v>
      </c>
      <c r="BH291">
        <v>49392.076000000001</v>
      </c>
      <c r="BI291">
        <v>58375.907500000008</v>
      </c>
      <c r="BJ291">
        <v>70239.999999999985</v>
      </c>
      <c r="BK291">
        <v>81597.5</v>
      </c>
      <c r="BL291">
        <v>118941.322</v>
      </c>
      <c r="BM291">
        <v>163981.24299999949</v>
      </c>
      <c r="BN291">
        <v>270486.4050000002</v>
      </c>
      <c r="BO291">
        <v>446888.37399999989</v>
      </c>
      <c r="BP291">
        <v>2814221.66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 x14ac:dyDescent="0.35">
      <c r="A292">
        <v>364106</v>
      </c>
      <c r="B292" t="s">
        <v>259</v>
      </c>
      <c r="C292" t="s">
        <v>260</v>
      </c>
      <c r="D292" s="1">
        <v>45850</v>
      </c>
      <c r="E292">
        <v>53850</v>
      </c>
      <c r="F292">
        <v>148</v>
      </c>
      <c r="G292" t="s">
        <v>90</v>
      </c>
      <c r="H292" t="s">
        <v>262</v>
      </c>
      <c r="I292" t="s">
        <v>48</v>
      </c>
      <c r="L292">
        <v>1483300005974</v>
      </c>
      <c r="M292">
        <v>20250626</v>
      </c>
      <c r="N292" t="s">
        <v>263</v>
      </c>
      <c r="Q292" t="s">
        <v>55</v>
      </c>
      <c r="R292">
        <v>45000</v>
      </c>
      <c r="T292">
        <v>3735908</v>
      </c>
      <c r="U292">
        <v>3016980348</v>
      </c>
      <c r="V292" t="s">
        <v>358</v>
      </c>
      <c r="W292" t="s">
        <v>53</v>
      </c>
      <c r="X292" t="s">
        <v>344</v>
      </c>
      <c r="Y292" t="s">
        <v>49</v>
      </c>
      <c r="Z292">
        <v>1340</v>
      </c>
      <c r="AH292">
        <v>0</v>
      </c>
      <c r="AI292">
        <v>202506</v>
      </c>
      <c r="AK292">
        <v>1</v>
      </c>
      <c r="AL292">
        <v>1</v>
      </c>
      <c r="AO292">
        <v>0</v>
      </c>
      <c r="AP292">
        <v>999</v>
      </c>
      <c r="AQ292">
        <v>430</v>
      </c>
      <c r="AR292">
        <v>430999</v>
      </c>
      <c r="AT292">
        <v>1</v>
      </c>
      <c r="AU292" t="s">
        <v>54</v>
      </c>
      <c r="AV292">
        <v>25045.55</v>
      </c>
      <c r="AW292">
        <v>26010.331999999999</v>
      </c>
      <c r="AX292">
        <v>27041.058000000001</v>
      </c>
      <c r="AY292">
        <v>28420.708999999999</v>
      </c>
      <c r="AZ292">
        <v>29962.351999999999</v>
      </c>
      <c r="BA292">
        <v>31788.16</v>
      </c>
      <c r="BB292">
        <v>34027.07</v>
      </c>
      <c r="BC292">
        <v>36641.5795</v>
      </c>
      <c r="BD292">
        <v>39840.642</v>
      </c>
      <c r="BE292">
        <v>40000</v>
      </c>
      <c r="BF292">
        <v>41343.269999999997</v>
      </c>
      <c r="BG292">
        <v>44702.324999999997</v>
      </c>
      <c r="BH292">
        <v>49392.076000000001</v>
      </c>
      <c r="BI292">
        <v>58375.907500000008</v>
      </c>
      <c r="BJ292">
        <v>70239.999999999985</v>
      </c>
      <c r="BK292">
        <v>81597.5</v>
      </c>
      <c r="BL292">
        <v>118941.322</v>
      </c>
      <c r="BM292">
        <v>163981.24299999949</v>
      </c>
      <c r="BN292">
        <v>270486.4050000002</v>
      </c>
      <c r="BO292">
        <v>446888.37399999989</v>
      </c>
      <c r="BP292">
        <v>2814221.66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 x14ac:dyDescent="0.35">
      <c r="A293">
        <v>364095</v>
      </c>
      <c r="B293" t="s">
        <v>259</v>
      </c>
      <c r="C293" t="s">
        <v>260</v>
      </c>
      <c r="D293" s="1">
        <v>45850</v>
      </c>
      <c r="E293">
        <v>53850</v>
      </c>
      <c r="F293">
        <v>122</v>
      </c>
      <c r="G293" t="s">
        <v>261</v>
      </c>
      <c r="H293" t="s">
        <v>262</v>
      </c>
      <c r="I293" t="s">
        <v>48</v>
      </c>
      <c r="L293">
        <v>1223300001682</v>
      </c>
      <c r="M293">
        <v>20250612</v>
      </c>
      <c r="N293" t="s">
        <v>263</v>
      </c>
      <c r="Q293" t="s">
        <v>55</v>
      </c>
      <c r="R293">
        <v>53652.62</v>
      </c>
      <c r="T293">
        <v>3711207</v>
      </c>
      <c r="U293">
        <v>8825020723</v>
      </c>
      <c r="V293" t="s">
        <v>264</v>
      </c>
      <c r="W293" t="s">
        <v>53</v>
      </c>
      <c r="X293" t="s">
        <v>57</v>
      </c>
      <c r="Y293" t="s">
        <v>49</v>
      </c>
      <c r="Z293">
        <v>1696</v>
      </c>
      <c r="AH293">
        <v>0</v>
      </c>
      <c r="AI293">
        <v>202506</v>
      </c>
      <c r="AJ293" t="s">
        <v>160</v>
      </c>
      <c r="AK293">
        <v>1</v>
      </c>
      <c r="AL293">
        <v>1</v>
      </c>
      <c r="AO293">
        <v>0</v>
      </c>
      <c r="AP293">
        <v>620</v>
      </c>
      <c r="AQ293">
        <v>430</v>
      </c>
      <c r="AR293">
        <v>430620</v>
      </c>
      <c r="AS293" t="s">
        <v>58</v>
      </c>
      <c r="AU293" t="s">
        <v>58</v>
      </c>
      <c r="AV293">
        <v>25045.55</v>
      </c>
      <c r="AW293">
        <v>26010.331999999999</v>
      </c>
      <c r="AX293">
        <v>27041.058000000001</v>
      </c>
      <c r="AY293">
        <v>28420.708999999999</v>
      </c>
      <c r="AZ293">
        <v>29962.351999999999</v>
      </c>
      <c r="BA293">
        <v>31788.16</v>
      </c>
      <c r="BB293">
        <v>34027.07</v>
      </c>
      <c r="BC293">
        <v>36641.5795</v>
      </c>
      <c r="BD293">
        <v>39840.642</v>
      </c>
      <c r="BE293">
        <v>40000</v>
      </c>
      <c r="BF293">
        <v>41343.269999999997</v>
      </c>
      <c r="BG293">
        <v>44702.324999999997</v>
      </c>
      <c r="BH293">
        <v>49392.076000000001</v>
      </c>
      <c r="BI293">
        <v>58375.907500000008</v>
      </c>
      <c r="BJ293">
        <v>70239.999999999985</v>
      </c>
      <c r="BK293">
        <v>81597.5</v>
      </c>
      <c r="BL293">
        <v>118941.322</v>
      </c>
      <c r="BM293">
        <v>163981.24299999949</v>
      </c>
      <c r="BN293">
        <v>270486.4050000002</v>
      </c>
      <c r="BO293">
        <v>446888.37399999989</v>
      </c>
      <c r="BP293">
        <v>2814221.66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 x14ac:dyDescent="0.35">
      <c r="A294">
        <v>364021</v>
      </c>
      <c r="B294" t="s">
        <v>259</v>
      </c>
      <c r="C294" t="s">
        <v>260</v>
      </c>
      <c r="D294" s="1">
        <v>45850</v>
      </c>
      <c r="E294">
        <v>53850</v>
      </c>
      <c r="F294">
        <v>108</v>
      </c>
      <c r="G294" t="s">
        <v>88</v>
      </c>
      <c r="H294" t="s">
        <v>262</v>
      </c>
      <c r="I294" t="s">
        <v>48</v>
      </c>
      <c r="L294">
        <v>1083300011180</v>
      </c>
      <c r="M294">
        <v>20250611</v>
      </c>
      <c r="N294" t="s">
        <v>279</v>
      </c>
      <c r="Q294" t="s">
        <v>55</v>
      </c>
      <c r="R294">
        <v>76543.009999999995</v>
      </c>
      <c r="T294">
        <v>1118</v>
      </c>
      <c r="U294">
        <v>3246700722</v>
      </c>
      <c r="V294" t="s">
        <v>302</v>
      </c>
      <c r="W294" t="s">
        <v>53</v>
      </c>
      <c r="X294" t="s">
        <v>286</v>
      </c>
      <c r="Y294" t="s">
        <v>49</v>
      </c>
      <c r="Z294">
        <v>1058</v>
      </c>
      <c r="AH294">
        <v>0</v>
      </c>
      <c r="AI294">
        <v>202506</v>
      </c>
      <c r="AJ294" t="s">
        <v>160</v>
      </c>
      <c r="AK294">
        <v>1</v>
      </c>
      <c r="AL294">
        <v>1</v>
      </c>
      <c r="AO294">
        <v>0</v>
      </c>
      <c r="AP294">
        <v>999</v>
      </c>
      <c r="AQ294">
        <v>430</v>
      </c>
      <c r="AR294">
        <v>430999</v>
      </c>
      <c r="AT294">
        <v>1</v>
      </c>
      <c r="AU294" t="s">
        <v>54</v>
      </c>
      <c r="AV294">
        <v>25045.55</v>
      </c>
      <c r="AW294">
        <v>26010.331999999999</v>
      </c>
      <c r="AX294">
        <v>27041.058000000001</v>
      </c>
      <c r="AY294">
        <v>28420.708999999999</v>
      </c>
      <c r="AZ294">
        <v>29962.351999999999</v>
      </c>
      <c r="BA294">
        <v>31788.16</v>
      </c>
      <c r="BB294">
        <v>34027.07</v>
      </c>
      <c r="BC294">
        <v>36641.5795</v>
      </c>
      <c r="BD294">
        <v>39840.642</v>
      </c>
      <c r="BE294">
        <v>40000</v>
      </c>
      <c r="BF294">
        <v>41343.269999999997</v>
      </c>
      <c r="BG294">
        <v>44702.324999999997</v>
      </c>
      <c r="BH294">
        <v>49392.076000000001</v>
      </c>
      <c r="BI294">
        <v>58375.907500000008</v>
      </c>
      <c r="BJ294">
        <v>70239.999999999985</v>
      </c>
      <c r="BK294">
        <v>81597.5</v>
      </c>
      <c r="BL294">
        <v>118941.322</v>
      </c>
      <c r="BM294">
        <v>163981.24299999949</v>
      </c>
      <c r="BN294">
        <v>270486.4050000002</v>
      </c>
      <c r="BO294">
        <v>446888.37399999989</v>
      </c>
      <c r="BP294">
        <v>2814221.66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 x14ac:dyDescent="0.35">
      <c r="A295">
        <v>364003</v>
      </c>
      <c r="B295" t="s">
        <v>259</v>
      </c>
      <c r="C295" t="s">
        <v>260</v>
      </c>
      <c r="D295" s="1">
        <v>45850</v>
      </c>
      <c r="E295">
        <v>53850</v>
      </c>
      <c r="F295">
        <v>116</v>
      </c>
      <c r="G295" t="s">
        <v>165</v>
      </c>
      <c r="H295" t="s">
        <v>262</v>
      </c>
      <c r="I295" t="s">
        <v>48</v>
      </c>
      <c r="L295">
        <v>1423300307118</v>
      </c>
      <c r="M295">
        <v>20250616</v>
      </c>
      <c r="N295" t="s">
        <v>263</v>
      </c>
      <c r="Q295" t="s">
        <v>55</v>
      </c>
      <c r="R295">
        <v>45000</v>
      </c>
      <c r="T295">
        <v>4022762</v>
      </c>
      <c r="U295">
        <v>3407060726</v>
      </c>
      <c r="V295" t="s">
        <v>359</v>
      </c>
      <c r="W295" t="s">
        <v>53</v>
      </c>
      <c r="X295" t="s">
        <v>283</v>
      </c>
      <c r="Y295" t="s">
        <v>49</v>
      </c>
      <c r="Z295">
        <v>1919</v>
      </c>
      <c r="AH295">
        <v>0</v>
      </c>
      <c r="AI295">
        <v>202506</v>
      </c>
      <c r="AK295">
        <v>1</v>
      </c>
      <c r="AL295">
        <v>1</v>
      </c>
      <c r="AO295">
        <v>0</v>
      </c>
      <c r="AP295">
        <v>999</v>
      </c>
      <c r="AQ295">
        <v>430</v>
      </c>
      <c r="AR295">
        <v>430999</v>
      </c>
      <c r="AT295">
        <v>1</v>
      </c>
      <c r="AU295" t="s">
        <v>54</v>
      </c>
      <c r="AV295">
        <v>25045.55</v>
      </c>
      <c r="AW295">
        <v>26010.331999999999</v>
      </c>
      <c r="AX295">
        <v>27041.058000000001</v>
      </c>
      <c r="AY295">
        <v>28420.708999999999</v>
      </c>
      <c r="AZ295">
        <v>29962.351999999999</v>
      </c>
      <c r="BA295">
        <v>31788.16</v>
      </c>
      <c r="BB295">
        <v>34027.07</v>
      </c>
      <c r="BC295">
        <v>36641.5795</v>
      </c>
      <c r="BD295">
        <v>39840.642</v>
      </c>
      <c r="BE295">
        <v>40000</v>
      </c>
      <c r="BF295">
        <v>41343.269999999997</v>
      </c>
      <c r="BG295">
        <v>44702.324999999997</v>
      </c>
      <c r="BH295">
        <v>49392.076000000001</v>
      </c>
      <c r="BI295">
        <v>58375.907500000008</v>
      </c>
      <c r="BJ295">
        <v>70239.999999999985</v>
      </c>
      <c r="BK295">
        <v>81597.5</v>
      </c>
      <c r="BL295">
        <v>118941.322</v>
      </c>
      <c r="BM295">
        <v>163981.24299999949</v>
      </c>
      <c r="BN295">
        <v>270486.4050000002</v>
      </c>
      <c r="BO295">
        <v>446888.37399999989</v>
      </c>
      <c r="BP295">
        <v>2814221.66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 x14ac:dyDescent="0.35">
      <c r="A296">
        <v>364001</v>
      </c>
      <c r="B296" t="s">
        <v>259</v>
      </c>
      <c r="C296" t="s">
        <v>260</v>
      </c>
      <c r="D296" s="1">
        <v>45850</v>
      </c>
      <c r="E296">
        <v>53850</v>
      </c>
      <c r="F296">
        <v>141</v>
      </c>
      <c r="G296" t="s">
        <v>76</v>
      </c>
      <c r="H296" t="s">
        <v>262</v>
      </c>
      <c r="I296" t="s">
        <v>48</v>
      </c>
      <c r="L296">
        <v>1413300004311</v>
      </c>
      <c r="M296">
        <v>20250616</v>
      </c>
      <c r="N296" t="s">
        <v>263</v>
      </c>
      <c r="Q296" t="s">
        <v>55</v>
      </c>
      <c r="R296">
        <v>300000</v>
      </c>
      <c r="T296">
        <v>3737110</v>
      </c>
      <c r="U296">
        <v>5366430758</v>
      </c>
      <c r="V296" t="s">
        <v>301</v>
      </c>
      <c r="W296" t="s">
        <v>53</v>
      </c>
      <c r="X296" t="s">
        <v>93</v>
      </c>
      <c r="Y296" t="s">
        <v>49</v>
      </c>
      <c r="Z296">
        <v>1627</v>
      </c>
      <c r="AH296">
        <v>0</v>
      </c>
      <c r="AI296">
        <v>202506</v>
      </c>
      <c r="AK296">
        <v>1</v>
      </c>
      <c r="AL296">
        <v>1</v>
      </c>
      <c r="AO296">
        <v>0</v>
      </c>
      <c r="AP296">
        <v>433</v>
      </c>
      <c r="AQ296">
        <v>430</v>
      </c>
      <c r="AR296">
        <v>430433</v>
      </c>
      <c r="AS296" t="s">
        <v>58</v>
      </c>
      <c r="AU296" t="s">
        <v>58</v>
      </c>
      <c r="AV296">
        <v>25045.55</v>
      </c>
      <c r="AW296">
        <v>26010.331999999999</v>
      </c>
      <c r="AX296">
        <v>27041.058000000001</v>
      </c>
      <c r="AY296">
        <v>28420.708999999999</v>
      </c>
      <c r="AZ296">
        <v>29962.351999999999</v>
      </c>
      <c r="BA296">
        <v>31788.16</v>
      </c>
      <c r="BB296">
        <v>34027.07</v>
      </c>
      <c r="BC296">
        <v>36641.5795</v>
      </c>
      <c r="BD296">
        <v>39840.642</v>
      </c>
      <c r="BE296">
        <v>40000</v>
      </c>
      <c r="BF296">
        <v>41343.269999999997</v>
      </c>
      <c r="BG296">
        <v>44702.324999999997</v>
      </c>
      <c r="BH296">
        <v>49392.076000000001</v>
      </c>
      <c r="BI296">
        <v>58375.907500000008</v>
      </c>
      <c r="BJ296">
        <v>70239.999999999985</v>
      </c>
      <c r="BK296">
        <v>81597.5</v>
      </c>
      <c r="BL296">
        <v>118941.322</v>
      </c>
      <c r="BM296">
        <v>163981.24299999949</v>
      </c>
      <c r="BN296">
        <v>270486.4050000002</v>
      </c>
      <c r="BO296">
        <v>446888.37399999989</v>
      </c>
      <c r="BP296">
        <v>2814221.66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0</v>
      </c>
      <c r="CK296">
        <v>0</v>
      </c>
    </row>
    <row r="297" spans="1:89" x14ac:dyDescent="0.35">
      <c r="A297">
        <v>363966</v>
      </c>
      <c r="B297" t="s">
        <v>259</v>
      </c>
      <c r="C297" t="s">
        <v>260</v>
      </c>
      <c r="D297" s="1">
        <v>45850</v>
      </c>
      <c r="E297">
        <v>53850</v>
      </c>
      <c r="F297">
        <v>128</v>
      </c>
      <c r="G297" t="s">
        <v>91</v>
      </c>
      <c r="H297" t="s">
        <v>262</v>
      </c>
      <c r="I297" t="s">
        <v>48</v>
      </c>
      <c r="L297">
        <v>1283300001665</v>
      </c>
      <c r="M297">
        <v>20250618</v>
      </c>
      <c r="N297" t="s">
        <v>279</v>
      </c>
      <c r="Q297" t="s">
        <v>55</v>
      </c>
      <c r="R297">
        <v>30887.66</v>
      </c>
      <c r="T297">
        <v>4254896</v>
      </c>
      <c r="U297">
        <v>6234730726</v>
      </c>
      <c r="V297" t="s">
        <v>285</v>
      </c>
      <c r="W297" t="s">
        <v>53</v>
      </c>
      <c r="X297" t="s">
        <v>286</v>
      </c>
      <c r="Y297" t="s">
        <v>49</v>
      </c>
      <c r="Z297">
        <v>1919</v>
      </c>
      <c r="AH297">
        <v>0</v>
      </c>
      <c r="AI297">
        <v>202506</v>
      </c>
      <c r="AJ297" t="s">
        <v>160</v>
      </c>
      <c r="AK297">
        <v>1</v>
      </c>
      <c r="AL297">
        <v>1</v>
      </c>
      <c r="AO297">
        <v>0</v>
      </c>
      <c r="AP297">
        <v>999</v>
      </c>
      <c r="AQ297">
        <v>430</v>
      </c>
      <c r="AR297">
        <v>430999</v>
      </c>
      <c r="AT297">
        <v>1</v>
      </c>
      <c r="AU297" t="s">
        <v>54</v>
      </c>
      <c r="AV297">
        <v>25045.55</v>
      </c>
      <c r="AW297">
        <v>26010.331999999999</v>
      </c>
      <c r="AX297">
        <v>27041.058000000001</v>
      </c>
      <c r="AY297">
        <v>28420.708999999999</v>
      </c>
      <c r="AZ297">
        <v>29962.351999999999</v>
      </c>
      <c r="BA297">
        <v>31788.16</v>
      </c>
      <c r="BB297">
        <v>34027.07</v>
      </c>
      <c r="BC297">
        <v>36641.5795</v>
      </c>
      <c r="BD297">
        <v>39840.642</v>
      </c>
      <c r="BE297">
        <v>40000</v>
      </c>
      <c r="BF297">
        <v>41343.269999999997</v>
      </c>
      <c r="BG297">
        <v>44702.324999999997</v>
      </c>
      <c r="BH297">
        <v>49392.076000000001</v>
      </c>
      <c r="BI297">
        <v>58375.907500000008</v>
      </c>
      <c r="BJ297">
        <v>70239.999999999985</v>
      </c>
      <c r="BK297">
        <v>81597.5</v>
      </c>
      <c r="BL297">
        <v>118941.322</v>
      </c>
      <c r="BM297">
        <v>163981.24299999949</v>
      </c>
      <c r="BN297">
        <v>270486.4050000002</v>
      </c>
      <c r="BO297">
        <v>446888.37399999989</v>
      </c>
      <c r="BP297">
        <v>2814221.66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 x14ac:dyDescent="0.35">
      <c r="A298">
        <v>363963</v>
      </c>
      <c r="B298" t="s">
        <v>259</v>
      </c>
      <c r="C298" t="s">
        <v>260</v>
      </c>
      <c r="D298" s="1">
        <v>45850</v>
      </c>
      <c r="E298">
        <v>53850</v>
      </c>
      <c r="F298">
        <v>108</v>
      </c>
      <c r="G298" t="s">
        <v>88</v>
      </c>
      <c r="H298" t="s">
        <v>262</v>
      </c>
      <c r="I298" t="s">
        <v>48</v>
      </c>
      <c r="L298">
        <v>1083300011180</v>
      </c>
      <c r="M298">
        <v>20250617</v>
      </c>
      <c r="N298" t="s">
        <v>279</v>
      </c>
      <c r="Q298" t="s">
        <v>55</v>
      </c>
      <c r="R298">
        <v>25061.85</v>
      </c>
      <c r="T298">
        <v>1118</v>
      </c>
      <c r="U298">
        <v>3246700722</v>
      </c>
      <c r="V298" t="s">
        <v>302</v>
      </c>
      <c r="W298" t="s">
        <v>53</v>
      </c>
      <c r="X298" t="s">
        <v>286</v>
      </c>
      <c r="Y298" t="s">
        <v>49</v>
      </c>
      <c r="Z298">
        <v>1058</v>
      </c>
      <c r="AH298">
        <v>0</v>
      </c>
      <c r="AI298">
        <v>202506</v>
      </c>
      <c r="AJ298" t="s">
        <v>160</v>
      </c>
      <c r="AK298">
        <v>1</v>
      </c>
      <c r="AL298">
        <v>1</v>
      </c>
      <c r="AO298">
        <v>0</v>
      </c>
      <c r="AP298">
        <v>999</v>
      </c>
      <c r="AQ298">
        <v>430</v>
      </c>
      <c r="AR298">
        <v>430999</v>
      </c>
      <c r="AT298">
        <v>1</v>
      </c>
      <c r="AU298" t="s">
        <v>54</v>
      </c>
      <c r="AV298">
        <v>25045.55</v>
      </c>
      <c r="AW298">
        <v>26010.331999999999</v>
      </c>
      <c r="AX298">
        <v>27041.058000000001</v>
      </c>
      <c r="AY298">
        <v>28420.708999999999</v>
      </c>
      <c r="AZ298">
        <v>29962.351999999999</v>
      </c>
      <c r="BA298">
        <v>31788.16</v>
      </c>
      <c r="BB298">
        <v>34027.07</v>
      </c>
      <c r="BC298">
        <v>36641.5795</v>
      </c>
      <c r="BD298">
        <v>39840.642</v>
      </c>
      <c r="BE298">
        <v>40000</v>
      </c>
      <c r="BF298">
        <v>41343.269999999997</v>
      </c>
      <c r="BG298">
        <v>44702.324999999997</v>
      </c>
      <c r="BH298">
        <v>49392.076000000001</v>
      </c>
      <c r="BI298">
        <v>58375.907500000008</v>
      </c>
      <c r="BJ298">
        <v>70239.999999999985</v>
      </c>
      <c r="BK298">
        <v>81597.5</v>
      </c>
      <c r="BL298">
        <v>118941.322</v>
      </c>
      <c r="BM298">
        <v>163981.24299999949</v>
      </c>
      <c r="BN298">
        <v>270486.4050000002</v>
      </c>
      <c r="BO298">
        <v>446888.37399999989</v>
      </c>
      <c r="BP298">
        <v>2814221.66</v>
      </c>
      <c r="BQ298">
        <v>1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 x14ac:dyDescent="0.35">
      <c r="A299">
        <v>363961</v>
      </c>
      <c r="B299" t="s">
        <v>259</v>
      </c>
      <c r="C299" t="s">
        <v>260</v>
      </c>
      <c r="D299" s="1">
        <v>45850</v>
      </c>
      <c r="E299">
        <v>53850</v>
      </c>
      <c r="F299">
        <v>125</v>
      </c>
      <c r="G299" t="s">
        <v>277</v>
      </c>
      <c r="H299" t="s">
        <v>262</v>
      </c>
      <c r="I299" t="s">
        <v>48</v>
      </c>
      <c r="L299">
        <v>1253309512895</v>
      </c>
      <c r="M299">
        <v>20250604</v>
      </c>
      <c r="N299" t="s">
        <v>263</v>
      </c>
      <c r="Q299" t="s">
        <v>55</v>
      </c>
      <c r="R299">
        <v>321513.57</v>
      </c>
      <c r="T299">
        <v>4795279</v>
      </c>
      <c r="U299">
        <v>1020090658</v>
      </c>
      <c r="V299" t="s">
        <v>278</v>
      </c>
      <c r="W299" t="s">
        <v>53</v>
      </c>
      <c r="X299" t="s">
        <v>237</v>
      </c>
      <c r="Y299" t="s">
        <v>49</v>
      </c>
      <c r="Z299">
        <v>982</v>
      </c>
      <c r="AH299">
        <v>0</v>
      </c>
      <c r="AI299">
        <v>202506</v>
      </c>
      <c r="AK299">
        <v>1</v>
      </c>
      <c r="AL299">
        <v>1</v>
      </c>
      <c r="AO299">
        <v>0</v>
      </c>
      <c r="AP299">
        <v>999</v>
      </c>
      <c r="AQ299">
        <v>430</v>
      </c>
      <c r="AR299">
        <v>430999</v>
      </c>
      <c r="AT299">
        <v>1</v>
      </c>
      <c r="AU299" t="s">
        <v>54</v>
      </c>
      <c r="AV299">
        <v>25045.55</v>
      </c>
      <c r="AW299">
        <v>26010.331999999999</v>
      </c>
      <c r="AX299">
        <v>27041.058000000001</v>
      </c>
      <c r="AY299">
        <v>28420.708999999999</v>
      </c>
      <c r="AZ299">
        <v>29962.351999999999</v>
      </c>
      <c r="BA299">
        <v>31788.16</v>
      </c>
      <c r="BB299">
        <v>34027.07</v>
      </c>
      <c r="BC299">
        <v>36641.5795</v>
      </c>
      <c r="BD299">
        <v>39840.642</v>
      </c>
      <c r="BE299">
        <v>40000</v>
      </c>
      <c r="BF299">
        <v>41343.269999999997</v>
      </c>
      <c r="BG299">
        <v>44702.324999999997</v>
      </c>
      <c r="BH299">
        <v>49392.076000000001</v>
      </c>
      <c r="BI299">
        <v>58375.907500000008</v>
      </c>
      <c r="BJ299">
        <v>70239.999999999985</v>
      </c>
      <c r="BK299">
        <v>81597.5</v>
      </c>
      <c r="BL299">
        <v>118941.322</v>
      </c>
      <c r="BM299">
        <v>163981.24299999949</v>
      </c>
      <c r="BN299">
        <v>270486.4050000002</v>
      </c>
      <c r="BO299">
        <v>446888.37399999989</v>
      </c>
      <c r="BP299">
        <v>2814221.66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0</v>
      </c>
      <c r="CK299">
        <v>0</v>
      </c>
    </row>
    <row r="300" spans="1:89" x14ac:dyDescent="0.35">
      <c r="A300">
        <v>363936</v>
      </c>
      <c r="B300" t="s">
        <v>259</v>
      </c>
      <c r="C300" t="s">
        <v>260</v>
      </c>
      <c r="D300" s="1">
        <v>45850</v>
      </c>
      <c r="E300">
        <v>53850</v>
      </c>
      <c r="F300">
        <v>175</v>
      </c>
      <c r="G300" t="s">
        <v>63</v>
      </c>
      <c r="H300" t="s">
        <v>262</v>
      </c>
      <c r="I300" t="s">
        <v>48</v>
      </c>
      <c r="L300">
        <v>1753302203813</v>
      </c>
      <c r="M300">
        <v>20250618</v>
      </c>
      <c r="N300" t="s">
        <v>263</v>
      </c>
      <c r="Q300" t="s">
        <v>55</v>
      </c>
      <c r="R300">
        <v>170000</v>
      </c>
      <c r="T300">
        <v>4907691</v>
      </c>
      <c r="U300">
        <v>1146400773</v>
      </c>
      <c r="V300" t="s">
        <v>360</v>
      </c>
      <c r="W300" t="s">
        <v>53</v>
      </c>
      <c r="X300" t="s">
        <v>174</v>
      </c>
      <c r="Y300" t="s">
        <v>49</v>
      </c>
      <c r="Z300">
        <v>1926</v>
      </c>
      <c r="AH300">
        <v>0</v>
      </c>
      <c r="AI300">
        <v>202506</v>
      </c>
      <c r="AJ300" t="s">
        <v>160</v>
      </c>
      <c r="AK300">
        <v>1</v>
      </c>
      <c r="AL300">
        <v>1</v>
      </c>
      <c r="AO300">
        <v>0</v>
      </c>
      <c r="AP300">
        <v>999</v>
      </c>
      <c r="AQ300">
        <v>430</v>
      </c>
      <c r="AR300">
        <v>430999</v>
      </c>
      <c r="AT300">
        <v>1</v>
      </c>
      <c r="AU300" t="s">
        <v>54</v>
      </c>
      <c r="AV300">
        <v>25045.55</v>
      </c>
      <c r="AW300">
        <v>26010.331999999999</v>
      </c>
      <c r="AX300">
        <v>27041.058000000001</v>
      </c>
      <c r="AY300">
        <v>28420.708999999999</v>
      </c>
      <c r="AZ300">
        <v>29962.351999999999</v>
      </c>
      <c r="BA300">
        <v>31788.16</v>
      </c>
      <c r="BB300">
        <v>34027.07</v>
      </c>
      <c r="BC300">
        <v>36641.5795</v>
      </c>
      <c r="BD300">
        <v>39840.642</v>
      </c>
      <c r="BE300">
        <v>40000</v>
      </c>
      <c r="BF300">
        <v>41343.269999999997</v>
      </c>
      <c r="BG300">
        <v>44702.324999999997</v>
      </c>
      <c r="BH300">
        <v>49392.076000000001</v>
      </c>
      <c r="BI300">
        <v>58375.907500000008</v>
      </c>
      <c r="BJ300">
        <v>70239.999999999985</v>
      </c>
      <c r="BK300">
        <v>81597.5</v>
      </c>
      <c r="BL300">
        <v>118941.322</v>
      </c>
      <c r="BM300">
        <v>163981.24299999949</v>
      </c>
      <c r="BN300">
        <v>270486.4050000002</v>
      </c>
      <c r="BO300">
        <v>446888.37399999989</v>
      </c>
      <c r="BP300">
        <v>2814221.66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0</v>
      </c>
      <c r="CJ300">
        <v>0</v>
      </c>
      <c r="CK300">
        <v>0</v>
      </c>
    </row>
    <row r="301" spans="1:89" x14ac:dyDescent="0.35">
      <c r="A301">
        <v>363919</v>
      </c>
      <c r="B301" t="s">
        <v>259</v>
      </c>
      <c r="C301" t="s">
        <v>260</v>
      </c>
      <c r="D301" s="1">
        <v>45850</v>
      </c>
      <c r="E301">
        <v>53850</v>
      </c>
      <c r="F301">
        <v>154</v>
      </c>
      <c r="G301" t="s">
        <v>235</v>
      </c>
      <c r="H301" t="s">
        <v>262</v>
      </c>
      <c r="I301" t="s">
        <v>48</v>
      </c>
      <c r="L301">
        <v>1543300004860</v>
      </c>
      <c r="M301">
        <v>20250605</v>
      </c>
      <c r="N301" t="s">
        <v>263</v>
      </c>
      <c r="Q301" t="s">
        <v>55</v>
      </c>
      <c r="R301">
        <v>39874.68</v>
      </c>
      <c r="T301">
        <v>3715569</v>
      </c>
      <c r="U301">
        <v>5424970654</v>
      </c>
      <c r="V301" t="s">
        <v>265</v>
      </c>
      <c r="W301" t="s">
        <v>53</v>
      </c>
      <c r="X301" t="s">
        <v>266</v>
      </c>
      <c r="Y301" t="s">
        <v>49</v>
      </c>
      <c r="Z301">
        <v>741</v>
      </c>
      <c r="AH301">
        <v>0</v>
      </c>
      <c r="AI301">
        <v>202506</v>
      </c>
      <c r="AK301">
        <v>1</v>
      </c>
      <c r="AL301">
        <v>1</v>
      </c>
      <c r="AO301">
        <v>0</v>
      </c>
      <c r="AP301">
        <v>999</v>
      </c>
      <c r="AQ301">
        <v>430</v>
      </c>
      <c r="AR301">
        <v>430999</v>
      </c>
      <c r="AT301">
        <v>1</v>
      </c>
      <c r="AU301" t="s">
        <v>54</v>
      </c>
      <c r="AV301">
        <v>25045.55</v>
      </c>
      <c r="AW301">
        <v>26010.331999999999</v>
      </c>
      <c r="AX301">
        <v>27041.058000000001</v>
      </c>
      <c r="AY301">
        <v>28420.708999999999</v>
      </c>
      <c r="AZ301">
        <v>29962.351999999999</v>
      </c>
      <c r="BA301">
        <v>31788.16</v>
      </c>
      <c r="BB301">
        <v>34027.07</v>
      </c>
      <c r="BC301">
        <v>36641.5795</v>
      </c>
      <c r="BD301">
        <v>39840.642</v>
      </c>
      <c r="BE301">
        <v>40000</v>
      </c>
      <c r="BF301">
        <v>41343.269999999997</v>
      </c>
      <c r="BG301">
        <v>44702.324999999997</v>
      </c>
      <c r="BH301">
        <v>49392.076000000001</v>
      </c>
      <c r="BI301">
        <v>58375.907500000008</v>
      </c>
      <c r="BJ301">
        <v>70239.999999999985</v>
      </c>
      <c r="BK301">
        <v>81597.5</v>
      </c>
      <c r="BL301">
        <v>118941.322</v>
      </c>
      <c r="BM301">
        <v>163981.24299999949</v>
      </c>
      <c r="BN301">
        <v>270486.4050000002</v>
      </c>
      <c r="BO301">
        <v>446888.37399999989</v>
      </c>
      <c r="BP301">
        <v>2814221.66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 x14ac:dyDescent="0.35">
      <c r="A302">
        <v>363915</v>
      </c>
      <c r="B302" t="s">
        <v>259</v>
      </c>
      <c r="C302" t="s">
        <v>260</v>
      </c>
      <c r="D302" s="1">
        <v>45850</v>
      </c>
      <c r="E302">
        <v>53850</v>
      </c>
      <c r="F302">
        <v>125</v>
      </c>
      <c r="G302" t="s">
        <v>277</v>
      </c>
      <c r="H302" t="s">
        <v>262</v>
      </c>
      <c r="I302" t="s">
        <v>48</v>
      </c>
      <c r="L302">
        <v>1253309512895</v>
      </c>
      <c r="M302">
        <v>20250604</v>
      </c>
      <c r="N302" t="s">
        <v>263</v>
      </c>
      <c r="Q302" t="s">
        <v>55</v>
      </c>
      <c r="R302">
        <v>37771.17</v>
      </c>
      <c r="T302">
        <v>4795279</v>
      </c>
      <c r="U302">
        <v>1020090658</v>
      </c>
      <c r="V302" t="s">
        <v>278</v>
      </c>
      <c r="W302" t="s">
        <v>53</v>
      </c>
      <c r="X302" t="s">
        <v>237</v>
      </c>
      <c r="Y302" t="s">
        <v>49</v>
      </c>
      <c r="Z302">
        <v>982</v>
      </c>
      <c r="AH302">
        <v>0</v>
      </c>
      <c r="AI302">
        <v>202506</v>
      </c>
      <c r="AK302">
        <v>1</v>
      </c>
      <c r="AL302">
        <v>1</v>
      </c>
      <c r="AO302">
        <v>0</v>
      </c>
      <c r="AP302">
        <v>999</v>
      </c>
      <c r="AQ302">
        <v>430</v>
      </c>
      <c r="AR302">
        <v>430999</v>
      </c>
      <c r="AT302">
        <v>1</v>
      </c>
      <c r="AU302" t="s">
        <v>54</v>
      </c>
      <c r="AV302">
        <v>25045.55</v>
      </c>
      <c r="AW302">
        <v>26010.331999999999</v>
      </c>
      <c r="AX302">
        <v>27041.058000000001</v>
      </c>
      <c r="AY302">
        <v>28420.708999999999</v>
      </c>
      <c r="AZ302">
        <v>29962.351999999999</v>
      </c>
      <c r="BA302">
        <v>31788.16</v>
      </c>
      <c r="BB302">
        <v>34027.07</v>
      </c>
      <c r="BC302">
        <v>36641.5795</v>
      </c>
      <c r="BD302">
        <v>39840.642</v>
      </c>
      <c r="BE302">
        <v>40000</v>
      </c>
      <c r="BF302">
        <v>41343.269999999997</v>
      </c>
      <c r="BG302">
        <v>44702.324999999997</v>
      </c>
      <c r="BH302">
        <v>49392.076000000001</v>
      </c>
      <c r="BI302">
        <v>58375.907500000008</v>
      </c>
      <c r="BJ302">
        <v>70239.999999999985</v>
      </c>
      <c r="BK302">
        <v>81597.5</v>
      </c>
      <c r="BL302">
        <v>118941.322</v>
      </c>
      <c r="BM302">
        <v>163981.24299999949</v>
      </c>
      <c r="BN302">
        <v>270486.4050000002</v>
      </c>
      <c r="BO302">
        <v>446888.37399999989</v>
      </c>
      <c r="BP302">
        <v>2814221.66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 x14ac:dyDescent="0.35">
      <c r="A303">
        <v>363895</v>
      </c>
      <c r="B303" t="s">
        <v>259</v>
      </c>
      <c r="C303" t="s">
        <v>260</v>
      </c>
      <c r="D303" s="1">
        <v>45850</v>
      </c>
      <c r="E303">
        <v>53850</v>
      </c>
      <c r="F303">
        <v>149</v>
      </c>
      <c r="G303" t="s">
        <v>82</v>
      </c>
      <c r="H303" t="s">
        <v>262</v>
      </c>
      <c r="I303" t="s">
        <v>48</v>
      </c>
      <c r="L303">
        <v>1493300663906</v>
      </c>
      <c r="M303">
        <v>20250620</v>
      </c>
      <c r="N303" t="s">
        <v>279</v>
      </c>
      <c r="Q303" t="s">
        <v>55</v>
      </c>
      <c r="R303">
        <v>25700</v>
      </c>
      <c r="T303">
        <v>4178286</v>
      </c>
      <c r="U303" t="s">
        <v>361</v>
      </c>
      <c r="V303" t="s">
        <v>362</v>
      </c>
      <c r="W303" t="s">
        <v>64</v>
      </c>
      <c r="X303" t="s">
        <v>94</v>
      </c>
      <c r="Y303" t="s">
        <v>49</v>
      </c>
      <c r="Z303">
        <v>1910</v>
      </c>
      <c r="AH303">
        <v>0</v>
      </c>
      <c r="AI303">
        <v>202506</v>
      </c>
      <c r="AJ303" t="s">
        <v>61</v>
      </c>
      <c r="AK303">
        <v>0</v>
      </c>
      <c r="AL303">
        <v>1</v>
      </c>
      <c r="AM303">
        <v>4178286</v>
      </c>
      <c r="AN303">
        <v>1</v>
      </c>
      <c r="AO303">
        <v>0</v>
      </c>
      <c r="AP303">
        <v>999</v>
      </c>
      <c r="AQ303">
        <v>615</v>
      </c>
      <c r="AR303">
        <v>615999</v>
      </c>
      <c r="AT303">
        <v>1</v>
      </c>
      <c r="AU303" t="s">
        <v>58</v>
      </c>
      <c r="AV303">
        <v>25045.55</v>
      </c>
      <c r="AW303">
        <v>26010.331999999999</v>
      </c>
      <c r="AX303">
        <v>27041.058000000001</v>
      </c>
      <c r="AY303">
        <v>28420.708999999999</v>
      </c>
      <c r="AZ303">
        <v>29962.351999999999</v>
      </c>
      <c r="BA303">
        <v>31788.16</v>
      </c>
      <c r="BB303">
        <v>34027.07</v>
      </c>
      <c r="BC303">
        <v>36641.5795</v>
      </c>
      <c r="BD303">
        <v>39840.642</v>
      </c>
      <c r="BE303">
        <v>40000</v>
      </c>
      <c r="BF303">
        <v>41343.269999999997</v>
      </c>
      <c r="BG303">
        <v>44702.324999999997</v>
      </c>
      <c r="BH303">
        <v>49392.076000000001</v>
      </c>
      <c r="BI303">
        <v>58375.907500000008</v>
      </c>
      <c r="BJ303">
        <v>70239.999999999985</v>
      </c>
      <c r="BK303">
        <v>81597.5</v>
      </c>
      <c r="BL303">
        <v>118941.322</v>
      </c>
      <c r="BM303">
        <v>163981.24299999949</v>
      </c>
      <c r="BN303">
        <v>270486.4050000002</v>
      </c>
      <c r="BO303">
        <v>446888.37399999989</v>
      </c>
      <c r="BP303">
        <v>2814221.66</v>
      </c>
      <c r="BQ303">
        <v>1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 x14ac:dyDescent="0.35">
      <c r="A304">
        <v>363855</v>
      </c>
      <c r="B304" t="s">
        <v>259</v>
      </c>
      <c r="C304" t="s">
        <v>260</v>
      </c>
      <c r="D304" s="1">
        <v>45850</v>
      </c>
      <c r="E304">
        <v>53850</v>
      </c>
      <c r="F304">
        <v>128</v>
      </c>
      <c r="G304" t="s">
        <v>91</v>
      </c>
      <c r="H304" t="s">
        <v>262</v>
      </c>
      <c r="I304" t="s">
        <v>48</v>
      </c>
      <c r="L304">
        <v>1283300001665</v>
      </c>
      <c r="M304">
        <v>20250623</v>
      </c>
      <c r="N304" t="s">
        <v>279</v>
      </c>
      <c r="Q304" t="s">
        <v>55</v>
      </c>
      <c r="R304">
        <v>200231.09</v>
      </c>
      <c r="T304">
        <v>4254896</v>
      </c>
      <c r="U304">
        <v>6234730726</v>
      </c>
      <c r="V304" t="s">
        <v>285</v>
      </c>
      <c r="W304" t="s">
        <v>53</v>
      </c>
      <c r="X304" t="s">
        <v>286</v>
      </c>
      <c r="Y304" t="s">
        <v>49</v>
      </c>
      <c r="Z304">
        <v>1919</v>
      </c>
      <c r="AH304">
        <v>0</v>
      </c>
      <c r="AI304">
        <v>202506</v>
      </c>
      <c r="AJ304" t="s">
        <v>160</v>
      </c>
      <c r="AK304">
        <v>1</v>
      </c>
      <c r="AL304">
        <v>1</v>
      </c>
      <c r="AO304">
        <v>0</v>
      </c>
      <c r="AP304">
        <v>999</v>
      </c>
      <c r="AQ304">
        <v>430</v>
      </c>
      <c r="AR304">
        <v>430999</v>
      </c>
      <c r="AT304">
        <v>1</v>
      </c>
      <c r="AU304" t="s">
        <v>54</v>
      </c>
      <c r="AV304">
        <v>25045.55</v>
      </c>
      <c r="AW304">
        <v>26010.331999999999</v>
      </c>
      <c r="AX304">
        <v>27041.058000000001</v>
      </c>
      <c r="AY304">
        <v>28420.708999999999</v>
      </c>
      <c r="AZ304">
        <v>29962.351999999999</v>
      </c>
      <c r="BA304">
        <v>31788.16</v>
      </c>
      <c r="BB304">
        <v>34027.07</v>
      </c>
      <c r="BC304">
        <v>36641.5795</v>
      </c>
      <c r="BD304">
        <v>39840.642</v>
      </c>
      <c r="BE304">
        <v>40000</v>
      </c>
      <c r="BF304">
        <v>41343.269999999997</v>
      </c>
      <c r="BG304">
        <v>44702.324999999997</v>
      </c>
      <c r="BH304">
        <v>49392.076000000001</v>
      </c>
      <c r="BI304">
        <v>58375.907500000008</v>
      </c>
      <c r="BJ304">
        <v>70239.999999999985</v>
      </c>
      <c r="BK304">
        <v>81597.5</v>
      </c>
      <c r="BL304">
        <v>118941.322</v>
      </c>
      <c r="BM304">
        <v>163981.24299999949</v>
      </c>
      <c r="BN304">
        <v>270486.4050000002</v>
      </c>
      <c r="BO304">
        <v>446888.37399999989</v>
      </c>
      <c r="BP304">
        <v>2814221.66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0</v>
      </c>
      <c r="CJ304">
        <v>0</v>
      </c>
      <c r="CK304">
        <v>0</v>
      </c>
    </row>
    <row r="305" spans="1:89" x14ac:dyDescent="0.35">
      <c r="A305">
        <v>363752</v>
      </c>
      <c r="B305" t="s">
        <v>259</v>
      </c>
      <c r="C305" t="s">
        <v>260</v>
      </c>
      <c r="D305" s="1">
        <v>45850</v>
      </c>
      <c r="E305">
        <v>53850</v>
      </c>
      <c r="F305">
        <v>191</v>
      </c>
      <c r="G305" t="s">
        <v>173</v>
      </c>
      <c r="H305" t="s">
        <v>262</v>
      </c>
      <c r="I305" t="s">
        <v>48</v>
      </c>
      <c r="L305">
        <v>1913300068122</v>
      </c>
      <c r="M305">
        <v>20250613</v>
      </c>
      <c r="N305" t="s">
        <v>263</v>
      </c>
      <c r="Q305" t="s">
        <v>55</v>
      </c>
      <c r="R305">
        <v>38548.99</v>
      </c>
      <c r="T305">
        <v>4918280</v>
      </c>
      <c r="U305">
        <v>3480410798</v>
      </c>
      <c r="V305" t="s">
        <v>291</v>
      </c>
      <c r="W305" t="s">
        <v>53</v>
      </c>
      <c r="X305" t="s">
        <v>232</v>
      </c>
      <c r="Y305" t="s">
        <v>49</v>
      </c>
      <c r="AH305">
        <v>0</v>
      </c>
      <c r="AI305">
        <v>202506</v>
      </c>
      <c r="AK305">
        <v>1</v>
      </c>
      <c r="AL305">
        <v>1</v>
      </c>
      <c r="AO305">
        <v>0</v>
      </c>
      <c r="AP305">
        <v>999</v>
      </c>
      <c r="AQ305">
        <v>430</v>
      </c>
      <c r="AR305">
        <v>430999</v>
      </c>
      <c r="AT305">
        <v>1</v>
      </c>
      <c r="AU305" t="s">
        <v>54</v>
      </c>
      <c r="AV305">
        <v>25045.55</v>
      </c>
      <c r="AW305">
        <v>26010.331999999999</v>
      </c>
      <c r="AX305">
        <v>27041.058000000001</v>
      </c>
      <c r="AY305">
        <v>28420.708999999999</v>
      </c>
      <c r="AZ305">
        <v>29962.351999999999</v>
      </c>
      <c r="BA305">
        <v>31788.16</v>
      </c>
      <c r="BB305">
        <v>34027.07</v>
      </c>
      <c r="BC305">
        <v>36641.5795</v>
      </c>
      <c r="BD305">
        <v>39840.642</v>
      </c>
      <c r="BE305">
        <v>40000</v>
      </c>
      <c r="BF305">
        <v>41343.269999999997</v>
      </c>
      <c r="BG305">
        <v>44702.324999999997</v>
      </c>
      <c r="BH305">
        <v>49392.076000000001</v>
      </c>
      <c r="BI305">
        <v>58375.907500000008</v>
      </c>
      <c r="BJ305">
        <v>70239.999999999985</v>
      </c>
      <c r="BK305">
        <v>81597.5</v>
      </c>
      <c r="BL305">
        <v>118941.322</v>
      </c>
      <c r="BM305">
        <v>163981.24299999949</v>
      </c>
      <c r="BN305">
        <v>270486.4050000002</v>
      </c>
      <c r="BO305">
        <v>446888.37399999989</v>
      </c>
      <c r="BP305">
        <v>2814221.66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 x14ac:dyDescent="0.35">
      <c r="A306">
        <v>363740</v>
      </c>
      <c r="B306" t="s">
        <v>259</v>
      </c>
      <c r="C306" t="s">
        <v>260</v>
      </c>
      <c r="D306" s="1">
        <v>45850</v>
      </c>
      <c r="E306">
        <v>53850</v>
      </c>
      <c r="F306">
        <v>226</v>
      </c>
      <c r="G306" t="s">
        <v>164</v>
      </c>
      <c r="H306" t="s">
        <v>262</v>
      </c>
      <c r="I306" t="s">
        <v>48</v>
      </c>
      <c r="L306">
        <v>2263300011983</v>
      </c>
      <c r="M306">
        <v>20250620</v>
      </c>
      <c r="N306" t="s">
        <v>263</v>
      </c>
      <c r="Q306" t="s">
        <v>55</v>
      </c>
      <c r="R306">
        <v>10000000</v>
      </c>
      <c r="T306">
        <v>4877514</v>
      </c>
      <c r="U306">
        <v>1149290726</v>
      </c>
      <c r="V306" t="s">
        <v>175</v>
      </c>
      <c r="W306" t="s">
        <v>176</v>
      </c>
      <c r="X306" t="s">
        <v>77</v>
      </c>
      <c r="Y306" t="s">
        <v>49</v>
      </c>
      <c r="Z306">
        <v>1696</v>
      </c>
      <c r="AH306">
        <v>0</v>
      </c>
      <c r="AI306">
        <v>202506</v>
      </c>
      <c r="AJ306" t="s">
        <v>160</v>
      </c>
      <c r="AK306">
        <v>1</v>
      </c>
      <c r="AL306">
        <v>1</v>
      </c>
      <c r="AO306">
        <v>0</v>
      </c>
      <c r="AP306">
        <v>999</v>
      </c>
      <c r="AQ306">
        <v>290</v>
      </c>
      <c r="AR306">
        <v>290999</v>
      </c>
      <c r="AT306">
        <v>1</v>
      </c>
      <c r="AU306" t="s">
        <v>59</v>
      </c>
      <c r="AV306">
        <v>25045.55</v>
      </c>
      <c r="AW306">
        <v>26010.331999999999</v>
      </c>
      <c r="AX306">
        <v>27041.058000000001</v>
      </c>
      <c r="AY306">
        <v>28420.708999999999</v>
      </c>
      <c r="AZ306">
        <v>29962.351999999999</v>
      </c>
      <c r="BA306">
        <v>31788.16</v>
      </c>
      <c r="BB306">
        <v>34027.07</v>
      </c>
      <c r="BC306">
        <v>36641.5795</v>
      </c>
      <c r="BD306">
        <v>39840.642</v>
      </c>
      <c r="BE306">
        <v>40000</v>
      </c>
      <c r="BF306">
        <v>41343.269999999997</v>
      </c>
      <c r="BG306">
        <v>44702.324999999997</v>
      </c>
      <c r="BH306">
        <v>49392.076000000001</v>
      </c>
      <c r="BI306">
        <v>58375.907500000008</v>
      </c>
      <c r="BJ306">
        <v>70239.999999999985</v>
      </c>
      <c r="BK306">
        <v>81597.5</v>
      </c>
      <c r="BL306">
        <v>118941.322</v>
      </c>
      <c r="BM306">
        <v>163981.24299999949</v>
      </c>
      <c r="BN306">
        <v>270486.4050000002</v>
      </c>
      <c r="BO306">
        <v>446888.37399999989</v>
      </c>
      <c r="BP306">
        <v>2814221.66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</row>
    <row r="307" spans="1:89" x14ac:dyDescent="0.35">
      <c r="A307">
        <v>363536</v>
      </c>
      <c r="B307" t="s">
        <v>259</v>
      </c>
      <c r="C307" t="s">
        <v>260</v>
      </c>
      <c r="D307" s="1">
        <v>45850</v>
      </c>
      <c r="E307">
        <v>53850</v>
      </c>
      <c r="F307">
        <v>153</v>
      </c>
      <c r="G307" t="s">
        <v>81</v>
      </c>
      <c r="H307" t="s">
        <v>262</v>
      </c>
      <c r="I307" t="s">
        <v>48</v>
      </c>
      <c r="L307">
        <v>1533300663959</v>
      </c>
      <c r="M307">
        <v>20250623</v>
      </c>
      <c r="N307" t="s">
        <v>263</v>
      </c>
      <c r="Q307" t="s">
        <v>55</v>
      </c>
      <c r="R307">
        <v>46433.2</v>
      </c>
      <c r="T307">
        <v>3721097</v>
      </c>
      <c r="U307">
        <v>10391641213</v>
      </c>
      <c r="V307" t="s">
        <v>270</v>
      </c>
      <c r="W307" t="s">
        <v>53</v>
      </c>
      <c r="X307" t="s">
        <v>83</v>
      </c>
      <c r="Y307" t="s">
        <v>49</v>
      </c>
      <c r="Z307">
        <v>1237</v>
      </c>
      <c r="AH307">
        <v>0</v>
      </c>
      <c r="AI307">
        <v>202506</v>
      </c>
      <c r="AK307">
        <v>1</v>
      </c>
      <c r="AL307">
        <v>1</v>
      </c>
      <c r="AO307">
        <v>0</v>
      </c>
      <c r="AP307">
        <v>462</v>
      </c>
      <c r="AQ307">
        <v>430</v>
      </c>
      <c r="AR307">
        <v>430462</v>
      </c>
      <c r="AS307" t="s">
        <v>58</v>
      </c>
      <c r="AU307" t="s">
        <v>58</v>
      </c>
      <c r="AV307">
        <v>25045.55</v>
      </c>
      <c r="AW307">
        <v>26010.331999999999</v>
      </c>
      <c r="AX307">
        <v>27041.058000000001</v>
      </c>
      <c r="AY307">
        <v>28420.708999999999</v>
      </c>
      <c r="AZ307">
        <v>29962.351999999999</v>
      </c>
      <c r="BA307">
        <v>31788.16</v>
      </c>
      <c r="BB307">
        <v>34027.07</v>
      </c>
      <c r="BC307">
        <v>36641.5795</v>
      </c>
      <c r="BD307">
        <v>39840.642</v>
      </c>
      <c r="BE307">
        <v>40000</v>
      </c>
      <c r="BF307">
        <v>41343.269999999997</v>
      </c>
      <c r="BG307">
        <v>44702.324999999997</v>
      </c>
      <c r="BH307">
        <v>49392.076000000001</v>
      </c>
      <c r="BI307">
        <v>58375.907500000008</v>
      </c>
      <c r="BJ307">
        <v>70239.999999999985</v>
      </c>
      <c r="BK307">
        <v>81597.5</v>
      </c>
      <c r="BL307">
        <v>118941.322</v>
      </c>
      <c r="BM307">
        <v>163981.24299999949</v>
      </c>
      <c r="BN307">
        <v>270486.4050000002</v>
      </c>
      <c r="BO307">
        <v>446888.37399999989</v>
      </c>
      <c r="BP307">
        <v>2814221.66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 x14ac:dyDescent="0.35">
      <c r="A308">
        <v>363502</v>
      </c>
      <c r="B308" t="s">
        <v>259</v>
      </c>
      <c r="C308" t="s">
        <v>260</v>
      </c>
      <c r="D308" s="1">
        <v>45850</v>
      </c>
      <c r="E308">
        <v>53850</v>
      </c>
      <c r="F308">
        <v>104</v>
      </c>
      <c r="G308" t="s">
        <v>50</v>
      </c>
      <c r="H308" t="s">
        <v>262</v>
      </c>
      <c r="I308" t="s">
        <v>48</v>
      </c>
      <c r="L308">
        <v>1043309505524</v>
      </c>
      <c r="M308">
        <v>20250603</v>
      </c>
      <c r="N308" t="s">
        <v>263</v>
      </c>
      <c r="Q308" t="s">
        <v>55</v>
      </c>
      <c r="R308">
        <v>75640</v>
      </c>
      <c r="T308">
        <v>4255116</v>
      </c>
      <c r="U308">
        <v>6238700725</v>
      </c>
      <c r="V308" t="s">
        <v>352</v>
      </c>
      <c r="W308" t="s">
        <v>53</v>
      </c>
      <c r="X308" t="s">
        <v>307</v>
      </c>
      <c r="Y308" t="s">
        <v>49</v>
      </c>
      <c r="Z308">
        <v>727</v>
      </c>
      <c r="AH308">
        <v>0</v>
      </c>
      <c r="AI308">
        <v>202506</v>
      </c>
      <c r="AK308">
        <v>1</v>
      </c>
      <c r="AL308">
        <v>1</v>
      </c>
      <c r="AO308">
        <v>0</v>
      </c>
      <c r="AP308">
        <v>999</v>
      </c>
      <c r="AQ308">
        <v>430</v>
      </c>
      <c r="AR308">
        <v>430999</v>
      </c>
      <c r="AT308">
        <v>1</v>
      </c>
      <c r="AU308" t="s">
        <v>54</v>
      </c>
      <c r="AV308">
        <v>25045.55</v>
      </c>
      <c r="AW308">
        <v>26010.331999999999</v>
      </c>
      <c r="AX308">
        <v>27041.058000000001</v>
      </c>
      <c r="AY308">
        <v>28420.708999999999</v>
      </c>
      <c r="AZ308">
        <v>29962.351999999999</v>
      </c>
      <c r="BA308">
        <v>31788.16</v>
      </c>
      <c r="BB308">
        <v>34027.07</v>
      </c>
      <c r="BC308">
        <v>36641.5795</v>
      </c>
      <c r="BD308">
        <v>39840.642</v>
      </c>
      <c r="BE308">
        <v>40000</v>
      </c>
      <c r="BF308">
        <v>41343.269999999997</v>
      </c>
      <c r="BG308">
        <v>44702.324999999997</v>
      </c>
      <c r="BH308">
        <v>49392.076000000001</v>
      </c>
      <c r="BI308">
        <v>58375.907500000008</v>
      </c>
      <c r="BJ308">
        <v>70239.999999999985</v>
      </c>
      <c r="BK308">
        <v>81597.5</v>
      </c>
      <c r="BL308">
        <v>118941.322</v>
      </c>
      <c r="BM308">
        <v>163981.24299999949</v>
      </c>
      <c r="BN308">
        <v>270486.4050000002</v>
      </c>
      <c r="BO308">
        <v>446888.37399999989</v>
      </c>
      <c r="BP308">
        <v>2814221.66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 x14ac:dyDescent="0.35">
      <c r="A309">
        <v>363416</v>
      </c>
      <c r="B309" t="s">
        <v>259</v>
      </c>
      <c r="C309" t="s">
        <v>260</v>
      </c>
      <c r="D309" s="1">
        <v>45850</v>
      </c>
      <c r="E309">
        <v>53850</v>
      </c>
      <c r="F309">
        <v>105</v>
      </c>
      <c r="G309" t="s">
        <v>47</v>
      </c>
      <c r="H309" t="s">
        <v>262</v>
      </c>
      <c r="I309" t="s">
        <v>48</v>
      </c>
      <c r="L309">
        <v>1053306287103</v>
      </c>
      <c r="M309">
        <v>20250624</v>
      </c>
      <c r="N309" t="s">
        <v>263</v>
      </c>
      <c r="Q309" t="s">
        <v>55</v>
      </c>
      <c r="R309">
        <v>244405.79</v>
      </c>
      <c r="T309">
        <v>4263360</v>
      </c>
      <c r="U309">
        <v>5982300724</v>
      </c>
      <c r="V309" t="s">
        <v>268</v>
      </c>
      <c r="W309" t="s">
        <v>53</v>
      </c>
      <c r="X309" t="s">
        <v>269</v>
      </c>
      <c r="Y309" t="s">
        <v>49</v>
      </c>
      <c r="Z309">
        <v>1058</v>
      </c>
      <c r="AH309">
        <v>0</v>
      </c>
      <c r="AI309">
        <v>202506</v>
      </c>
      <c r="AJ309" t="s">
        <v>160</v>
      </c>
      <c r="AK309">
        <v>1</v>
      </c>
      <c r="AL309">
        <v>1</v>
      </c>
      <c r="AO309">
        <v>0</v>
      </c>
      <c r="AP309">
        <v>999</v>
      </c>
      <c r="AQ309">
        <v>430</v>
      </c>
      <c r="AR309">
        <v>430999</v>
      </c>
      <c r="AT309">
        <v>1</v>
      </c>
      <c r="AU309" t="s">
        <v>54</v>
      </c>
      <c r="AV309">
        <v>25045.55</v>
      </c>
      <c r="AW309">
        <v>26010.331999999999</v>
      </c>
      <c r="AX309">
        <v>27041.058000000001</v>
      </c>
      <c r="AY309">
        <v>28420.708999999999</v>
      </c>
      <c r="AZ309">
        <v>29962.351999999999</v>
      </c>
      <c r="BA309">
        <v>31788.16</v>
      </c>
      <c r="BB309">
        <v>34027.07</v>
      </c>
      <c r="BC309">
        <v>36641.5795</v>
      </c>
      <c r="BD309">
        <v>39840.642</v>
      </c>
      <c r="BE309">
        <v>40000</v>
      </c>
      <c r="BF309">
        <v>41343.269999999997</v>
      </c>
      <c r="BG309">
        <v>44702.324999999997</v>
      </c>
      <c r="BH309">
        <v>49392.076000000001</v>
      </c>
      <c r="BI309">
        <v>58375.907500000008</v>
      </c>
      <c r="BJ309">
        <v>70239.999999999985</v>
      </c>
      <c r="BK309">
        <v>81597.5</v>
      </c>
      <c r="BL309">
        <v>118941.322</v>
      </c>
      <c r="BM309">
        <v>163981.24299999949</v>
      </c>
      <c r="BN309">
        <v>270486.4050000002</v>
      </c>
      <c r="BO309">
        <v>446888.37399999989</v>
      </c>
      <c r="BP309">
        <v>2814221.66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0</v>
      </c>
      <c r="CJ309">
        <v>0</v>
      </c>
      <c r="CK309">
        <v>0</v>
      </c>
    </row>
    <row r="310" spans="1:89" x14ac:dyDescent="0.35">
      <c r="A310">
        <v>363401</v>
      </c>
      <c r="B310" t="s">
        <v>259</v>
      </c>
      <c r="C310" t="s">
        <v>260</v>
      </c>
      <c r="D310" s="1">
        <v>45850</v>
      </c>
      <c r="E310">
        <v>53850</v>
      </c>
      <c r="F310">
        <v>153</v>
      </c>
      <c r="G310" t="s">
        <v>81</v>
      </c>
      <c r="H310" t="s">
        <v>262</v>
      </c>
      <c r="I310" t="s">
        <v>48</v>
      </c>
      <c r="L310">
        <v>1533300663959</v>
      </c>
      <c r="M310">
        <v>20250616</v>
      </c>
      <c r="N310" t="s">
        <v>263</v>
      </c>
      <c r="Q310" t="s">
        <v>55</v>
      </c>
      <c r="R310">
        <v>34980.22</v>
      </c>
      <c r="T310">
        <v>3721097</v>
      </c>
      <c r="U310">
        <v>10391641213</v>
      </c>
      <c r="V310" t="s">
        <v>270</v>
      </c>
      <c r="W310" t="s">
        <v>53</v>
      </c>
      <c r="X310" t="s">
        <v>83</v>
      </c>
      <c r="Y310" t="s">
        <v>49</v>
      </c>
      <c r="Z310">
        <v>1237</v>
      </c>
      <c r="AH310">
        <v>0</v>
      </c>
      <c r="AI310">
        <v>202506</v>
      </c>
      <c r="AK310">
        <v>1</v>
      </c>
      <c r="AL310">
        <v>1</v>
      </c>
      <c r="AO310">
        <v>0</v>
      </c>
      <c r="AP310">
        <v>462</v>
      </c>
      <c r="AQ310">
        <v>430</v>
      </c>
      <c r="AR310">
        <v>430462</v>
      </c>
      <c r="AS310" t="s">
        <v>58</v>
      </c>
      <c r="AU310" t="s">
        <v>58</v>
      </c>
      <c r="AV310">
        <v>25045.55</v>
      </c>
      <c r="AW310">
        <v>26010.331999999999</v>
      </c>
      <c r="AX310">
        <v>27041.058000000001</v>
      </c>
      <c r="AY310">
        <v>28420.708999999999</v>
      </c>
      <c r="AZ310">
        <v>29962.351999999999</v>
      </c>
      <c r="BA310">
        <v>31788.16</v>
      </c>
      <c r="BB310">
        <v>34027.07</v>
      </c>
      <c r="BC310">
        <v>36641.5795</v>
      </c>
      <c r="BD310">
        <v>39840.642</v>
      </c>
      <c r="BE310">
        <v>40000</v>
      </c>
      <c r="BF310">
        <v>41343.269999999997</v>
      </c>
      <c r="BG310">
        <v>44702.324999999997</v>
      </c>
      <c r="BH310">
        <v>49392.076000000001</v>
      </c>
      <c r="BI310">
        <v>58375.907500000008</v>
      </c>
      <c r="BJ310">
        <v>70239.999999999985</v>
      </c>
      <c r="BK310">
        <v>81597.5</v>
      </c>
      <c r="BL310">
        <v>118941.322</v>
      </c>
      <c r="BM310">
        <v>163981.24299999949</v>
      </c>
      <c r="BN310">
        <v>270486.4050000002</v>
      </c>
      <c r="BO310">
        <v>446888.37399999989</v>
      </c>
      <c r="BP310">
        <v>2814221.66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 x14ac:dyDescent="0.35">
      <c r="A311">
        <v>363399</v>
      </c>
      <c r="B311" t="s">
        <v>259</v>
      </c>
      <c r="C311" t="s">
        <v>260</v>
      </c>
      <c r="D311" s="1">
        <v>45850</v>
      </c>
      <c r="E311">
        <v>53850</v>
      </c>
      <c r="F311">
        <v>121</v>
      </c>
      <c r="G311" t="s">
        <v>73</v>
      </c>
      <c r="H311" t="s">
        <v>262</v>
      </c>
      <c r="I311" t="s">
        <v>48</v>
      </c>
      <c r="L311">
        <v>1213300002968</v>
      </c>
      <c r="M311">
        <v>20250605</v>
      </c>
      <c r="N311" t="s">
        <v>263</v>
      </c>
      <c r="Q311" t="s">
        <v>55</v>
      </c>
      <c r="R311">
        <v>41267.199999999997</v>
      </c>
      <c r="T311">
        <v>4669940</v>
      </c>
      <c r="U311">
        <v>7216060728</v>
      </c>
      <c r="V311" t="s">
        <v>363</v>
      </c>
      <c r="W311" t="s">
        <v>53</v>
      </c>
      <c r="X311" t="s">
        <v>364</v>
      </c>
      <c r="Y311" t="s">
        <v>49</v>
      </c>
      <c r="AH311">
        <v>0</v>
      </c>
      <c r="AI311">
        <v>202506</v>
      </c>
      <c r="AJ311" t="s">
        <v>167</v>
      </c>
      <c r="AK311">
        <v>1</v>
      </c>
      <c r="AL311">
        <v>1</v>
      </c>
      <c r="AO311">
        <v>0</v>
      </c>
      <c r="AP311">
        <v>999</v>
      </c>
      <c r="AQ311">
        <v>430</v>
      </c>
      <c r="AR311">
        <v>430999</v>
      </c>
      <c r="AT311">
        <v>1</v>
      </c>
      <c r="AU311" t="s">
        <v>54</v>
      </c>
      <c r="AV311">
        <v>25045.55</v>
      </c>
      <c r="AW311">
        <v>26010.331999999999</v>
      </c>
      <c r="AX311">
        <v>27041.058000000001</v>
      </c>
      <c r="AY311">
        <v>28420.708999999999</v>
      </c>
      <c r="AZ311">
        <v>29962.351999999999</v>
      </c>
      <c r="BA311">
        <v>31788.16</v>
      </c>
      <c r="BB311">
        <v>34027.07</v>
      </c>
      <c r="BC311">
        <v>36641.5795</v>
      </c>
      <c r="BD311">
        <v>39840.642</v>
      </c>
      <c r="BE311">
        <v>40000</v>
      </c>
      <c r="BF311">
        <v>41343.269999999997</v>
      </c>
      <c r="BG311">
        <v>44702.324999999997</v>
      </c>
      <c r="BH311">
        <v>49392.076000000001</v>
      </c>
      <c r="BI311">
        <v>58375.907500000008</v>
      </c>
      <c r="BJ311">
        <v>70239.999999999985</v>
      </c>
      <c r="BK311">
        <v>81597.5</v>
      </c>
      <c r="BL311">
        <v>118941.322</v>
      </c>
      <c r="BM311">
        <v>163981.24299999949</v>
      </c>
      <c r="BN311">
        <v>270486.4050000002</v>
      </c>
      <c r="BO311">
        <v>446888.37399999989</v>
      </c>
      <c r="BP311">
        <v>2814221.66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 x14ac:dyDescent="0.35">
      <c r="A312">
        <v>363379</v>
      </c>
      <c r="B312" t="s">
        <v>259</v>
      </c>
      <c r="C312" t="s">
        <v>260</v>
      </c>
      <c r="D312" s="1">
        <v>45850</v>
      </c>
      <c r="E312">
        <v>53850</v>
      </c>
      <c r="F312">
        <v>175</v>
      </c>
      <c r="G312" t="s">
        <v>63</v>
      </c>
      <c r="H312" t="s">
        <v>262</v>
      </c>
      <c r="I312" t="s">
        <v>48</v>
      </c>
      <c r="L312">
        <v>1753302203127</v>
      </c>
      <c r="M312">
        <v>20250623</v>
      </c>
      <c r="N312" t="s">
        <v>279</v>
      </c>
      <c r="Q312" t="s">
        <v>55</v>
      </c>
      <c r="R312">
        <v>38981.11</v>
      </c>
      <c r="T312">
        <v>4160138</v>
      </c>
      <c r="U312">
        <v>484200779</v>
      </c>
      <c r="V312" t="s">
        <v>289</v>
      </c>
      <c r="W312" t="s">
        <v>53</v>
      </c>
      <c r="X312" t="s">
        <v>290</v>
      </c>
      <c r="Y312" t="s">
        <v>49</v>
      </c>
      <c r="Z312">
        <v>739</v>
      </c>
      <c r="AH312">
        <v>0</v>
      </c>
      <c r="AI312">
        <v>202506</v>
      </c>
      <c r="AJ312" t="s">
        <v>160</v>
      </c>
      <c r="AK312">
        <v>1</v>
      </c>
      <c r="AL312">
        <v>1</v>
      </c>
      <c r="AM312">
        <v>4160138</v>
      </c>
      <c r="AN312">
        <v>1</v>
      </c>
      <c r="AO312">
        <v>0</v>
      </c>
      <c r="AP312">
        <v>999</v>
      </c>
      <c r="AQ312">
        <v>430</v>
      </c>
      <c r="AR312">
        <v>430999</v>
      </c>
      <c r="AT312">
        <v>1</v>
      </c>
      <c r="AU312" t="s">
        <v>54</v>
      </c>
      <c r="AV312">
        <v>25045.55</v>
      </c>
      <c r="AW312">
        <v>26010.331999999999</v>
      </c>
      <c r="AX312">
        <v>27041.058000000001</v>
      </c>
      <c r="AY312">
        <v>28420.708999999999</v>
      </c>
      <c r="AZ312">
        <v>29962.351999999999</v>
      </c>
      <c r="BA312">
        <v>31788.16</v>
      </c>
      <c r="BB312">
        <v>34027.07</v>
      </c>
      <c r="BC312">
        <v>36641.5795</v>
      </c>
      <c r="BD312">
        <v>39840.642</v>
      </c>
      <c r="BE312">
        <v>40000</v>
      </c>
      <c r="BF312">
        <v>41343.269999999997</v>
      </c>
      <c r="BG312">
        <v>44702.324999999997</v>
      </c>
      <c r="BH312">
        <v>49392.076000000001</v>
      </c>
      <c r="BI312">
        <v>58375.907500000008</v>
      </c>
      <c r="BJ312">
        <v>70239.999999999985</v>
      </c>
      <c r="BK312">
        <v>81597.5</v>
      </c>
      <c r="BL312">
        <v>118941.322</v>
      </c>
      <c r="BM312">
        <v>163981.24299999949</v>
      </c>
      <c r="BN312">
        <v>270486.4050000002</v>
      </c>
      <c r="BO312">
        <v>446888.37399999989</v>
      </c>
      <c r="BP312">
        <v>2814221.66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 x14ac:dyDescent="0.35">
      <c r="A313">
        <v>363361</v>
      </c>
      <c r="B313" t="s">
        <v>259</v>
      </c>
      <c r="C313" t="s">
        <v>260</v>
      </c>
      <c r="D313" s="1">
        <v>45850</v>
      </c>
      <c r="E313">
        <v>53850</v>
      </c>
      <c r="F313">
        <v>171</v>
      </c>
      <c r="G313" t="s">
        <v>72</v>
      </c>
      <c r="H313" t="s">
        <v>262</v>
      </c>
      <c r="I313" t="s">
        <v>48</v>
      </c>
      <c r="L313">
        <v>1713302213842</v>
      </c>
      <c r="M313">
        <v>20250626</v>
      </c>
      <c r="N313" t="s">
        <v>263</v>
      </c>
      <c r="Q313" t="s">
        <v>55</v>
      </c>
      <c r="R313">
        <v>330000</v>
      </c>
      <c r="T313">
        <v>4148505</v>
      </c>
      <c r="U313">
        <v>5848860721</v>
      </c>
      <c r="V313" t="s">
        <v>171</v>
      </c>
      <c r="W313" t="s">
        <v>53</v>
      </c>
      <c r="X313" t="s">
        <v>85</v>
      </c>
      <c r="Y313" t="s">
        <v>49</v>
      </c>
      <c r="Z313">
        <v>1903</v>
      </c>
      <c r="AH313">
        <v>0</v>
      </c>
      <c r="AI313">
        <v>202506</v>
      </c>
      <c r="AJ313" t="s">
        <v>160</v>
      </c>
      <c r="AK313">
        <v>1</v>
      </c>
      <c r="AL313">
        <v>1</v>
      </c>
      <c r="AO313">
        <v>0</v>
      </c>
      <c r="AP313">
        <v>999</v>
      </c>
      <c r="AQ313">
        <v>430</v>
      </c>
      <c r="AR313">
        <v>430999</v>
      </c>
      <c r="AT313">
        <v>1</v>
      </c>
      <c r="AU313" t="s">
        <v>54</v>
      </c>
      <c r="AV313">
        <v>25045.55</v>
      </c>
      <c r="AW313">
        <v>26010.331999999999</v>
      </c>
      <c r="AX313">
        <v>27041.058000000001</v>
      </c>
      <c r="AY313">
        <v>28420.708999999999</v>
      </c>
      <c r="AZ313">
        <v>29962.351999999999</v>
      </c>
      <c r="BA313">
        <v>31788.16</v>
      </c>
      <c r="BB313">
        <v>34027.07</v>
      </c>
      <c r="BC313">
        <v>36641.5795</v>
      </c>
      <c r="BD313">
        <v>39840.642</v>
      </c>
      <c r="BE313">
        <v>40000</v>
      </c>
      <c r="BF313">
        <v>41343.269999999997</v>
      </c>
      <c r="BG313">
        <v>44702.324999999997</v>
      </c>
      <c r="BH313">
        <v>49392.076000000001</v>
      </c>
      <c r="BI313">
        <v>58375.907500000008</v>
      </c>
      <c r="BJ313">
        <v>70239.999999999985</v>
      </c>
      <c r="BK313">
        <v>81597.5</v>
      </c>
      <c r="BL313">
        <v>118941.322</v>
      </c>
      <c r="BM313">
        <v>163981.24299999949</v>
      </c>
      <c r="BN313">
        <v>270486.4050000002</v>
      </c>
      <c r="BO313">
        <v>446888.37399999989</v>
      </c>
      <c r="BP313">
        <v>2814221.66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0</v>
      </c>
      <c r="CK313">
        <v>0</v>
      </c>
    </row>
    <row r="314" spans="1:89" x14ac:dyDescent="0.35">
      <c r="A314">
        <v>363286</v>
      </c>
      <c r="B314" t="s">
        <v>259</v>
      </c>
      <c r="C314" t="s">
        <v>260</v>
      </c>
      <c r="D314" s="1">
        <v>45850</v>
      </c>
      <c r="E314">
        <v>53850</v>
      </c>
      <c r="F314">
        <v>105</v>
      </c>
      <c r="G314" t="s">
        <v>47</v>
      </c>
      <c r="H314" t="s">
        <v>262</v>
      </c>
      <c r="I314" t="s">
        <v>48</v>
      </c>
      <c r="L314">
        <v>1053306287103</v>
      </c>
      <c r="M314">
        <v>20250609</v>
      </c>
      <c r="N314" t="s">
        <v>263</v>
      </c>
      <c r="Q314" t="s">
        <v>55</v>
      </c>
      <c r="R314">
        <v>3816880.07</v>
      </c>
      <c r="T314">
        <v>4263360</v>
      </c>
      <c r="U314">
        <v>5982300724</v>
      </c>
      <c r="V314" t="s">
        <v>268</v>
      </c>
      <c r="W314" t="s">
        <v>53</v>
      </c>
      <c r="X314" t="s">
        <v>269</v>
      </c>
      <c r="Y314" t="s">
        <v>49</v>
      </c>
      <c r="Z314">
        <v>1058</v>
      </c>
      <c r="AH314">
        <v>0</v>
      </c>
      <c r="AI314">
        <v>202506</v>
      </c>
      <c r="AJ314" t="s">
        <v>160</v>
      </c>
      <c r="AK314">
        <v>1</v>
      </c>
      <c r="AL314">
        <v>1</v>
      </c>
      <c r="AO314">
        <v>0</v>
      </c>
      <c r="AP314">
        <v>999</v>
      </c>
      <c r="AQ314">
        <v>430</v>
      </c>
      <c r="AR314">
        <v>430999</v>
      </c>
      <c r="AT314">
        <v>1</v>
      </c>
      <c r="AU314" t="s">
        <v>54</v>
      </c>
      <c r="AV314">
        <v>25045.55</v>
      </c>
      <c r="AW314">
        <v>26010.331999999999</v>
      </c>
      <c r="AX314">
        <v>27041.058000000001</v>
      </c>
      <c r="AY314">
        <v>28420.708999999999</v>
      </c>
      <c r="AZ314">
        <v>29962.351999999999</v>
      </c>
      <c r="BA314">
        <v>31788.16</v>
      </c>
      <c r="BB314">
        <v>34027.07</v>
      </c>
      <c r="BC314">
        <v>36641.5795</v>
      </c>
      <c r="BD314">
        <v>39840.642</v>
      </c>
      <c r="BE314">
        <v>40000</v>
      </c>
      <c r="BF314">
        <v>41343.269999999997</v>
      </c>
      <c r="BG314">
        <v>44702.324999999997</v>
      </c>
      <c r="BH314">
        <v>49392.076000000001</v>
      </c>
      <c r="BI314">
        <v>58375.907500000008</v>
      </c>
      <c r="BJ314">
        <v>70239.999999999985</v>
      </c>
      <c r="BK314">
        <v>81597.5</v>
      </c>
      <c r="BL314">
        <v>118941.322</v>
      </c>
      <c r="BM314">
        <v>163981.24299999949</v>
      </c>
      <c r="BN314">
        <v>270486.4050000002</v>
      </c>
      <c r="BO314">
        <v>446888.37399999989</v>
      </c>
      <c r="BP314">
        <v>2814221.66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</row>
    <row r="315" spans="1:89" x14ac:dyDescent="0.35">
      <c r="A315">
        <v>363145</v>
      </c>
      <c r="B315" t="s">
        <v>259</v>
      </c>
      <c r="C315" t="s">
        <v>260</v>
      </c>
      <c r="D315" s="1">
        <v>45850</v>
      </c>
      <c r="E315">
        <v>53850</v>
      </c>
      <c r="F315">
        <v>128</v>
      </c>
      <c r="G315" t="s">
        <v>91</v>
      </c>
      <c r="H315" t="s">
        <v>262</v>
      </c>
      <c r="I315" t="s">
        <v>48</v>
      </c>
      <c r="L315">
        <v>1283300001665</v>
      </c>
      <c r="M315">
        <v>20250619</v>
      </c>
      <c r="N315" t="s">
        <v>279</v>
      </c>
      <c r="Q315" t="s">
        <v>55</v>
      </c>
      <c r="R315">
        <v>33474.15</v>
      </c>
      <c r="T315">
        <v>4254896</v>
      </c>
      <c r="U315">
        <v>6234730726</v>
      </c>
      <c r="V315" t="s">
        <v>285</v>
      </c>
      <c r="W315" t="s">
        <v>53</v>
      </c>
      <c r="X315" t="s">
        <v>286</v>
      </c>
      <c r="Y315" t="s">
        <v>49</v>
      </c>
      <c r="Z315">
        <v>1919</v>
      </c>
      <c r="AH315">
        <v>0</v>
      </c>
      <c r="AI315">
        <v>202506</v>
      </c>
      <c r="AJ315" t="s">
        <v>160</v>
      </c>
      <c r="AK315">
        <v>1</v>
      </c>
      <c r="AL315">
        <v>1</v>
      </c>
      <c r="AO315">
        <v>0</v>
      </c>
      <c r="AP315">
        <v>999</v>
      </c>
      <c r="AQ315">
        <v>430</v>
      </c>
      <c r="AR315">
        <v>430999</v>
      </c>
      <c r="AT315">
        <v>1</v>
      </c>
      <c r="AU315" t="s">
        <v>54</v>
      </c>
      <c r="AV315">
        <v>25045.55</v>
      </c>
      <c r="AW315">
        <v>26010.331999999999</v>
      </c>
      <c r="AX315">
        <v>27041.058000000001</v>
      </c>
      <c r="AY315">
        <v>28420.708999999999</v>
      </c>
      <c r="AZ315">
        <v>29962.351999999999</v>
      </c>
      <c r="BA315">
        <v>31788.16</v>
      </c>
      <c r="BB315">
        <v>34027.07</v>
      </c>
      <c r="BC315">
        <v>36641.5795</v>
      </c>
      <c r="BD315">
        <v>39840.642</v>
      </c>
      <c r="BE315">
        <v>40000</v>
      </c>
      <c r="BF315">
        <v>41343.269999999997</v>
      </c>
      <c r="BG315">
        <v>44702.324999999997</v>
      </c>
      <c r="BH315">
        <v>49392.076000000001</v>
      </c>
      <c r="BI315">
        <v>58375.907500000008</v>
      </c>
      <c r="BJ315">
        <v>70239.999999999985</v>
      </c>
      <c r="BK315">
        <v>81597.5</v>
      </c>
      <c r="BL315">
        <v>118941.322</v>
      </c>
      <c r="BM315">
        <v>163981.24299999949</v>
      </c>
      <c r="BN315">
        <v>270486.4050000002</v>
      </c>
      <c r="BO315">
        <v>446888.37399999989</v>
      </c>
      <c r="BP315">
        <v>2814221.66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 x14ac:dyDescent="0.35">
      <c r="A316">
        <v>363119</v>
      </c>
      <c r="B316" t="s">
        <v>259</v>
      </c>
      <c r="C316" t="s">
        <v>260</v>
      </c>
      <c r="D316" s="1">
        <v>45850</v>
      </c>
      <c r="E316">
        <v>53850</v>
      </c>
      <c r="F316">
        <v>122</v>
      </c>
      <c r="G316" t="s">
        <v>261</v>
      </c>
      <c r="H316" t="s">
        <v>262</v>
      </c>
      <c r="I316" t="s">
        <v>48</v>
      </c>
      <c r="L316">
        <v>1223300001682</v>
      </c>
      <c r="M316">
        <v>20250623</v>
      </c>
      <c r="N316" t="s">
        <v>263</v>
      </c>
      <c r="Q316" t="s">
        <v>55</v>
      </c>
      <c r="R316">
        <v>81801</v>
      </c>
      <c r="T316">
        <v>3711207</v>
      </c>
      <c r="U316">
        <v>8825020723</v>
      </c>
      <c r="V316" t="s">
        <v>264</v>
      </c>
      <c r="W316" t="s">
        <v>53</v>
      </c>
      <c r="X316" t="s">
        <v>57</v>
      </c>
      <c r="Y316" t="s">
        <v>49</v>
      </c>
      <c r="Z316">
        <v>1696</v>
      </c>
      <c r="AH316">
        <v>0</v>
      </c>
      <c r="AI316">
        <v>202506</v>
      </c>
      <c r="AJ316" t="s">
        <v>160</v>
      </c>
      <c r="AK316">
        <v>1</v>
      </c>
      <c r="AL316">
        <v>1</v>
      </c>
      <c r="AO316">
        <v>0</v>
      </c>
      <c r="AP316">
        <v>620</v>
      </c>
      <c r="AQ316">
        <v>430</v>
      </c>
      <c r="AR316">
        <v>430620</v>
      </c>
      <c r="AS316" t="s">
        <v>58</v>
      </c>
      <c r="AU316" t="s">
        <v>58</v>
      </c>
      <c r="AV316">
        <v>25045.55</v>
      </c>
      <c r="AW316">
        <v>26010.331999999999</v>
      </c>
      <c r="AX316">
        <v>27041.058000000001</v>
      </c>
      <c r="AY316">
        <v>28420.708999999999</v>
      </c>
      <c r="AZ316">
        <v>29962.351999999999</v>
      </c>
      <c r="BA316">
        <v>31788.16</v>
      </c>
      <c r="BB316">
        <v>34027.07</v>
      </c>
      <c r="BC316">
        <v>36641.5795</v>
      </c>
      <c r="BD316">
        <v>39840.642</v>
      </c>
      <c r="BE316">
        <v>40000</v>
      </c>
      <c r="BF316">
        <v>41343.269999999997</v>
      </c>
      <c r="BG316">
        <v>44702.324999999997</v>
      </c>
      <c r="BH316">
        <v>49392.076000000001</v>
      </c>
      <c r="BI316">
        <v>58375.907500000008</v>
      </c>
      <c r="BJ316">
        <v>70239.999999999985</v>
      </c>
      <c r="BK316">
        <v>81597.5</v>
      </c>
      <c r="BL316">
        <v>118941.322</v>
      </c>
      <c r="BM316">
        <v>163981.24299999949</v>
      </c>
      <c r="BN316">
        <v>270486.4050000002</v>
      </c>
      <c r="BO316">
        <v>446888.37399999989</v>
      </c>
      <c r="BP316">
        <v>2814221.66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 x14ac:dyDescent="0.35">
      <c r="A317">
        <v>363110</v>
      </c>
      <c r="B317" t="s">
        <v>259</v>
      </c>
      <c r="C317" t="s">
        <v>260</v>
      </c>
      <c r="D317" s="1">
        <v>45850</v>
      </c>
      <c r="E317">
        <v>53850</v>
      </c>
      <c r="F317">
        <v>122</v>
      </c>
      <c r="G317" t="s">
        <v>261</v>
      </c>
      <c r="H317" t="s">
        <v>262</v>
      </c>
      <c r="I317" t="s">
        <v>48</v>
      </c>
      <c r="L317">
        <v>1223300002128</v>
      </c>
      <c r="M317">
        <v>20250623</v>
      </c>
      <c r="N317" t="s">
        <v>263</v>
      </c>
      <c r="Q317" t="s">
        <v>55</v>
      </c>
      <c r="R317">
        <v>39223</v>
      </c>
      <c r="T317">
        <v>3711207</v>
      </c>
      <c r="U317">
        <v>8825020723</v>
      </c>
      <c r="V317" t="s">
        <v>264</v>
      </c>
      <c r="W317" t="s">
        <v>53</v>
      </c>
      <c r="X317" t="s">
        <v>57</v>
      </c>
      <c r="Y317" t="s">
        <v>49</v>
      </c>
      <c r="Z317">
        <v>1696</v>
      </c>
      <c r="AH317">
        <v>0</v>
      </c>
      <c r="AI317">
        <v>202506</v>
      </c>
      <c r="AJ317" t="s">
        <v>160</v>
      </c>
      <c r="AK317">
        <v>1</v>
      </c>
      <c r="AL317">
        <v>1</v>
      </c>
      <c r="AO317">
        <v>0</v>
      </c>
      <c r="AP317">
        <v>620</v>
      </c>
      <c r="AQ317">
        <v>430</v>
      </c>
      <c r="AR317">
        <v>430620</v>
      </c>
      <c r="AS317" t="s">
        <v>58</v>
      </c>
      <c r="AU317" t="s">
        <v>58</v>
      </c>
      <c r="AV317">
        <v>25045.55</v>
      </c>
      <c r="AW317">
        <v>26010.331999999999</v>
      </c>
      <c r="AX317">
        <v>27041.058000000001</v>
      </c>
      <c r="AY317">
        <v>28420.708999999999</v>
      </c>
      <c r="AZ317">
        <v>29962.351999999999</v>
      </c>
      <c r="BA317">
        <v>31788.16</v>
      </c>
      <c r="BB317">
        <v>34027.07</v>
      </c>
      <c r="BC317">
        <v>36641.5795</v>
      </c>
      <c r="BD317">
        <v>39840.642</v>
      </c>
      <c r="BE317">
        <v>40000</v>
      </c>
      <c r="BF317">
        <v>41343.269999999997</v>
      </c>
      <c r="BG317">
        <v>44702.324999999997</v>
      </c>
      <c r="BH317">
        <v>49392.076000000001</v>
      </c>
      <c r="BI317">
        <v>58375.907500000008</v>
      </c>
      <c r="BJ317">
        <v>70239.999999999985</v>
      </c>
      <c r="BK317">
        <v>81597.5</v>
      </c>
      <c r="BL317">
        <v>118941.322</v>
      </c>
      <c r="BM317">
        <v>163981.24299999949</v>
      </c>
      <c r="BN317">
        <v>270486.4050000002</v>
      </c>
      <c r="BO317">
        <v>446888.37399999989</v>
      </c>
      <c r="BP317">
        <v>2814221.66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 x14ac:dyDescent="0.35">
      <c r="A318">
        <v>363012</v>
      </c>
      <c r="B318" t="s">
        <v>259</v>
      </c>
      <c r="C318" t="s">
        <v>260</v>
      </c>
      <c r="D318" s="1">
        <v>45850</v>
      </c>
      <c r="E318">
        <v>53850</v>
      </c>
      <c r="F318">
        <v>128</v>
      </c>
      <c r="G318" t="s">
        <v>91</v>
      </c>
      <c r="H318" t="s">
        <v>262</v>
      </c>
      <c r="I318" t="s">
        <v>48</v>
      </c>
      <c r="L318">
        <v>1283300003276</v>
      </c>
      <c r="M318">
        <v>20250609</v>
      </c>
      <c r="N318" t="s">
        <v>263</v>
      </c>
      <c r="Q318" t="s">
        <v>55</v>
      </c>
      <c r="R318">
        <v>32391</v>
      </c>
      <c r="T318">
        <v>4804234</v>
      </c>
      <c r="U318">
        <v>7652810727</v>
      </c>
      <c r="V318" t="s">
        <v>332</v>
      </c>
      <c r="W318" t="s">
        <v>53</v>
      </c>
      <c r="X318" t="s">
        <v>333</v>
      </c>
      <c r="Y318" t="s">
        <v>49</v>
      </c>
      <c r="Z318">
        <v>462</v>
      </c>
      <c r="AH318">
        <v>0</v>
      </c>
      <c r="AI318">
        <v>202506</v>
      </c>
      <c r="AK318">
        <v>1</v>
      </c>
      <c r="AL318">
        <v>1</v>
      </c>
      <c r="AO318">
        <v>0</v>
      </c>
      <c r="AP318">
        <v>999</v>
      </c>
      <c r="AQ318">
        <v>430</v>
      </c>
      <c r="AR318">
        <v>430999</v>
      </c>
      <c r="AT318">
        <v>1</v>
      </c>
      <c r="AU318" t="s">
        <v>54</v>
      </c>
      <c r="AV318">
        <v>25045.55</v>
      </c>
      <c r="AW318">
        <v>26010.331999999999</v>
      </c>
      <c r="AX318">
        <v>27041.058000000001</v>
      </c>
      <c r="AY318">
        <v>28420.708999999999</v>
      </c>
      <c r="AZ318">
        <v>29962.351999999999</v>
      </c>
      <c r="BA318">
        <v>31788.16</v>
      </c>
      <c r="BB318">
        <v>34027.07</v>
      </c>
      <c r="BC318">
        <v>36641.5795</v>
      </c>
      <c r="BD318">
        <v>39840.642</v>
      </c>
      <c r="BE318">
        <v>40000</v>
      </c>
      <c r="BF318">
        <v>41343.269999999997</v>
      </c>
      <c r="BG318">
        <v>44702.324999999997</v>
      </c>
      <c r="BH318">
        <v>49392.076000000001</v>
      </c>
      <c r="BI318">
        <v>58375.907500000008</v>
      </c>
      <c r="BJ318">
        <v>70239.999999999985</v>
      </c>
      <c r="BK318">
        <v>81597.5</v>
      </c>
      <c r="BL318">
        <v>118941.322</v>
      </c>
      <c r="BM318">
        <v>163981.24299999949</v>
      </c>
      <c r="BN318">
        <v>270486.4050000002</v>
      </c>
      <c r="BO318">
        <v>446888.37399999989</v>
      </c>
      <c r="BP318">
        <v>2814221.66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 x14ac:dyDescent="0.35">
      <c r="A319">
        <v>363006</v>
      </c>
      <c r="B319" t="s">
        <v>259</v>
      </c>
      <c r="C319" t="s">
        <v>260</v>
      </c>
      <c r="D319" s="1">
        <v>45850</v>
      </c>
      <c r="E319">
        <v>53850</v>
      </c>
      <c r="F319">
        <v>153</v>
      </c>
      <c r="G319" t="s">
        <v>81</v>
      </c>
      <c r="H319" t="s">
        <v>262</v>
      </c>
      <c r="I319" t="s">
        <v>48</v>
      </c>
      <c r="L319">
        <v>1533300663959</v>
      </c>
      <c r="M319">
        <v>20250603</v>
      </c>
      <c r="N319" t="s">
        <v>263</v>
      </c>
      <c r="Q319" t="s">
        <v>55</v>
      </c>
      <c r="R319">
        <v>36740.75</v>
      </c>
      <c r="T319">
        <v>3721097</v>
      </c>
      <c r="U319">
        <v>10391641213</v>
      </c>
      <c r="V319" t="s">
        <v>270</v>
      </c>
      <c r="W319" t="s">
        <v>53</v>
      </c>
      <c r="X319" t="s">
        <v>83</v>
      </c>
      <c r="Y319" t="s">
        <v>49</v>
      </c>
      <c r="Z319">
        <v>1237</v>
      </c>
      <c r="AH319">
        <v>0</v>
      </c>
      <c r="AI319">
        <v>202506</v>
      </c>
      <c r="AK319">
        <v>1</v>
      </c>
      <c r="AL319">
        <v>1</v>
      </c>
      <c r="AO319">
        <v>0</v>
      </c>
      <c r="AP319">
        <v>462</v>
      </c>
      <c r="AQ319">
        <v>430</v>
      </c>
      <c r="AR319">
        <v>430462</v>
      </c>
      <c r="AS319" t="s">
        <v>58</v>
      </c>
      <c r="AU319" t="s">
        <v>58</v>
      </c>
      <c r="AV319">
        <v>25045.55</v>
      </c>
      <c r="AW319">
        <v>26010.331999999999</v>
      </c>
      <c r="AX319">
        <v>27041.058000000001</v>
      </c>
      <c r="AY319">
        <v>28420.708999999999</v>
      </c>
      <c r="AZ319">
        <v>29962.351999999999</v>
      </c>
      <c r="BA319">
        <v>31788.16</v>
      </c>
      <c r="BB319">
        <v>34027.07</v>
      </c>
      <c r="BC319">
        <v>36641.5795</v>
      </c>
      <c r="BD319">
        <v>39840.642</v>
      </c>
      <c r="BE319">
        <v>40000</v>
      </c>
      <c r="BF319">
        <v>41343.269999999997</v>
      </c>
      <c r="BG319">
        <v>44702.324999999997</v>
      </c>
      <c r="BH319">
        <v>49392.076000000001</v>
      </c>
      <c r="BI319">
        <v>58375.907500000008</v>
      </c>
      <c r="BJ319">
        <v>70239.999999999985</v>
      </c>
      <c r="BK319">
        <v>81597.5</v>
      </c>
      <c r="BL319">
        <v>118941.322</v>
      </c>
      <c r="BM319">
        <v>163981.24299999949</v>
      </c>
      <c r="BN319">
        <v>270486.4050000002</v>
      </c>
      <c r="BO319">
        <v>446888.37399999989</v>
      </c>
      <c r="BP319">
        <v>2814221.66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 x14ac:dyDescent="0.35">
      <c r="A320">
        <v>362914</v>
      </c>
      <c r="B320" t="s">
        <v>259</v>
      </c>
      <c r="C320" t="s">
        <v>260</v>
      </c>
      <c r="D320" s="1">
        <v>45850</v>
      </c>
      <c r="E320">
        <v>53850</v>
      </c>
      <c r="F320">
        <v>267</v>
      </c>
      <c r="G320" t="s">
        <v>163</v>
      </c>
      <c r="H320" t="s">
        <v>262</v>
      </c>
      <c r="I320" t="s">
        <v>48</v>
      </c>
      <c r="L320">
        <v>2673300010274</v>
      </c>
      <c r="M320">
        <v>20250603</v>
      </c>
      <c r="N320" t="s">
        <v>263</v>
      </c>
      <c r="Q320" t="s">
        <v>55</v>
      </c>
      <c r="R320">
        <v>37781.19</v>
      </c>
      <c r="T320">
        <v>4992646</v>
      </c>
      <c r="U320">
        <v>3152440792</v>
      </c>
      <c r="V320" t="s">
        <v>349</v>
      </c>
      <c r="W320" t="s">
        <v>53</v>
      </c>
      <c r="X320" t="s">
        <v>246</v>
      </c>
      <c r="Y320" t="s">
        <v>49</v>
      </c>
      <c r="Z320">
        <v>1627</v>
      </c>
      <c r="AH320">
        <v>0</v>
      </c>
      <c r="AI320">
        <v>202506</v>
      </c>
      <c r="AJ320" t="s">
        <v>160</v>
      </c>
      <c r="AK320">
        <v>1</v>
      </c>
      <c r="AL320">
        <v>1</v>
      </c>
      <c r="AO320">
        <v>0</v>
      </c>
      <c r="AP320">
        <v>999</v>
      </c>
      <c r="AQ320">
        <v>430</v>
      </c>
      <c r="AR320">
        <v>430999</v>
      </c>
      <c r="AT320">
        <v>1</v>
      </c>
      <c r="AU320" t="s">
        <v>54</v>
      </c>
      <c r="AV320">
        <v>25045.55</v>
      </c>
      <c r="AW320">
        <v>26010.331999999999</v>
      </c>
      <c r="AX320">
        <v>27041.058000000001</v>
      </c>
      <c r="AY320">
        <v>28420.708999999999</v>
      </c>
      <c r="AZ320">
        <v>29962.351999999999</v>
      </c>
      <c r="BA320">
        <v>31788.16</v>
      </c>
      <c r="BB320">
        <v>34027.07</v>
      </c>
      <c r="BC320">
        <v>36641.5795</v>
      </c>
      <c r="BD320">
        <v>39840.642</v>
      </c>
      <c r="BE320">
        <v>40000</v>
      </c>
      <c r="BF320">
        <v>41343.269999999997</v>
      </c>
      <c r="BG320">
        <v>44702.324999999997</v>
      </c>
      <c r="BH320">
        <v>49392.076000000001</v>
      </c>
      <c r="BI320">
        <v>58375.907500000008</v>
      </c>
      <c r="BJ320">
        <v>70239.999999999985</v>
      </c>
      <c r="BK320">
        <v>81597.5</v>
      </c>
      <c r="BL320">
        <v>118941.322</v>
      </c>
      <c r="BM320">
        <v>163981.24299999949</v>
      </c>
      <c r="BN320">
        <v>270486.4050000002</v>
      </c>
      <c r="BO320">
        <v>446888.37399999989</v>
      </c>
      <c r="BP320">
        <v>2814221.66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 x14ac:dyDescent="0.35">
      <c r="A321">
        <v>362845</v>
      </c>
      <c r="B321" t="s">
        <v>259</v>
      </c>
      <c r="C321" t="s">
        <v>260</v>
      </c>
      <c r="D321" s="1">
        <v>45850</v>
      </c>
      <c r="E321">
        <v>53850</v>
      </c>
      <c r="F321">
        <v>149</v>
      </c>
      <c r="G321" t="s">
        <v>82</v>
      </c>
      <c r="H321" t="s">
        <v>262</v>
      </c>
      <c r="I321" t="s">
        <v>48</v>
      </c>
      <c r="L321">
        <v>1493300663906</v>
      </c>
      <c r="M321">
        <v>20250620</v>
      </c>
      <c r="N321" t="s">
        <v>263</v>
      </c>
      <c r="Q321" t="s">
        <v>55</v>
      </c>
      <c r="R321">
        <v>120000</v>
      </c>
      <c r="T321">
        <v>4178286</v>
      </c>
      <c r="U321" t="s">
        <v>361</v>
      </c>
      <c r="V321" t="s">
        <v>362</v>
      </c>
      <c r="W321" t="s">
        <v>64</v>
      </c>
      <c r="X321" t="s">
        <v>94</v>
      </c>
      <c r="Y321" t="s">
        <v>49</v>
      </c>
      <c r="Z321">
        <v>1910</v>
      </c>
      <c r="AH321">
        <v>0</v>
      </c>
      <c r="AI321">
        <v>202506</v>
      </c>
      <c r="AJ321" t="s">
        <v>61</v>
      </c>
      <c r="AK321">
        <v>0</v>
      </c>
      <c r="AL321">
        <v>1</v>
      </c>
      <c r="AM321">
        <v>4178286</v>
      </c>
      <c r="AN321">
        <v>1</v>
      </c>
      <c r="AO321">
        <v>0</v>
      </c>
      <c r="AP321">
        <v>999</v>
      </c>
      <c r="AQ321">
        <v>615</v>
      </c>
      <c r="AR321">
        <v>615999</v>
      </c>
      <c r="AT321">
        <v>1</v>
      </c>
      <c r="AU321" t="s">
        <v>58</v>
      </c>
      <c r="AV321">
        <v>25045.55</v>
      </c>
      <c r="AW321">
        <v>26010.331999999999</v>
      </c>
      <c r="AX321">
        <v>27041.058000000001</v>
      </c>
      <c r="AY321">
        <v>28420.708999999999</v>
      </c>
      <c r="AZ321">
        <v>29962.351999999999</v>
      </c>
      <c r="BA321">
        <v>31788.16</v>
      </c>
      <c r="BB321">
        <v>34027.07</v>
      </c>
      <c r="BC321">
        <v>36641.5795</v>
      </c>
      <c r="BD321">
        <v>39840.642</v>
      </c>
      <c r="BE321">
        <v>40000</v>
      </c>
      <c r="BF321">
        <v>41343.269999999997</v>
      </c>
      <c r="BG321">
        <v>44702.324999999997</v>
      </c>
      <c r="BH321">
        <v>49392.076000000001</v>
      </c>
      <c r="BI321">
        <v>58375.907500000008</v>
      </c>
      <c r="BJ321">
        <v>70239.999999999985</v>
      </c>
      <c r="BK321">
        <v>81597.5</v>
      </c>
      <c r="BL321">
        <v>118941.322</v>
      </c>
      <c r="BM321">
        <v>163981.24299999949</v>
      </c>
      <c r="BN321">
        <v>270486.4050000002</v>
      </c>
      <c r="BO321">
        <v>446888.37399999989</v>
      </c>
      <c r="BP321">
        <v>2814221.66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0</v>
      </c>
      <c r="CI321">
        <v>0</v>
      </c>
      <c r="CJ321">
        <v>0</v>
      </c>
      <c r="CK321">
        <v>0</v>
      </c>
    </row>
    <row r="322" spans="1:89" x14ac:dyDescent="0.35">
      <c r="A322">
        <v>362615</v>
      </c>
      <c r="B322" t="s">
        <v>259</v>
      </c>
      <c r="C322" t="s">
        <v>260</v>
      </c>
      <c r="D322" s="1">
        <v>45850</v>
      </c>
      <c r="E322">
        <v>53850</v>
      </c>
      <c r="F322">
        <v>153</v>
      </c>
      <c r="G322" t="s">
        <v>81</v>
      </c>
      <c r="H322" t="s">
        <v>262</v>
      </c>
      <c r="I322" t="s">
        <v>48</v>
      </c>
      <c r="L322">
        <v>1533300662905</v>
      </c>
      <c r="M322">
        <v>20250609</v>
      </c>
      <c r="N322" t="s">
        <v>279</v>
      </c>
      <c r="Q322" t="s">
        <v>55</v>
      </c>
      <c r="R322">
        <v>27000</v>
      </c>
      <c r="T322">
        <v>4165339</v>
      </c>
      <c r="U322">
        <v>5612950633</v>
      </c>
      <c r="V322" t="s">
        <v>350</v>
      </c>
      <c r="W322" t="s">
        <v>53</v>
      </c>
      <c r="X322" t="s">
        <v>351</v>
      </c>
      <c r="Y322" t="s">
        <v>49</v>
      </c>
      <c r="Z322">
        <v>982</v>
      </c>
      <c r="AH322">
        <v>0</v>
      </c>
      <c r="AI322">
        <v>202506</v>
      </c>
      <c r="AJ322" t="s">
        <v>61</v>
      </c>
      <c r="AK322">
        <v>0</v>
      </c>
      <c r="AL322">
        <v>1</v>
      </c>
      <c r="AO322">
        <v>0</v>
      </c>
      <c r="AP322">
        <v>236</v>
      </c>
      <c r="AQ322">
        <v>430</v>
      </c>
      <c r="AR322">
        <v>430236</v>
      </c>
      <c r="AS322" t="s">
        <v>58</v>
      </c>
      <c r="AU322" t="s">
        <v>58</v>
      </c>
      <c r="AV322">
        <v>25045.55</v>
      </c>
      <c r="AW322">
        <v>26010.331999999999</v>
      </c>
      <c r="AX322">
        <v>27041.058000000001</v>
      </c>
      <c r="AY322">
        <v>28420.708999999999</v>
      </c>
      <c r="AZ322">
        <v>29962.351999999999</v>
      </c>
      <c r="BA322">
        <v>31788.16</v>
      </c>
      <c r="BB322">
        <v>34027.07</v>
      </c>
      <c r="BC322">
        <v>36641.5795</v>
      </c>
      <c r="BD322">
        <v>39840.642</v>
      </c>
      <c r="BE322">
        <v>40000</v>
      </c>
      <c r="BF322">
        <v>41343.269999999997</v>
      </c>
      <c r="BG322">
        <v>44702.324999999997</v>
      </c>
      <c r="BH322">
        <v>49392.076000000001</v>
      </c>
      <c r="BI322">
        <v>58375.907500000008</v>
      </c>
      <c r="BJ322">
        <v>70239.999999999985</v>
      </c>
      <c r="BK322">
        <v>81597.5</v>
      </c>
      <c r="BL322">
        <v>118941.322</v>
      </c>
      <c r="BM322">
        <v>163981.24299999949</v>
      </c>
      <c r="BN322">
        <v>270486.4050000002</v>
      </c>
      <c r="BO322">
        <v>446888.37399999989</v>
      </c>
      <c r="BP322">
        <v>2814221.66</v>
      </c>
      <c r="BQ322">
        <v>1</v>
      </c>
      <c r="BR322">
        <v>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 x14ac:dyDescent="0.35">
      <c r="A323">
        <v>362539</v>
      </c>
      <c r="B323" t="s">
        <v>259</v>
      </c>
      <c r="C323" t="s">
        <v>260</v>
      </c>
      <c r="D323" s="1">
        <v>45850</v>
      </c>
      <c r="E323">
        <v>53850</v>
      </c>
      <c r="F323">
        <v>175</v>
      </c>
      <c r="G323" t="s">
        <v>63</v>
      </c>
      <c r="H323" t="s">
        <v>262</v>
      </c>
      <c r="I323" t="s">
        <v>48</v>
      </c>
      <c r="L323">
        <v>1753302203127</v>
      </c>
      <c r="M323">
        <v>20250620</v>
      </c>
      <c r="N323" t="s">
        <v>279</v>
      </c>
      <c r="Q323" t="s">
        <v>55</v>
      </c>
      <c r="R323">
        <v>42395.77</v>
      </c>
      <c r="T323">
        <v>4160138</v>
      </c>
      <c r="U323">
        <v>484200779</v>
      </c>
      <c r="V323" t="s">
        <v>289</v>
      </c>
      <c r="W323" t="s">
        <v>53</v>
      </c>
      <c r="X323" t="s">
        <v>290</v>
      </c>
      <c r="Y323" t="s">
        <v>49</v>
      </c>
      <c r="Z323">
        <v>739</v>
      </c>
      <c r="AH323">
        <v>0</v>
      </c>
      <c r="AI323">
        <v>202506</v>
      </c>
      <c r="AJ323" t="s">
        <v>160</v>
      </c>
      <c r="AK323">
        <v>1</v>
      </c>
      <c r="AL323">
        <v>1</v>
      </c>
      <c r="AM323">
        <v>4160138</v>
      </c>
      <c r="AN323">
        <v>1</v>
      </c>
      <c r="AO323">
        <v>0</v>
      </c>
      <c r="AP323">
        <v>999</v>
      </c>
      <c r="AQ323">
        <v>430</v>
      </c>
      <c r="AR323">
        <v>430999</v>
      </c>
      <c r="AT323">
        <v>1</v>
      </c>
      <c r="AU323" t="s">
        <v>54</v>
      </c>
      <c r="AV323">
        <v>25045.55</v>
      </c>
      <c r="AW323">
        <v>26010.331999999999</v>
      </c>
      <c r="AX323">
        <v>27041.058000000001</v>
      </c>
      <c r="AY323">
        <v>28420.708999999999</v>
      </c>
      <c r="AZ323">
        <v>29962.351999999999</v>
      </c>
      <c r="BA323">
        <v>31788.16</v>
      </c>
      <c r="BB323">
        <v>34027.07</v>
      </c>
      <c r="BC323">
        <v>36641.5795</v>
      </c>
      <c r="BD323">
        <v>39840.642</v>
      </c>
      <c r="BE323">
        <v>40000</v>
      </c>
      <c r="BF323">
        <v>41343.269999999997</v>
      </c>
      <c r="BG323">
        <v>44702.324999999997</v>
      </c>
      <c r="BH323">
        <v>49392.076000000001</v>
      </c>
      <c r="BI323">
        <v>58375.907500000008</v>
      </c>
      <c r="BJ323">
        <v>70239.999999999985</v>
      </c>
      <c r="BK323">
        <v>81597.5</v>
      </c>
      <c r="BL323">
        <v>118941.322</v>
      </c>
      <c r="BM323">
        <v>163981.24299999949</v>
      </c>
      <c r="BN323">
        <v>270486.4050000002</v>
      </c>
      <c r="BO323">
        <v>446888.37399999989</v>
      </c>
      <c r="BP323">
        <v>2814221.66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 x14ac:dyDescent="0.35">
      <c r="A324">
        <v>362452</v>
      </c>
      <c r="B324" t="s">
        <v>259</v>
      </c>
      <c r="C324" t="s">
        <v>260</v>
      </c>
      <c r="D324" s="1">
        <v>45850</v>
      </c>
      <c r="E324">
        <v>53850</v>
      </c>
      <c r="F324">
        <v>182</v>
      </c>
      <c r="G324" t="s">
        <v>365</v>
      </c>
      <c r="H324" t="s">
        <v>262</v>
      </c>
      <c r="I324" t="s">
        <v>48</v>
      </c>
      <c r="L324">
        <v>1823300173303</v>
      </c>
      <c r="M324">
        <v>20250611</v>
      </c>
      <c r="N324" t="s">
        <v>263</v>
      </c>
      <c r="Q324" t="s">
        <v>55</v>
      </c>
      <c r="R324">
        <v>500000</v>
      </c>
      <c r="T324">
        <v>3024732</v>
      </c>
      <c r="U324">
        <v>1710570738</v>
      </c>
      <c r="V324" t="s">
        <v>366</v>
      </c>
      <c r="W324" t="s">
        <v>53</v>
      </c>
      <c r="X324" t="s">
        <v>233</v>
      </c>
      <c r="Y324" t="s">
        <v>49</v>
      </c>
      <c r="Z324">
        <v>1627</v>
      </c>
      <c r="AH324">
        <v>0</v>
      </c>
      <c r="AI324">
        <v>202506</v>
      </c>
      <c r="AK324">
        <v>1</v>
      </c>
      <c r="AL324">
        <v>1</v>
      </c>
      <c r="AO324">
        <v>0</v>
      </c>
      <c r="AP324">
        <v>999</v>
      </c>
      <c r="AQ324">
        <v>430</v>
      </c>
      <c r="AR324">
        <v>430999</v>
      </c>
      <c r="AT324">
        <v>1</v>
      </c>
      <c r="AU324" t="s">
        <v>54</v>
      </c>
      <c r="AV324">
        <v>25045.55</v>
      </c>
      <c r="AW324">
        <v>26010.331999999999</v>
      </c>
      <c r="AX324">
        <v>27041.058000000001</v>
      </c>
      <c r="AY324">
        <v>28420.708999999999</v>
      </c>
      <c r="AZ324">
        <v>29962.351999999999</v>
      </c>
      <c r="BA324">
        <v>31788.16</v>
      </c>
      <c r="BB324">
        <v>34027.07</v>
      </c>
      <c r="BC324">
        <v>36641.5795</v>
      </c>
      <c r="BD324">
        <v>39840.642</v>
      </c>
      <c r="BE324">
        <v>40000</v>
      </c>
      <c r="BF324">
        <v>41343.269999999997</v>
      </c>
      <c r="BG324">
        <v>44702.324999999997</v>
      </c>
      <c r="BH324">
        <v>49392.076000000001</v>
      </c>
      <c r="BI324">
        <v>58375.907500000008</v>
      </c>
      <c r="BJ324">
        <v>70239.999999999985</v>
      </c>
      <c r="BK324">
        <v>81597.5</v>
      </c>
      <c r="BL324">
        <v>118941.322</v>
      </c>
      <c r="BM324">
        <v>163981.24299999949</v>
      </c>
      <c r="BN324">
        <v>270486.4050000002</v>
      </c>
      <c r="BO324">
        <v>446888.37399999989</v>
      </c>
      <c r="BP324">
        <v>2814221.66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0</v>
      </c>
    </row>
    <row r="325" spans="1:89" x14ac:dyDescent="0.35">
      <c r="A325">
        <v>362321</v>
      </c>
      <c r="B325" t="s">
        <v>259</v>
      </c>
      <c r="C325" t="s">
        <v>260</v>
      </c>
      <c r="D325" s="1">
        <v>45850</v>
      </c>
      <c r="E325">
        <v>53850</v>
      </c>
      <c r="F325">
        <v>267</v>
      </c>
      <c r="G325" t="s">
        <v>163</v>
      </c>
      <c r="H325" t="s">
        <v>262</v>
      </c>
      <c r="I325" t="s">
        <v>48</v>
      </c>
      <c r="L325">
        <v>2673300010274</v>
      </c>
      <c r="M325">
        <v>20250603</v>
      </c>
      <c r="N325" t="s">
        <v>263</v>
      </c>
      <c r="Q325" t="s">
        <v>55</v>
      </c>
      <c r="R325">
        <v>76229.399999999994</v>
      </c>
      <c r="T325">
        <v>4992646</v>
      </c>
      <c r="U325">
        <v>3152440792</v>
      </c>
      <c r="V325" t="s">
        <v>349</v>
      </c>
      <c r="W325" t="s">
        <v>53</v>
      </c>
      <c r="X325" t="s">
        <v>246</v>
      </c>
      <c r="Y325" t="s">
        <v>49</v>
      </c>
      <c r="Z325">
        <v>1627</v>
      </c>
      <c r="AH325">
        <v>0</v>
      </c>
      <c r="AI325">
        <v>202506</v>
      </c>
      <c r="AJ325" t="s">
        <v>160</v>
      </c>
      <c r="AK325">
        <v>1</v>
      </c>
      <c r="AL325">
        <v>1</v>
      </c>
      <c r="AO325">
        <v>0</v>
      </c>
      <c r="AP325">
        <v>999</v>
      </c>
      <c r="AQ325">
        <v>430</v>
      </c>
      <c r="AR325">
        <v>430999</v>
      </c>
      <c r="AT325">
        <v>1</v>
      </c>
      <c r="AU325" t="s">
        <v>54</v>
      </c>
      <c r="AV325">
        <v>25045.55</v>
      </c>
      <c r="AW325">
        <v>26010.331999999999</v>
      </c>
      <c r="AX325">
        <v>27041.058000000001</v>
      </c>
      <c r="AY325">
        <v>28420.708999999999</v>
      </c>
      <c r="AZ325">
        <v>29962.351999999999</v>
      </c>
      <c r="BA325">
        <v>31788.16</v>
      </c>
      <c r="BB325">
        <v>34027.07</v>
      </c>
      <c r="BC325">
        <v>36641.5795</v>
      </c>
      <c r="BD325">
        <v>39840.642</v>
      </c>
      <c r="BE325">
        <v>40000</v>
      </c>
      <c r="BF325">
        <v>41343.269999999997</v>
      </c>
      <c r="BG325">
        <v>44702.324999999997</v>
      </c>
      <c r="BH325">
        <v>49392.076000000001</v>
      </c>
      <c r="BI325">
        <v>58375.907500000008</v>
      </c>
      <c r="BJ325">
        <v>70239.999999999985</v>
      </c>
      <c r="BK325">
        <v>81597.5</v>
      </c>
      <c r="BL325">
        <v>118941.322</v>
      </c>
      <c r="BM325">
        <v>163981.24299999949</v>
      </c>
      <c r="BN325">
        <v>270486.4050000002</v>
      </c>
      <c r="BO325">
        <v>446888.37399999989</v>
      </c>
      <c r="BP325">
        <v>2814221.66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 x14ac:dyDescent="0.35">
      <c r="D326" s="1"/>
    </row>
    <row r="327" spans="1:89" x14ac:dyDescent="0.35">
      <c r="D327" s="1"/>
    </row>
    <row r="328" spans="1:89" x14ac:dyDescent="0.35">
      <c r="D328" s="1"/>
    </row>
    <row r="329" spans="1:89" x14ac:dyDescent="0.35">
      <c r="D329" s="1"/>
    </row>
    <row r="330" spans="1:89" x14ac:dyDescent="0.35">
      <c r="D330" s="1"/>
    </row>
    <row r="331" spans="1:89" x14ac:dyDescent="0.35">
      <c r="D331" s="1"/>
    </row>
    <row r="332" spans="1:89" x14ac:dyDescent="0.35">
      <c r="D332" s="1"/>
    </row>
    <row r="333" spans="1:89" x14ac:dyDescent="0.35">
      <c r="D333" s="1"/>
    </row>
    <row r="334" spans="1:89" x14ac:dyDescent="0.35">
      <c r="D334" s="1"/>
    </row>
    <row r="335" spans="1:89" x14ac:dyDescent="0.35">
      <c r="D335" s="1"/>
    </row>
    <row r="336" spans="1:89" x14ac:dyDescent="0.35">
      <c r="D336" s="1"/>
    </row>
    <row r="337" spans="4:4" x14ac:dyDescent="0.35">
      <c r="D337" s="1"/>
    </row>
    <row r="338" spans="4:4" x14ac:dyDescent="0.35">
      <c r="D338" s="1"/>
    </row>
    <row r="339" spans="4:4" x14ac:dyDescent="0.35">
      <c r="D339" s="1"/>
    </row>
    <row r="340" spans="4:4" x14ac:dyDescent="0.35">
      <c r="D340" s="1"/>
    </row>
    <row r="341" spans="4:4" x14ac:dyDescent="0.35">
      <c r="D341" s="1"/>
    </row>
    <row r="342" spans="4:4" x14ac:dyDescent="0.35">
      <c r="D342" s="1"/>
    </row>
    <row r="343" spans="4:4" x14ac:dyDescent="0.35">
      <c r="D343" s="1"/>
    </row>
    <row r="344" spans="4:4" x14ac:dyDescent="0.35">
      <c r="D344" s="1"/>
    </row>
    <row r="345" spans="4:4" x14ac:dyDescent="0.35">
      <c r="D345" s="1"/>
    </row>
    <row r="346" spans="4:4" x14ac:dyDescent="0.35">
      <c r="D346" s="1"/>
    </row>
    <row r="347" spans="4:4" x14ac:dyDescent="0.35">
      <c r="D347" s="1"/>
    </row>
    <row r="348" spans="4:4" x14ac:dyDescent="0.35">
      <c r="D348" s="1"/>
    </row>
    <row r="349" spans="4:4" x14ac:dyDescent="0.35">
      <c r="D349" s="1"/>
    </row>
    <row r="350" spans="4:4" x14ac:dyDescent="0.35">
      <c r="D350" s="1"/>
    </row>
    <row r="351" spans="4:4" x14ac:dyDescent="0.35">
      <c r="D351" s="1"/>
    </row>
    <row r="352" spans="4:4" x14ac:dyDescent="0.35">
      <c r="D352" s="1"/>
    </row>
    <row r="353" spans="4:4" x14ac:dyDescent="0.35">
      <c r="D353" s="1"/>
    </row>
    <row r="354" spans="4:4" x14ac:dyDescent="0.35">
      <c r="D354" s="1"/>
    </row>
    <row r="355" spans="4:4" x14ac:dyDescent="0.35">
      <c r="D355" s="1"/>
    </row>
    <row r="356" spans="4:4" x14ac:dyDescent="0.35">
      <c r="D356" s="1"/>
    </row>
    <row r="357" spans="4:4" x14ac:dyDescent="0.35">
      <c r="D357" s="1"/>
    </row>
    <row r="358" spans="4:4" x14ac:dyDescent="0.35">
      <c r="D358" s="1"/>
    </row>
    <row r="359" spans="4:4" x14ac:dyDescent="0.35">
      <c r="D359" s="1"/>
    </row>
    <row r="360" spans="4:4" x14ac:dyDescent="0.35">
      <c r="D360" s="1"/>
    </row>
    <row r="361" spans="4:4" x14ac:dyDescent="0.35">
      <c r="D361" s="1"/>
    </row>
    <row r="362" spans="4:4" x14ac:dyDescent="0.35">
      <c r="D362" s="1"/>
    </row>
    <row r="363" spans="4:4" x14ac:dyDescent="0.35">
      <c r="D363" s="1"/>
    </row>
    <row r="364" spans="4:4" x14ac:dyDescent="0.35">
      <c r="D364" s="1"/>
    </row>
    <row r="365" spans="4:4" x14ac:dyDescent="0.35">
      <c r="D365" s="1"/>
    </row>
    <row r="366" spans="4:4" x14ac:dyDescent="0.35">
      <c r="D366" s="1"/>
    </row>
    <row r="367" spans="4:4" x14ac:dyDescent="0.35">
      <c r="D367" s="1"/>
    </row>
    <row r="368" spans="4:4" x14ac:dyDescent="0.35">
      <c r="D368" s="1"/>
    </row>
    <row r="369" spans="4:4" x14ac:dyDescent="0.35">
      <c r="D369" s="1"/>
    </row>
    <row r="370" spans="4:4" x14ac:dyDescent="0.35">
      <c r="D370" s="1"/>
    </row>
    <row r="371" spans="4:4" x14ac:dyDescent="0.35">
      <c r="D371" s="1"/>
    </row>
    <row r="372" spans="4:4" x14ac:dyDescent="0.35">
      <c r="D372" s="1"/>
    </row>
    <row r="373" spans="4:4" x14ac:dyDescent="0.35">
      <c r="D373" s="1"/>
    </row>
    <row r="374" spans="4:4" x14ac:dyDescent="0.35">
      <c r="D374" s="1"/>
    </row>
    <row r="375" spans="4:4" x14ac:dyDescent="0.35">
      <c r="D375" s="1"/>
    </row>
    <row r="376" spans="4:4" x14ac:dyDescent="0.35">
      <c r="D376" s="1"/>
    </row>
    <row r="377" spans="4:4" x14ac:dyDescent="0.35">
      <c r="D377" s="1"/>
    </row>
    <row r="378" spans="4:4" x14ac:dyDescent="0.35">
      <c r="D378" s="1"/>
    </row>
    <row r="379" spans="4:4" x14ac:dyDescent="0.35">
      <c r="D379" s="1"/>
    </row>
    <row r="380" spans="4:4" x14ac:dyDescent="0.35">
      <c r="D380" s="1"/>
    </row>
    <row r="381" spans="4:4" x14ac:dyDescent="0.35">
      <c r="D381" s="1"/>
    </row>
    <row r="382" spans="4:4" x14ac:dyDescent="0.35">
      <c r="D382" s="1"/>
    </row>
    <row r="383" spans="4:4" x14ac:dyDescent="0.35">
      <c r="D383" s="1"/>
    </row>
    <row r="384" spans="4:4" x14ac:dyDescent="0.35">
      <c r="D384" s="1"/>
    </row>
    <row r="385" spans="4:4" x14ac:dyDescent="0.35">
      <c r="D385" s="1"/>
    </row>
    <row r="386" spans="4:4" x14ac:dyDescent="0.35">
      <c r="D386" s="1"/>
    </row>
    <row r="387" spans="4:4" x14ac:dyDescent="0.35">
      <c r="D387" s="1"/>
    </row>
    <row r="388" spans="4:4" x14ac:dyDescent="0.35">
      <c r="D388" s="1"/>
    </row>
    <row r="389" spans="4:4" x14ac:dyDescent="0.35">
      <c r="D389" s="1"/>
    </row>
    <row r="390" spans="4:4" x14ac:dyDescent="0.35">
      <c r="D390" s="1"/>
    </row>
    <row r="391" spans="4:4" x14ac:dyDescent="0.35">
      <c r="D391" s="1"/>
    </row>
    <row r="392" spans="4:4" x14ac:dyDescent="0.35">
      <c r="D392" s="1"/>
    </row>
    <row r="393" spans="4:4" x14ac:dyDescent="0.35">
      <c r="D393" s="1"/>
    </row>
    <row r="394" spans="4:4" x14ac:dyDescent="0.35">
      <c r="D394" s="1"/>
    </row>
    <row r="395" spans="4:4" x14ac:dyDescent="0.35">
      <c r="D395" s="1"/>
    </row>
    <row r="396" spans="4:4" x14ac:dyDescent="0.35">
      <c r="D396" s="1"/>
    </row>
    <row r="397" spans="4:4" x14ac:dyDescent="0.35">
      <c r="D397" s="1"/>
    </row>
    <row r="398" spans="4:4" x14ac:dyDescent="0.35">
      <c r="D398" s="1"/>
    </row>
    <row r="399" spans="4:4" x14ac:dyDescent="0.35">
      <c r="D399" s="1"/>
    </row>
    <row r="400" spans="4:4" x14ac:dyDescent="0.35">
      <c r="D400" s="1"/>
    </row>
    <row r="401" spans="4:4" x14ac:dyDescent="0.35">
      <c r="D401" s="1"/>
    </row>
    <row r="402" spans="4:4" x14ac:dyDescent="0.35">
      <c r="D402" s="1"/>
    </row>
    <row r="403" spans="4:4" x14ac:dyDescent="0.35">
      <c r="D403" s="1"/>
    </row>
    <row r="404" spans="4:4" x14ac:dyDescent="0.35">
      <c r="D404" s="1"/>
    </row>
    <row r="405" spans="4:4" x14ac:dyDescent="0.35">
      <c r="D405" s="1"/>
    </row>
    <row r="406" spans="4:4" x14ac:dyDescent="0.35">
      <c r="D406" s="1"/>
    </row>
    <row r="407" spans="4:4" x14ac:dyDescent="0.35">
      <c r="D407" s="1"/>
    </row>
    <row r="408" spans="4:4" x14ac:dyDescent="0.35">
      <c r="D408" s="1"/>
    </row>
    <row r="409" spans="4:4" x14ac:dyDescent="0.35">
      <c r="D409" s="1"/>
    </row>
    <row r="410" spans="4:4" x14ac:dyDescent="0.35">
      <c r="D410" s="1"/>
    </row>
    <row r="411" spans="4:4" x14ac:dyDescent="0.35">
      <c r="D411" s="1"/>
    </row>
    <row r="412" spans="4:4" x14ac:dyDescent="0.35">
      <c r="D412" s="1"/>
    </row>
    <row r="413" spans="4:4" x14ac:dyDescent="0.35">
      <c r="D413" s="1"/>
    </row>
    <row r="414" spans="4:4" x14ac:dyDescent="0.35">
      <c r="D414" s="1"/>
    </row>
    <row r="415" spans="4:4" x14ac:dyDescent="0.35">
      <c r="D415" s="1"/>
    </row>
    <row r="416" spans="4:4" x14ac:dyDescent="0.35">
      <c r="D416" s="1"/>
    </row>
    <row r="417" spans="4:4" x14ac:dyDescent="0.35">
      <c r="D417" s="1"/>
    </row>
    <row r="418" spans="4:4" x14ac:dyDescent="0.35">
      <c r="D418" s="1"/>
    </row>
    <row r="419" spans="4:4" x14ac:dyDescent="0.35">
      <c r="D419" s="1"/>
    </row>
    <row r="420" spans="4:4" x14ac:dyDescent="0.35">
      <c r="D420" s="1"/>
    </row>
    <row r="421" spans="4:4" x14ac:dyDescent="0.35">
      <c r="D421" s="1"/>
    </row>
    <row r="422" spans="4:4" x14ac:dyDescent="0.35">
      <c r="D422" s="1"/>
    </row>
    <row r="423" spans="4:4" x14ac:dyDescent="0.35">
      <c r="D423" s="1"/>
    </row>
    <row r="424" spans="4:4" x14ac:dyDescent="0.35">
      <c r="D424" s="1"/>
    </row>
    <row r="425" spans="4:4" x14ac:dyDescent="0.35">
      <c r="D425" s="1"/>
    </row>
    <row r="426" spans="4:4" x14ac:dyDescent="0.35">
      <c r="D426" s="1"/>
    </row>
    <row r="427" spans="4:4" x14ac:dyDescent="0.35">
      <c r="D427" s="1"/>
    </row>
    <row r="428" spans="4:4" x14ac:dyDescent="0.35">
      <c r="D428" s="1"/>
    </row>
    <row r="429" spans="4:4" x14ac:dyDescent="0.35">
      <c r="D429" s="1"/>
    </row>
    <row r="430" spans="4:4" x14ac:dyDescent="0.35">
      <c r="D430" s="1"/>
    </row>
    <row r="431" spans="4:4" x14ac:dyDescent="0.35">
      <c r="D431" s="1"/>
    </row>
    <row r="432" spans="4:4" x14ac:dyDescent="0.35">
      <c r="D432" s="1"/>
    </row>
    <row r="433" spans="4:4" x14ac:dyDescent="0.35">
      <c r="D433" s="1"/>
    </row>
    <row r="434" spans="4:4" x14ac:dyDescent="0.35">
      <c r="D434" s="1"/>
    </row>
    <row r="435" spans="4:4" x14ac:dyDescent="0.35">
      <c r="D435" s="1"/>
    </row>
    <row r="436" spans="4:4" x14ac:dyDescent="0.35">
      <c r="D436" s="1"/>
    </row>
    <row r="437" spans="4:4" x14ac:dyDescent="0.35">
      <c r="D437" s="1"/>
    </row>
    <row r="438" spans="4:4" x14ac:dyDescent="0.35">
      <c r="D438" s="1"/>
    </row>
    <row r="439" spans="4:4" x14ac:dyDescent="0.35">
      <c r="D439" s="1"/>
    </row>
    <row r="440" spans="4:4" x14ac:dyDescent="0.35">
      <c r="D440" s="1"/>
    </row>
    <row r="441" spans="4:4" x14ac:dyDescent="0.35">
      <c r="D441" s="1"/>
    </row>
    <row r="442" spans="4:4" x14ac:dyDescent="0.35">
      <c r="D442" s="1"/>
    </row>
    <row r="443" spans="4:4" x14ac:dyDescent="0.35">
      <c r="D443" s="1"/>
    </row>
    <row r="444" spans="4:4" x14ac:dyDescent="0.35">
      <c r="D444" s="1"/>
    </row>
    <row r="445" spans="4:4" x14ac:dyDescent="0.35">
      <c r="D445" s="1"/>
    </row>
    <row r="446" spans="4:4" x14ac:dyDescent="0.35">
      <c r="D446" s="1"/>
    </row>
    <row r="447" spans="4:4" x14ac:dyDescent="0.35">
      <c r="D447" s="1"/>
    </row>
    <row r="448" spans="4:4" x14ac:dyDescent="0.35">
      <c r="D448" s="1"/>
    </row>
    <row r="449" spans="4:4" x14ac:dyDescent="0.35">
      <c r="D449" s="1"/>
    </row>
    <row r="450" spans="4:4" x14ac:dyDescent="0.35">
      <c r="D450" s="1"/>
    </row>
    <row r="451" spans="4:4" x14ac:dyDescent="0.35">
      <c r="D451" s="1"/>
    </row>
    <row r="452" spans="4:4" x14ac:dyDescent="0.35">
      <c r="D452" s="1"/>
    </row>
    <row r="453" spans="4:4" x14ac:dyDescent="0.35">
      <c r="D453" s="1"/>
    </row>
    <row r="454" spans="4:4" x14ac:dyDescent="0.35">
      <c r="D454" s="1"/>
    </row>
    <row r="455" spans="4:4" x14ac:dyDescent="0.35">
      <c r="D455" s="1"/>
    </row>
    <row r="456" spans="4:4" x14ac:dyDescent="0.35">
      <c r="D456" s="1"/>
    </row>
    <row r="457" spans="4:4" x14ac:dyDescent="0.35">
      <c r="D457" s="1"/>
    </row>
    <row r="458" spans="4:4" x14ac:dyDescent="0.35">
      <c r="D458" s="1"/>
    </row>
    <row r="459" spans="4:4" x14ac:dyDescent="0.35">
      <c r="D459" s="1"/>
    </row>
    <row r="460" spans="4:4" x14ac:dyDescent="0.35">
      <c r="D460" s="1"/>
    </row>
    <row r="461" spans="4:4" x14ac:dyDescent="0.35">
      <c r="D461" s="1"/>
    </row>
    <row r="462" spans="4:4" x14ac:dyDescent="0.35">
      <c r="D462" s="1"/>
    </row>
    <row r="463" spans="4:4" x14ac:dyDescent="0.35">
      <c r="D463" s="1"/>
    </row>
    <row r="464" spans="4:4" x14ac:dyDescent="0.35">
      <c r="D464" s="1"/>
    </row>
    <row r="465" spans="4:4" x14ac:dyDescent="0.35">
      <c r="D465" s="1"/>
    </row>
    <row r="466" spans="4:4" x14ac:dyDescent="0.35">
      <c r="D466" s="1"/>
    </row>
    <row r="467" spans="4:4" x14ac:dyDescent="0.35">
      <c r="D467" s="1"/>
    </row>
    <row r="468" spans="4:4" x14ac:dyDescent="0.35">
      <c r="D468" s="1"/>
    </row>
    <row r="469" spans="4:4" x14ac:dyDescent="0.35">
      <c r="D469" s="1"/>
    </row>
    <row r="470" spans="4:4" x14ac:dyDescent="0.35">
      <c r="D470" s="1"/>
    </row>
    <row r="471" spans="4:4" x14ac:dyDescent="0.35">
      <c r="D471" s="1"/>
    </row>
    <row r="472" spans="4:4" x14ac:dyDescent="0.35">
      <c r="D472" s="1"/>
    </row>
    <row r="473" spans="4:4" x14ac:dyDescent="0.35">
      <c r="D473" s="1"/>
    </row>
    <row r="474" spans="4:4" x14ac:dyDescent="0.35">
      <c r="D474" s="1"/>
    </row>
    <row r="475" spans="4:4" x14ac:dyDescent="0.35">
      <c r="D475" s="1"/>
    </row>
    <row r="476" spans="4:4" x14ac:dyDescent="0.35">
      <c r="D476" s="1"/>
    </row>
    <row r="477" spans="4:4" x14ac:dyDescent="0.35">
      <c r="D477" s="1"/>
    </row>
    <row r="478" spans="4:4" x14ac:dyDescent="0.35">
      <c r="D478" s="1"/>
    </row>
    <row r="479" spans="4:4" x14ac:dyDescent="0.35">
      <c r="D479" s="1"/>
    </row>
    <row r="480" spans="4:4" x14ac:dyDescent="0.35">
      <c r="D480" s="1"/>
    </row>
    <row r="481" spans="4:4" x14ac:dyDescent="0.35">
      <c r="D481" s="1"/>
    </row>
    <row r="482" spans="4:4" x14ac:dyDescent="0.35">
      <c r="D482" s="1"/>
    </row>
    <row r="483" spans="4:4" x14ac:dyDescent="0.35">
      <c r="D483" s="1"/>
    </row>
    <row r="484" spans="4:4" x14ac:dyDescent="0.35">
      <c r="D484" s="1"/>
    </row>
    <row r="485" spans="4:4" x14ac:dyDescent="0.35">
      <c r="D485" s="1"/>
    </row>
    <row r="486" spans="4:4" x14ac:dyDescent="0.35">
      <c r="D486" s="1"/>
    </row>
    <row r="487" spans="4:4" x14ac:dyDescent="0.35">
      <c r="D487" s="1"/>
    </row>
    <row r="488" spans="4:4" x14ac:dyDescent="0.35">
      <c r="D488" s="1"/>
    </row>
    <row r="489" spans="4:4" x14ac:dyDescent="0.35">
      <c r="D489" s="1"/>
    </row>
    <row r="490" spans="4:4" x14ac:dyDescent="0.35">
      <c r="D490" s="1"/>
    </row>
    <row r="491" spans="4:4" x14ac:dyDescent="0.35">
      <c r="D491" s="1"/>
    </row>
    <row r="492" spans="4:4" x14ac:dyDescent="0.35">
      <c r="D492" s="1"/>
    </row>
    <row r="493" spans="4:4" x14ac:dyDescent="0.35">
      <c r="D493" s="1"/>
    </row>
    <row r="494" spans="4:4" x14ac:dyDescent="0.35">
      <c r="D494" s="1"/>
    </row>
    <row r="495" spans="4:4" x14ac:dyDescent="0.35">
      <c r="D495" s="1"/>
    </row>
    <row r="496" spans="4:4" x14ac:dyDescent="0.35">
      <c r="D496" s="1"/>
    </row>
    <row r="497" spans="4:4" x14ac:dyDescent="0.35">
      <c r="D497" s="1"/>
    </row>
    <row r="498" spans="4:4" x14ac:dyDescent="0.35">
      <c r="D498" s="1"/>
    </row>
    <row r="499" spans="4:4" x14ac:dyDescent="0.35">
      <c r="D499" s="1"/>
    </row>
    <row r="500" spans="4:4" x14ac:dyDescent="0.35">
      <c r="D500" s="1"/>
    </row>
    <row r="501" spans="4:4" x14ac:dyDescent="0.35">
      <c r="D501" s="1"/>
    </row>
    <row r="502" spans="4:4" x14ac:dyDescent="0.35">
      <c r="D502" s="1"/>
    </row>
    <row r="503" spans="4:4" x14ac:dyDescent="0.35">
      <c r="D503" s="1"/>
    </row>
    <row r="504" spans="4:4" x14ac:dyDescent="0.35">
      <c r="D504" s="1"/>
    </row>
    <row r="505" spans="4:4" x14ac:dyDescent="0.35">
      <c r="D505" s="1"/>
    </row>
    <row r="506" spans="4:4" x14ac:dyDescent="0.35">
      <c r="D506" s="1"/>
    </row>
    <row r="507" spans="4:4" x14ac:dyDescent="0.35">
      <c r="D507" s="1"/>
    </row>
    <row r="508" spans="4:4" x14ac:dyDescent="0.35">
      <c r="D508" s="1"/>
    </row>
    <row r="509" spans="4:4" x14ac:dyDescent="0.35">
      <c r="D509" s="1"/>
    </row>
    <row r="510" spans="4:4" x14ac:dyDescent="0.35">
      <c r="D510" s="1"/>
    </row>
    <row r="511" spans="4:4" x14ac:dyDescent="0.35">
      <c r="D511" s="1"/>
    </row>
    <row r="512" spans="4:4" x14ac:dyDescent="0.35">
      <c r="D512" s="1"/>
    </row>
    <row r="513" spans="4:4" x14ac:dyDescent="0.35">
      <c r="D513" s="1"/>
    </row>
    <row r="514" spans="4:4" x14ac:dyDescent="0.35">
      <c r="D514" s="1"/>
    </row>
    <row r="515" spans="4:4" x14ac:dyDescent="0.35">
      <c r="D515" s="1"/>
    </row>
    <row r="516" spans="4:4" x14ac:dyDescent="0.35">
      <c r="D516" s="1"/>
    </row>
    <row r="517" spans="4:4" x14ac:dyDescent="0.35">
      <c r="D517" s="1"/>
    </row>
    <row r="518" spans="4:4" x14ac:dyDescent="0.35">
      <c r="D518" s="1"/>
    </row>
    <row r="519" spans="4:4" x14ac:dyDescent="0.35">
      <c r="D519" s="1"/>
    </row>
    <row r="520" spans="4:4" x14ac:dyDescent="0.35">
      <c r="D520" s="1"/>
    </row>
    <row r="521" spans="4:4" x14ac:dyDescent="0.35">
      <c r="D521" s="1"/>
    </row>
    <row r="522" spans="4:4" x14ac:dyDescent="0.35">
      <c r="D522" s="1"/>
    </row>
    <row r="523" spans="4:4" x14ac:dyDescent="0.35">
      <c r="D523" s="1"/>
    </row>
    <row r="524" spans="4:4" x14ac:dyDescent="0.35">
      <c r="D524" s="1"/>
    </row>
    <row r="525" spans="4:4" x14ac:dyDescent="0.35">
      <c r="D525" s="1"/>
    </row>
    <row r="526" spans="4:4" x14ac:dyDescent="0.35">
      <c r="D526" s="1"/>
    </row>
    <row r="527" spans="4:4" x14ac:dyDescent="0.35">
      <c r="D527" s="1"/>
    </row>
    <row r="528" spans="4:4" x14ac:dyDescent="0.35">
      <c r="D528" s="1"/>
    </row>
    <row r="529" spans="4:4" x14ac:dyDescent="0.35">
      <c r="D529" s="1"/>
    </row>
    <row r="530" spans="4:4" x14ac:dyDescent="0.35">
      <c r="D530" s="1"/>
    </row>
    <row r="531" spans="4:4" x14ac:dyDescent="0.35">
      <c r="D531" s="1"/>
    </row>
    <row r="532" spans="4:4" x14ac:dyDescent="0.35">
      <c r="D532" s="1"/>
    </row>
    <row r="533" spans="4:4" x14ac:dyDescent="0.35">
      <c r="D533" s="1"/>
    </row>
    <row r="534" spans="4:4" x14ac:dyDescent="0.35">
      <c r="D534" s="1"/>
    </row>
    <row r="535" spans="4:4" x14ac:dyDescent="0.35">
      <c r="D535" s="1"/>
    </row>
    <row r="536" spans="4:4" x14ac:dyDescent="0.35">
      <c r="D536" s="1"/>
    </row>
    <row r="537" spans="4:4" x14ac:dyDescent="0.35">
      <c r="D537" s="1"/>
    </row>
    <row r="538" spans="4:4" x14ac:dyDescent="0.35">
      <c r="D538" s="1"/>
    </row>
    <row r="539" spans="4:4" x14ac:dyDescent="0.35">
      <c r="D539" s="1"/>
    </row>
    <row r="540" spans="4:4" x14ac:dyDescent="0.35">
      <c r="D540" s="1"/>
    </row>
    <row r="541" spans="4:4" x14ac:dyDescent="0.35">
      <c r="D541" s="1"/>
    </row>
    <row r="542" spans="4:4" x14ac:dyDescent="0.35">
      <c r="D542" s="1"/>
    </row>
    <row r="543" spans="4:4" x14ac:dyDescent="0.35">
      <c r="D543" s="1"/>
    </row>
    <row r="544" spans="4:4" x14ac:dyDescent="0.35">
      <c r="D544" s="1"/>
    </row>
    <row r="545" spans="4:4" x14ac:dyDescent="0.35">
      <c r="D545" s="1"/>
    </row>
    <row r="546" spans="4:4" x14ac:dyDescent="0.35">
      <c r="D546" s="1"/>
    </row>
    <row r="547" spans="4:4" x14ac:dyDescent="0.35">
      <c r="D547" s="1"/>
    </row>
    <row r="548" spans="4:4" x14ac:dyDescent="0.35">
      <c r="D548" s="1"/>
    </row>
    <row r="549" spans="4:4" x14ac:dyDescent="0.35">
      <c r="D549" s="1"/>
    </row>
    <row r="550" spans="4:4" x14ac:dyDescent="0.35">
      <c r="D550" s="1"/>
    </row>
    <row r="551" spans="4:4" x14ac:dyDescent="0.35">
      <c r="D551" s="1"/>
    </row>
    <row r="552" spans="4:4" x14ac:dyDescent="0.35">
      <c r="D552" s="1"/>
    </row>
    <row r="553" spans="4:4" x14ac:dyDescent="0.35">
      <c r="D553" s="1"/>
    </row>
    <row r="554" spans="4:4" x14ac:dyDescent="0.35">
      <c r="D554" s="1"/>
    </row>
    <row r="555" spans="4:4" x14ac:dyDescent="0.35">
      <c r="D555" s="1"/>
    </row>
    <row r="556" spans="4:4" x14ac:dyDescent="0.35">
      <c r="D556" s="1"/>
    </row>
    <row r="557" spans="4:4" x14ac:dyDescent="0.35">
      <c r="D557" s="1"/>
    </row>
    <row r="558" spans="4:4" x14ac:dyDescent="0.35">
      <c r="D558" s="1"/>
    </row>
    <row r="559" spans="4:4" x14ac:dyDescent="0.35">
      <c r="D559" s="1"/>
    </row>
    <row r="560" spans="4:4" x14ac:dyDescent="0.35">
      <c r="D560" s="1"/>
    </row>
    <row r="561" spans="4:4" x14ac:dyDescent="0.35">
      <c r="D561" s="1"/>
    </row>
    <row r="562" spans="4:4" x14ac:dyDescent="0.35">
      <c r="D562" s="1"/>
    </row>
    <row r="563" spans="4:4" x14ac:dyDescent="0.35">
      <c r="D563" s="1"/>
    </row>
    <row r="564" spans="4:4" x14ac:dyDescent="0.35">
      <c r="D564" s="1"/>
    </row>
    <row r="565" spans="4:4" x14ac:dyDescent="0.35">
      <c r="D565" s="1"/>
    </row>
    <row r="566" spans="4:4" x14ac:dyDescent="0.35">
      <c r="D566" s="1"/>
    </row>
    <row r="567" spans="4:4" x14ac:dyDescent="0.35">
      <c r="D567" s="1"/>
    </row>
    <row r="568" spans="4:4" x14ac:dyDescent="0.35">
      <c r="D568" s="1"/>
    </row>
    <row r="569" spans="4:4" x14ac:dyDescent="0.35">
      <c r="D569" s="1"/>
    </row>
    <row r="570" spans="4:4" x14ac:dyDescent="0.35">
      <c r="D570" s="1"/>
    </row>
    <row r="571" spans="4:4" x14ac:dyDescent="0.35">
      <c r="D571" s="1"/>
    </row>
    <row r="572" spans="4:4" x14ac:dyDescent="0.35">
      <c r="D572" s="1"/>
    </row>
    <row r="573" spans="4:4" x14ac:dyDescent="0.35">
      <c r="D573" s="1"/>
    </row>
    <row r="574" spans="4:4" x14ac:dyDescent="0.35">
      <c r="D574" s="1"/>
    </row>
    <row r="575" spans="4:4" x14ac:dyDescent="0.35">
      <c r="D575" s="1"/>
    </row>
    <row r="576" spans="4:4" x14ac:dyDescent="0.35">
      <c r="D576" s="1"/>
    </row>
    <row r="577" spans="4:4" x14ac:dyDescent="0.35">
      <c r="D577" s="1"/>
    </row>
    <row r="578" spans="4:4" x14ac:dyDescent="0.35">
      <c r="D578" s="1"/>
    </row>
    <row r="579" spans="4:4" x14ac:dyDescent="0.35">
      <c r="D579" s="1"/>
    </row>
    <row r="580" spans="4:4" x14ac:dyDescent="0.35">
      <c r="D580" s="1"/>
    </row>
    <row r="581" spans="4:4" x14ac:dyDescent="0.35">
      <c r="D581" s="1"/>
    </row>
    <row r="582" spans="4:4" x14ac:dyDescent="0.35">
      <c r="D582" s="1"/>
    </row>
    <row r="583" spans="4:4" x14ac:dyDescent="0.35">
      <c r="D583" s="1"/>
    </row>
    <row r="584" spans="4:4" x14ac:dyDescent="0.35">
      <c r="D584" s="1"/>
    </row>
    <row r="585" spans="4:4" x14ac:dyDescent="0.35">
      <c r="D585" s="1"/>
    </row>
    <row r="586" spans="4:4" x14ac:dyDescent="0.35">
      <c r="D586" s="1"/>
    </row>
    <row r="587" spans="4:4" x14ac:dyDescent="0.35">
      <c r="D587" s="1"/>
    </row>
    <row r="588" spans="4:4" x14ac:dyDescent="0.35">
      <c r="D588" s="1"/>
    </row>
    <row r="589" spans="4:4" x14ac:dyDescent="0.35">
      <c r="D589" s="1"/>
    </row>
    <row r="590" spans="4:4" x14ac:dyDescent="0.35">
      <c r="D590" s="1"/>
    </row>
    <row r="591" spans="4:4" x14ac:dyDescent="0.35">
      <c r="D591" s="1"/>
    </row>
    <row r="592" spans="4:4" x14ac:dyDescent="0.35">
      <c r="D592" s="1"/>
    </row>
    <row r="593" spans="4:4" x14ac:dyDescent="0.35">
      <c r="D593" s="1"/>
    </row>
    <row r="594" spans="4:4" x14ac:dyDescent="0.35">
      <c r="D594" s="1"/>
    </row>
    <row r="595" spans="4:4" x14ac:dyDescent="0.35">
      <c r="D595" s="1"/>
    </row>
    <row r="596" spans="4:4" x14ac:dyDescent="0.35">
      <c r="D596" s="1"/>
    </row>
    <row r="597" spans="4:4" x14ac:dyDescent="0.35">
      <c r="D597" s="1"/>
    </row>
    <row r="598" spans="4:4" x14ac:dyDescent="0.35">
      <c r="D598" s="1"/>
    </row>
    <row r="599" spans="4:4" x14ac:dyDescent="0.35">
      <c r="D599" s="1"/>
    </row>
    <row r="600" spans="4:4" x14ac:dyDescent="0.35">
      <c r="D600" s="1"/>
    </row>
    <row r="601" spans="4:4" x14ac:dyDescent="0.35">
      <c r="D601" s="1"/>
    </row>
    <row r="602" spans="4:4" x14ac:dyDescent="0.35">
      <c r="D602" s="1"/>
    </row>
    <row r="603" spans="4:4" x14ac:dyDescent="0.35">
      <c r="D603" s="1"/>
    </row>
    <row r="604" spans="4:4" x14ac:dyDescent="0.35">
      <c r="D604" s="1"/>
    </row>
    <row r="605" spans="4:4" x14ac:dyDescent="0.35">
      <c r="D605" s="1"/>
    </row>
    <row r="606" spans="4:4" x14ac:dyDescent="0.35">
      <c r="D606" s="1"/>
    </row>
    <row r="607" spans="4:4" x14ac:dyDescent="0.35">
      <c r="D607" s="1"/>
    </row>
    <row r="608" spans="4:4" x14ac:dyDescent="0.35">
      <c r="D608" s="1"/>
    </row>
    <row r="609" spans="4:4" x14ac:dyDescent="0.35">
      <c r="D609" s="1"/>
    </row>
    <row r="610" spans="4:4" x14ac:dyDescent="0.35">
      <c r="D610" s="1"/>
    </row>
    <row r="611" spans="4:4" x14ac:dyDescent="0.35">
      <c r="D611" s="1"/>
    </row>
    <row r="612" spans="4:4" x14ac:dyDescent="0.35">
      <c r="D612" s="1"/>
    </row>
    <row r="613" spans="4:4" x14ac:dyDescent="0.35">
      <c r="D613" s="1"/>
    </row>
    <row r="614" spans="4:4" x14ac:dyDescent="0.35">
      <c r="D614" s="1"/>
    </row>
    <row r="615" spans="4:4" x14ac:dyDescent="0.35">
      <c r="D615" s="1"/>
    </row>
    <row r="616" spans="4:4" x14ac:dyDescent="0.35">
      <c r="D616" s="1"/>
    </row>
    <row r="617" spans="4:4" x14ac:dyDescent="0.35">
      <c r="D617" s="1"/>
    </row>
    <row r="618" spans="4:4" x14ac:dyDescent="0.35">
      <c r="D618" s="1"/>
    </row>
    <row r="619" spans="4:4" x14ac:dyDescent="0.35">
      <c r="D619" s="1"/>
    </row>
    <row r="620" spans="4:4" x14ac:dyDescent="0.35">
      <c r="D620" s="1"/>
    </row>
    <row r="621" spans="4:4" x14ac:dyDescent="0.35">
      <c r="D621" s="1"/>
    </row>
    <row r="622" spans="4:4" x14ac:dyDescent="0.35">
      <c r="D622" s="1"/>
    </row>
    <row r="623" spans="4:4" x14ac:dyDescent="0.35">
      <c r="D623" s="1"/>
    </row>
    <row r="624" spans="4:4" x14ac:dyDescent="0.35">
      <c r="D624" s="1"/>
    </row>
    <row r="625" spans="4:4" x14ac:dyDescent="0.35">
      <c r="D625" s="1"/>
    </row>
    <row r="626" spans="4:4" x14ac:dyDescent="0.35">
      <c r="D626" s="1"/>
    </row>
    <row r="627" spans="4:4" x14ac:dyDescent="0.35">
      <c r="D627" s="1"/>
    </row>
    <row r="628" spans="4:4" x14ac:dyDescent="0.35">
      <c r="D628" s="1"/>
    </row>
    <row r="629" spans="4:4" x14ac:dyDescent="0.35">
      <c r="D629" s="1"/>
    </row>
    <row r="630" spans="4:4" x14ac:dyDescent="0.35">
      <c r="D630" s="1"/>
    </row>
    <row r="631" spans="4:4" x14ac:dyDescent="0.35">
      <c r="D631" s="1"/>
    </row>
    <row r="632" spans="4:4" x14ac:dyDescent="0.35">
      <c r="D632" s="1"/>
    </row>
    <row r="633" spans="4:4" x14ac:dyDescent="0.35">
      <c r="D633" s="1"/>
    </row>
    <row r="634" spans="4:4" x14ac:dyDescent="0.35">
      <c r="D634" s="1"/>
    </row>
    <row r="635" spans="4:4" x14ac:dyDescent="0.35">
      <c r="D635" s="1"/>
    </row>
    <row r="636" spans="4:4" x14ac:dyDescent="0.35">
      <c r="D636" s="1"/>
    </row>
    <row r="637" spans="4:4" x14ac:dyDescent="0.35">
      <c r="D637" s="1"/>
    </row>
    <row r="638" spans="4:4" x14ac:dyDescent="0.35">
      <c r="D638" s="1"/>
    </row>
    <row r="639" spans="4:4" x14ac:dyDescent="0.35">
      <c r="D639" s="1"/>
    </row>
    <row r="640" spans="4:4" x14ac:dyDescent="0.35">
      <c r="D640" s="1"/>
    </row>
    <row r="641" spans="4:4" x14ac:dyDescent="0.35">
      <c r="D641" s="1"/>
    </row>
    <row r="642" spans="4:4" x14ac:dyDescent="0.35">
      <c r="D642" s="1"/>
    </row>
    <row r="643" spans="4:4" x14ac:dyDescent="0.35">
      <c r="D643" s="1"/>
    </row>
    <row r="644" spans="4:4" x14ac:dyDescent="0.35">
      <c r="D644" s="1"/>
    </row>
    <row r="645" spans="4:4" x14ac:dyDescent="0.35">
      <c r="D645" s="1"/>
    </row>
    <row r="646" spans="4:4" x14ac:dyDescent="0.35">
      <c r="D646" s="1"/>
    </row>
    <row r="647" spans="4:4" x14ac:dyDescent="0.35">
      <c r="D647" s="1"/>
    </row>
    <row r="648" spans="4:4" x14ac:dyDescent="0.35">
      <c r="D648" s="1"/>
    </row>
    <row r="649" spans="4:4" x14ac:dyDescent="0.35">
      <c r="D649" s="1"/>
    </row>
    <row r="650" spans="4:4" x14ac:dyDescent="0.35">
      <c r="D650" s="1"/>
    </row>
    <row r="651" spans="4:4" x14ac:dyDescent="0.35">
      <c r="D651" s="1"/>
    </row>
    <row r="652" spans="4:4" x14ac:dyDescent="0.35">
      <c r="D652" s="1"/>
    </row>
    <row r="653" spans="4:4" x14ac:dyDescent="0.35">
      <c r="D653" s="1"/>
    </row>
    <row r="654" spans="4:4" x14ac:dyDescent="0.35">
      <c r="D654" s="1"/>
    </row>
    <row r="655" spans="4:4" x14ac:dyDescent="0.35">
      <c r="D655" s="1"/>
    </row>
    <row r="656" spans="4:4" x14ac:dyDescent="0.35">
      <c r="D656" s="1"/>
    </row>
    <row r="657" spans="4:4" x14ac:dyDescent="0.35">
      <c r="D657" s="1"/>
    </row>
    <row r="658" spans="4:4" x14ac:dyDescent="0.35">
      <c r="D658" s="1"/>
    </row>
    <row r="659" spans="4:4" x14ac:dyDescent="0.35">
      <c r="D659" s="1"/>
    </row>
    <row r="660" spans="4:4" x14ac:dyDescent="0.35">
      <c r="D660" s="1"/>
    </row>
    <row r="661" spans="4:4" x14ac:dyDescent="0.35">
      <c r="D661" s="1"/>
    </row>
    <row r="662" spans="4:4" x14ac:dyDescent="0.35">
      <c r="D662" s="1"/>
    </row>
    <row r="663" spans="4:4" x14ac:dyDescent="0.35">
      <c r="D663" s="1"/>
    </row>
    <row r="664" spans="4:4" x14ac:dyDescent="0.35">
      <c r="D664" s="1"/>
    </row>
    <row r="665" spans="4:4" x14ac:dyDescent="0.35">
      <c r="D665" s="1"/>
    </row>
    <row r="666" spans="4:4" x14ac:dyDescent="0.35">
      <c r="D666" s="1"/>
    </row>
    <row r="667" spans="4:4" x14ac:dyDescent="0.35">
      <c r="D667" s="1"/>
    </row>
    <row r="668" spans="4:4" x14ac:dyDescent="0.35">
      <c r="D668" s="1"/>
    </row>
    <row r="669" spans="4:4" x14ac:dyDescent="0.35">
      <c r="D669" s="1"/>
    </row>
    <row r="670" spans="4:4" x14ac:dyDescent="0.35">
      <c r="D670" s="1"/>
    </row>
    <row r="671" spans="4:4" x14ac:dyDescent="0.35">
      <c r="D671" s="1"/>
    </row>
    <row r="672" spans="4:4" x14ac:dyDescent="0.35">
      <c r="D672" s="1"/>
    </row>
    <row r="673" spans="4:4" x14ac:dyDescent="0.35">
      <c r="D673" s="1"/>
    </row>
    <row r="674" spans="4:4" x14ac:dyDescent="0.35">
      <c r="D674" s="1"/>
    </row>
    <row r="675" spans="4:4" x14ac:dyDescent="0.35">
      <c r="D675" s="1"/>
    </row>
    <row r="676" spans="4:4" x14ac:dyDescent="0.35">
      <c r="D676" s="1"/>
    </row>
    <row r="677" spans="4:4" x14ac:dyDescent="0.35">
      <c r="D677" s="1"/>
    </row>
    <row r="678" spans="4:4" x14ac:dyDescent="0.35">
      <c r="D678" s="1"/>
    </row>
    <row r="679" spans="4:4" x14ac:dyDescent="0.35">
      <c r="D679" s="1"/>
    </row>
    <row r="680" spans="4:4" x14ac:dyDescent="0.35">
      <c r="D680" s="1"/>
    </row>
    <row r="681" spans="4:4" x14ac:dyDescent="0.35">
      <c r="D681" s="1"/>
    </row>
    <row r="682" spans="4:4" x14ac:dyDescent="0.35">
      <c r="D682" s="1"/>
    </row>
    <row r="683" spans="4:4" x14ac:dyDescent="0.35">
      <c r="D683" s="1"/>
    </row>
    <row r="684" spans="4:4" x14ac:dyDescent="0.35">
      <c r="D684" s="1"/>
    </row>
    <row r="685" spans="4:4" x14ac:dyDescent="0.35">
      <c r="D685" s="1"/>
    </row>
    <row r="686" spans="4:4" x14ac:dyDescent="0.35">
      <c r="D686" s="1"/>
    </row>
    <row r="687" spans="4:4" x14ac:dyDescent="0.35">
      <c r="D687" s="1"/>
    </row>
    <row r="688" spans="4:4" x14ac:dyDescent="0.35">
      <c r="D688" s="1"/>
    </row>
    <row r="689" spans="4:4" x14ac:dyDescent="0.35">
      <c r="D689" s="1"/>
    </row>
    <row r="690" spans="4:4" x14ac:dyDescent="0.35">
      <c r="D690" s="1"/>
    </row>
    <row r="691" spans="4:4" x14ac:dyDescent="0.35">
      <c r="D691" s="1"/>
    </row>
    <row r="692" spans="4:4" x14ac:dyDescent="0.35">
      <c r="D692" s="1"/>
    </row>
    <row r="693" spans="4:4" x14ac:dyDescent="0.35">
      <c r="D693" s="1"/>
    </row>
    <row r="694" spans="4:4" x14ac:dyDescent="0.35">
      <c r="D694" s="1"/>
    </row>
    <row r="695" spans="4:4" x14ac:dyDescent="0.35">
      <c r="D695" s="1"/>
    </row>
    <row r="696" spans="4:4" x14ac:dyDescent="0.35">
      <c r="D696" s="1"/>
    </row>
    <row r="697" spans="4:4" x14ac:dyDescent="0.35">
      <c r="D697" s="1"/>
    </row>
    <row r="698" spans="4:4" x14ac:dyDescent="0.35">
      <c r="D698" s="1"/>
    </row>
    <row r="699" spans="4:4" x14ac:dyDescent="0.35">
      <c r="D699" s="1"/>
    </row>
    <row r="700" spans="4:4" x14ac:dyDescent="0.35">
      <c r="D700" s="1"/>
    </row>
    <row r="701" spans="4:4" x14ac:dyDescent="0.35">
      <c r="D701" s="1"/>
    </row>
    <row r="702" spans="4:4" x14ac:dyDescent="0.35">
      <c r="D702" s="1"/>
    </row>
    <row r="703" spans="4:4" x14ac:dyDescent="0.35">
      <c r="D703" s="1"/>
    </row>
    <row r="704" spans="4:4" x14ac:dyDescent="0.35">
      <c r="D704" s="1"/>
    </row>
    <row r="705" spans="4:4" x14ac:dyDescent="0.35">
      <c r="D705" s="1"/>
    </row>
    <row r="706" spans="4:4" x14ac:dyDescent="0.35">
      <c r="D706" s="1"/>
    </row>
    <row r="707" spans="4:4" x14ac:dyDescent="0.35">
      <c r="D707" s="1"/>
    </row>
    <row r="708" spans="4:4" x14ac:dyDescent="0.35">
      <c r="D708" s="1"/>
    </row>
    <row r="709" spans="4:4" x14ac:dyDescent="0.35">
      <c r="D709" s="1"/>
    </row>
    <row r="710" spans="4:4" x14ac:dyDescent="0.35">
      <c r="D710" s="1"/>
    </row>
    <row r="711" spans="4:4" x14ac:dyDescent="0.35">
      <c r="D711" s="1"/>
    </row>
    <row r="712" spans="4:4" x14ac:dyDescent="0.35">
      <c r="D712" s="1"/>
    </row>
    <row r="713" spans="4:4" x14ac:dyDescent="0.35">
      <c r="D713" s="1"/>
    </row>
    <row r="714" spans="4:4" x14ac:dyDescent="0.35">
      <c r="D714" s="1"/>
    </row>
    <row r="715" spans="4:4" x14ac:dyDescent="0.35">
      <c r="D715" s="1"/>
    </row>
    <row r="716" spans="4:4" x14ac:dyDescent="0.35">
      <c r="D716" s="1"/>
    </row>
    <row r="717" spans="4:4" x14ac:dyDescent="0.35">
      <c r="D717" s="1"/>
    </row>
    <row r="718" spans="4:4" x14ac:dyDescent="0.35">
      <c r="D718" s="1"/>
    </row>
    <row r="719" spans="4:4" x14ac:dyDescent="0.35">
      <c r="D719" s="1"/>
    </row>
    <row r="720" spans="4:4" x14ac:dyDescent="0.35">
      <c r="D720" s="1"/>
    </row>
    <row r="721" spans="4:4" x14ac:dyDescent="0.35">
      <c r="D721" s="1"/>
    </row>
    <row r="722" spans="4:4" x14ac:dyDescent="0.35">
      <c r="D722" s="1"/>
    </row>
    <row r="723" spans="4:4" x14ac:dyDescent="0.35">
      <c r="D723" s="1"/>
    </row>
    <row r="724" spans="4:4" x14ac:dyDescent="0.35">
      <c r="D724" s="1"/>
    </row>
    <row r="725" spans="4:4" x14ac:dyDescent="0.35">
      <c r="D725" s="1"/>
    </row>
    <row r="726" spans="4:4" x14ac:dyDescent="0.35">
      <c r="D726" s="1"/>
    </row>
    <row r="727" spans="4:4" x14ac:dyDescent="0.35">
      <c r="D727" s="1"/>
    </row>
    <row r="728" spans="4:4" x14ac:dyDescent="0.35">
      <c r="D728" s="1"/>
    </row>
    <row r="729" spans="4:4" x14ac:dyDescent="0.35">
      <c r="D729" s="1"/>
    </row>
    <row r="730" spans="4:4" x14ac:dyDescent="0.35">
      <c r="D730" s="1"/>
    </row>
    <row r="731" spans="4:4" x14ac:dyDescent="0.35">
      <c r="D731" s="1"/>
    </row>
    <row r="732" spans="4:4" x14ac:dyDescent="0.35">
      <c r="D732" s="1"/>
    </row>
    <row r="733" spans="4:4" x14ac:dyDescent="0.35">
      <c r="D733" s="1"/>
    </row>
    <row r="734" spans="4:4" x14ac:dyDescent="0.35">
      <c r="D734" s="1"/>
    </row>
    <row r="735" spans="4:4" x14ac:dyDescent="0.35">
      <c r="D735" s="1"/>
    </row>
    <row r="736" spans="4:4" x14ac:dyDescent="0.35">
      <c r="D736" s="1"/>
    </row>
    <row r="737" spans="4:4" x14ac:dyDescent="0.35">
      <c r="D737" s="1"/>
    </row>
    <row r="738" spans="4:4" x14ac:dyDescent="0.35">
      <c r="D738" s="1"/>
    </row>
    <row r="739" spans="4:4" x14ac:dyDescent="0.35">
      <c r="D739" s="1"/>
    </row>
    <row r="740" spans="4:4" x14ac:dyDescent="0.35">
      <c r="D740" s="1"/>
    </row>
    <row r="741" spans="4:4" x14ac:dyDescent="0.35">
      <c r="D741" s="1"/>
    </row>
    <row r="742" spans="4:4" x14ac:dyDescent="0.35">
      <c r="D742" s="1"/>
    </row>
    <row r="743" spans="4:4" x14ac:dyDescent="0.35">
      <c r="D743" s="1"/>
    </row>
    <row r="744" spans="4:4" x14ac:dyDescent="0.35">
      <c r="D744" s="1"/>
    </row>
    <row r="745" spans="4:4" x14ac:dyDescent="0.35">
      <c r="D745" s="1"/>
    </row>
    <row r="746" spans="4:4" x14ac:dyDescent="0.35">
      <c r="D746" s="1"/>
    </row>
    <row r="747" spans="4:4" x14ac:dyDescent="0.35">
      <c r="D747" s="1"/>
    </row>
    <row r="748" spans="4:4" x14ac:dyDescent="0.35">
      <c r="D748" s="1"/>
    </row>
    <row r="749" spans="4:4" x14ac:dyDescent="0.35">
      <c r="D749" s="1"/>
    </row>
    <row r="750" spans="4:4" x14ac:dyDescent="0.35">
      <c r="D750" s="1"/>
    </row>
    <row r="751" spans="4:4" x14ac:dyDescent="0.35">
      <c r="D751" s="1"/>
    </row>
    <row r="752" spans="4:4" x14ac:dyDescent="0.35">
      <c r="D752" s="1"/>
    </row>
    <row r="753" spans="4:4" x14ac:dyDescent="0.35">
      <c r="D753" s="1"/>
    </row>
    <row r="754" spans="4:4" x14ac:dyDescent="0.35">
      <c r="D754" s="1"/>
    </row>
    <row r="755" spans="4:4" x14ac:dyDescent="0.35">
      <c r="D755" s="1"/>
    </row>
    <row r="756" spans="4:4" x14ac:dyDescent="0.35">
      <c r="D756" s="1"/>
    </row>
    <row r="757" spans="4:4" x14ac:dyDescent="0.35">
      <c r="D757" s="1"/>
    </row>
    <row r="758" spans="4:4" x14ac:dyDescent="0.35">
      <c r="D758" s="1"/>
    </row>
    <row r="759" spans="4:4" x14ac:dyDescent="0.35">
      <c r="D759" s="1"/>
    </row>
    <row r="760" spans="4:4" x14ac:dyDescent="0.35">
      <c r="D760" s="1"/>
    </row>
    <row r="761" spans="4:4" x14ac:dyDescent="0.35">
      <c r="D761" s="1"/>
    </row>
    <row r="762" spans="4:4" x14ac:dyDescent="0.35">
      <c r="D762" s="1"/>
    </row>
    <row r="763" spans="4:4" x14ac:dyDescent="0.35">
      <c r="D763" s="1"/>
    </row>
    <row r="764" spans="4:4" x14ac:dyDescent="0.35">
      <c r="D764" s="1"/>
    </row>
    <row r="765" spans="4:4" x14ac:dyDescent="0.35">
      <c r="D765" s="1"/>
    </row>
    <row r="766" spans="4:4" x14ac:dyDescent="0.35">
      <c r="D766" s="1"/>
    </row>
    <row r="767" spans="4:4" x14ac:dyDescent="0.35">
      <c r="D767" s="1"/>
    </row>
    <row r="768" spans="4:4" x14ac:dyDescent="0.35">
      <c r="D768" s="1"/>
    </row>
    <row r="769" spans="4:4" x14ac:dyDescent="0.35">
      <c r="D769" s="1"/>
    </row>
    <row r="770" spans="4:4" x14ac:dyDescent="0.35">
      <c r="D770" s="1"/>
    </row>
    <row r="771" spans="4:4" x14ac:dyDescent="0.35">
      <c r="D771" s="1"/>
    </row>
    <row r="772" spans="4:4" x14ac:dyDescent="0.35">
      <c r="D772" s="1"/>
    </row>
    <row r="773" spans="4:4" x14ac:dyDescent="0.35">
      <c r="D773" s="1"/>
    </row>
    <row r="774" spans="4:4" x14ac:dyDescent="0.35">
      <c r="D774" s="1"/>
    </row>
    <row r="775" spans="4:4" x14ac:dyDescent="0.35">
      <c r="D775" s="1"/>
    </row>
    <row r="776" spans="4:4" x14ac:dyDescent="0.35">
      <c r="D776" s="1"/>
    </row>
    <row r="777" spans="4:4" x14ac:dyDescent="0.35">
      <c r="D777" s="1"/>
    </row>
    <row r="778" spans="4:4" x14ac:dyDescent="0.35">
      <c r="D778" s="1"/>
    </row>
    <row r="779" spans="4:4" x14ac:dyDescent="0.35">
      <c r="D779" s="1"/>
    </row>
    <row r="780" spans="4:4" x14ac:dyDescent="0.35">
      <c r="D780" s="1"/>
    </row>
    <row r="781" spans="4:4" x14ac:dyDescent="0.35">
      <c r="D781" s="1"/>
    </row>
    <row r="782" spans="4:4" x14ac:dyDescent="0.35">
      <c r="D782" s="1"/>
    </row>
    <row r="783" spans="4:4" x14ac:dyDescent="0.35">
      <c r="D783" s="1"/>
    </row>
    <row r="784" spans="4:4" x14ac:dyDescent="0.35">
      <c r="D784" s="1"/>
    </row>
    <row r="785" spans="4:4" x14ac:dyDescent="0.35">
      <c r="D785" s="1"/>
    </row>
    <row r="786" spans="4:4" x14ac:dyDescent="0.35">
      <c r="D786" s="1"/>
    </row>
    <row r="787" spans="4:4" x14ac:dyDescent="0.35">
      <c r="D787" s="1"/>
    </row>
    <row r="788" spans="4:4" x14ac:dyDescent="0.35">
      <c r="D788" s="1"/>
    </row>
    <row r="789" spans="4:4" x14ac:dyDescent="0.35">
      <c r="D789" s="1"/>
    </row>
    <row r="790" spans="4:4" x14ac:dyDescent="0.35">
      <c r="D790" s="1"/>
    </row>
    <row r="791" spans="4:4" x14ac:dyDescent="0.35">
      <c r="D791" s="1"/>
    </row>
    <row r="792" spans="4:4" x14ac:dyDescent="0.35">
      <c r="D792" s="1"/>
    </row>
    <row r="793" spans="4:4" x14ac:dyDescent="0.35">
      <c r="D793" s="1"/>
    </row>
    <row r="794" spans="4:4" x14ac:dyDescent="0.35">
      <c r="D794" s="1"/>
    </row>
    <row r="795" spans="4:4" x14ac:dyDescent="0.35">
      <c r="D795" s="1"/>
    </row>
    <row r="796" spans="4:4" x14ac:dyDescent="0.35">
      <c r="D796" s="1"/>
    </row>
    <row r="797" spans="4:4" x14ac:dyDescent="0.35">
      <c r="D797" s="1"/>
    </row>
    <row r="798" spans="4:4" x14ac:dyDescent="0.35">
      <c r="D798" s="1"/>
    </row>
    <row r="799" spans="4:4" x14ac:dyDescent="0.35">
      <c r="D799" s="1"/>
    </row>
    <row r="800" spans="4:4" x14ac:dyDescent="0.35">
      <c r="D800" s="1"/>
    </row>
    <row r="801" spans="4:4" x14ac:dyDescent="0.35">
      <c r="D801" s="1"/>
    </row>
    <row r="802" spans="4:4" x14ac:dyDescent="0.35">
      <c r="D802" s="1"/>
    </row>
    <row r="803" spans="4:4" x14ac:dyDescent="0.35">
      <c r="D803" s="1"/>
    </row>
    <row r="804" spans="4:4" x14ac:dyDescent="0.35">
      <c r="D804" s="1"/>
    </row>
    <row r="805" spans="4:4" x14ac:dyDescent="0.35">
      <c r="D805" s="1"/>
    </row>
    <row r="806" spans="4:4" x14ac:dyDescent="0.35">
      <c r="D806" s="1"/>
    </row>
    <row r="807" spans="4:4" x14ac:dyDescent="0.35">
      <c r="D807" s="1"/>
    </row>
    <row r="808" spans="4:4" x14ac:dyDescent="0.35">
      <c r="D808" s="1"/>
    </row>
    <row r="809" spans="4:4" x14ac:dyDescent="0.35">
      <c r="D809" s="1"/>
    </row>
    <row r="810" spans="4:4" x14ac:dyDescent="0.35">
      <c r="D810" s="1"/>
    </row>
    <row r="811" spans="4:4" x14ac:dyDescent="0.35">
      <c r="D811" s="1"/>
    </row>
    <row r="812" spans="4:4" x14ac:dyDescent="0.35">
      <c r="D812" s="1"/>
    </row>
    <row r="813" spans="4:4" x14ac:dyDescent="0.35">
      <c r="D813" s="1"/>
    </row>
    <row r="814" spans="4:4" x14ac:dyDescent="0.35">
      <c r="D814" s="1"/>
    </row>
    <row r="815" spans="4:4" x14ac:dyDescent="0.35">
      <c r="D815" s="1"/>
    </row>
    <row r="816" spans="4:4" x14ac:dyDescent="0.35">
      <c r="D816" s="1"/>
    </row>
    <row r="817" spans="4:4" x14ac:dyDescent="0.35">
      <c r="D817" s="1"/>
    </row>
    <row r="818" spans="4:4" x14ac:dyDescent="0.35">
      <c r="D818" s="1"/>
    </row>
    <row r="819" spans="4:4" x14ac:dyDescent="0.35">
      <c r="D819" s="1"/>
    </row>
    <row r="820" spans="4:4" x14ac:dyDescent="0.35">
      <c r="D820" s="1"/>
    </row>
    <row r="821" spans="4:4" x14ac:dyDescent="0.35">
      <c r="D821" s="1"/>
    </row>
    <row r="822" spans="4:4" x14ac:dyDescent="0.35">
      <c r="D822" s="1"/>
    </row>
    <row r="823" spans="4:4" x14ac:dyDescent="0.35">
      <c r="D823" s="1"/>
    </row>
    <row r="824" spans="4:4" x14ac:dyDescent="0.35">
      <c r="D824" s="1"/>
    </row>
    <row r="825" spans="4:4" x14ac:dyDescent="0.35">
      <c r="D825" s="1"/>
    </row>
    <row r="826" spans="4:4" x14ac:dyDescent="0.35">
      <c r="D826" s="1"/>
    </row>
    <row r="827" spans="4:4" x14ac:dyDescent="0.35">
      <c r="D827" s="1"/>
    </row>
    <row r="828" spans="4:4" x14ac:dyDescent="0.35">
      <c r="D828" s="1"/>
    </row>
    <row r="829" spans="4:4" x14ac:dyDescent="0.35">
      <c r="D829" s="1"/>
    </row>
    <row r="830" spans="4:4" x14ac:dyDescent="0.35">
      <c r="D830" s="1"/>
    </row>
    <row r="831" spans="4:4" x14ac:dyDescent="0.35">
      <c r="D831" s="1"/>
    </row>
    <row r="832" spans="4:4" x14ac:dyDescent="0.35">
      <c r="D832" s="1"/>
    </row>
    <row r="833" spans="4:4" x14ac:dyDescent="0.35">
      <c r="D833" s="1"/>
    </row>
    <row r="834" spans="4:4" x14ac:dyDescent="0.35">
      <c r="D834" s="1"/>
    </row>
    <row r="835" spans="4:4" x14ac:dyDescent="0.35">
      <c r="D835" s="1"/>
    </row>
    <row r="836" spans="4:4" x14ac:dyDescent="0.35">
      <c r="D836" s="1"/>
    </row>
    <row r="837" spans="4:4" x14ac:dyDescent="0.35">
      <c r="D837" s="1"/>
    </row>
    <row r="838" spans="4:4" x14ac:dyDescent="0.35">
      <c r="D838" s="1"/>
    </row>
    <row r="839" spans="4:4" x14ac:dyDescent="0.35">
      <c r="D839" s="1"/>
    </row>
    <row r="840" spans="4:4" x14ac:dyDescent="0.35">
      <c r="D840" s="1"/>
    </row>
    <row r="841" spans="4:4" x14ac:dyDescent="0.35">
      <c r="D841" s="1"/>
    </row>
    <row r="842" spans="4:4" x14ac:dyDescent="0.35">
      <c r="D842" s="1"/>
    </row>
    <row r="843" spans="4:4" x14ac:dyDescent="0.35">
      <c r="D843" s="1"/>
    </row>
    <row r="844" spans="4:4" x14ac:dyDescent="0.35">
      <c r="D844" s="1"/>
    </row>
    <row r="845" spans="4:4" x14ac:dyDescent="0.35">
      <c r="D845" s="1"/>
    </row>
    <row r="846" spans="4:4" x14ac:dyDescent="0.35">
      <c r="D846" s="1"/>
    </row>
    <row r="847" spans="4:4" x14ac:dyDescent="0.35">
      <c r="D847" s="1"/>
    </row>
    <row r="848" spans="4:4" x14ac:dyDescent="0.35">
      <c r="D848" s="1"/>
    </row>
    <row r="849" spans="4:4" x14ac:dyDescent="0.35">
      <c r="D849" s="1"/>
    </row>
    <row r="850" spans="4:4" x14ac:dyDescent="0.35">
      <c r="D850" s="1"/>
    </row>
    <row r="851" spans="4:4" x14ac:dyDescent="0.35">
      <c r="D851" s="1"/>
    </row>
    <row r="852" spans="4:4" x14ac:dyDescent="0.35">
      <c r="D852" s="1"/>
    </row>
    <row r="853" spans="4:4" x14ac:dyDescent="0.35">
      <c r="D853" s="1"/>
    </row>
    <row r="854" spans="4:4" x14ac:dyDescent="0.35">
      <c r="D854" s="1"/>
    </row>
    <row r="855" spans="4:4" x14ac:dyDescent="0.35">
      <c r="D855" s="1"/>
    </row>
    <row r="856" spans="4:4" x14ac:dyDescent="0.35">
      <c r="D856" s="1"/>
    </row>
    <row r="857" spans="4:4" x14ac:dyDescent="0.35">
      <c r="D857" s="1"/>
    </row>
    <row r="858" spans="4:4" x14ac:dyDescent="0.35">
      <c r="D858" s="1"/>
    </row>
    <row r="859" spans="4:4" x14ac:dyDescent="0.35">
      <c r="D859" s="1"/>
    </row>
    <row r="860" spans="4:4" x14ac:dyDescent="0.35">
      <c r="D860" s="1"/>
    </row>
    <row r="861" spans="4:4" x14ac:dyDescent="0.35">
      <c r="D861" s="1"/>
    </row>
    <row r="862" spans="4:4" x14ac:dyDescent="0.35">
      <c r="D862" s="1"/>
    </row>
    <row r="863" spans="4:4" x14ac:dyDescent="0.35">
      <c r="D863" s="1"/>
    </row>
    <row r="864" spans="4:4" x14ac:dyDescent="0.35">
      <c r="D864" s="1"/>
    </row>
    <row r="865" spans="4:4" x14ac:dyDescent="0.35">
      <c r="D865" s="1"/>
    </row>
    <row r="866" spans="4:4" x14ac:dyDescent="0.35">
      <c r="D866" s="1"/>
    </row>
    <row r="867" spans="4:4" x14ac:dyDescent="0.35">
      <c r="D867" s="1"/>
    </row>
    <row r="868" spans="4:4" x14ac:dyDescent="0.35">
      <c r="D868" s="1"/>
    </row>
    <row r="869" spans="4:4" x14ac:dyDescent="0.35">
      <c r="D869" s="1"/>
    </row>
    <row r="870" spans="4:4" x14ac:dyDescent="0.35">
      <c r="D870" s="1"/>
    </row>
    <row r="871" spans="4:4" x14ac:dyDescent="0.35">
      <c r="D871" s="1"/>
    </row>
    <row r="872" spans="4:4" x14ac:dyDescent="0.35">
      <c r="D872" s="1"/>
    </row>
    <row r="873" spans="4:4" x14ac:dyDescent="0.35">
      <c r="D873" s="1"/>
    </row>
    <row r="874" spans="4:4" x14ac:dyDescent="0.35">
      <c r="D874" s="1"/>
    </row>
    <row r="875" spans="4:4" x14ac:dyDescent="0.35">
      <c r="D875" s="1"/>
    </row>
    <row r="876" spans="4:4" x14ac:dyDescent="0.35">
      <c r="D876" s="1"/>
    </row>
    <row r="877" spans="4:4" x14ac:dyDescent="0.35">
      <c r="D877" s="1"/>
    </row>
    <row r="878" spans="4:4" x14ac:dyDescent="0.35">
      <c r="D878" s="1"/>
    </row>
    <row r="879" spans="4:4" x14ac:dyDescent="0.35">
      <c r="D879" s="1"/>
    </row>
    <row r="880" spans="4:4" x14ac:dyDescent="0.35">
      <c r="D880" s="1"/>
    </row>
    <row r="881" spans="4:4" x14ac:dyDescent="0.35">
      <c r="D881" s="1"/>
    </row>
    <row r="882" spans="4:4" x14ac:dyDescent="0.35">
      <c r="D882" s="1"/>
    </row>
    <row r="883" spans="4:4" x14ac:dyDescent="0.35">
      <c r="D883" s="1"/>
    </row>
    <row r="884" spans="4:4" x14ac:dyDescent="0.35">
      <c r="D884" s="1"/>
    </row>
    <row r="885" spans="4:4" x14ac:dyDescent="0.35">
      <c r="D885" s="1"/>
    </row>
    <row r="886" spans="4:4" x14ac:dyDescent="0.35">
      <c r="D886" s="1"/>
    </row>
    <row r="887" spans="4:4" x14ac:dyDescent="0.35">
      <c r="D887" s="1"/>
    </row>
    <row r="888" spans="4:4" x14ac:dyDescent="0.35">
      <c r="D888" s="1"/>
    </row>
    <row r="889" spans="4:4" x14ac:dyDescent="0.35">
      <c r="D889" s="1"/>
    </row>
    <row r="890" spans="4:4" x14ac:dyDescent="0.35">
      <c r="D890" s="1"/>
    </row>
    <row r="891" spans="4:4" x14ac:dyDescent="0.35">
      <c r="D891" s="1"/>
    </row>
    <row r="892" spans="4:4" x14ac:dyDescent="0.35">
      <c r="D892" s="1"/>
    </row>
    <row r="893" spans="4:4" x14ac:dyDescent="0.35">
      <c r="D893" s="1"/>
    </row>
    <row r="894" spans="4:4" x14ac:dyDescent="0.35">
      <c r="D894" s="1"/>
    </row>
    <row r="895" spans="4:4" x14ac:dyDescent="0.35">
      <c r="D895" s="1"/>
    </row>
    <row r="896" spans="4:4" x14ac:dyDescent="0.35">
      <c r="D896" s="1"/>
    </row>
    <row r="897" spans="4:4" x14ac:dyDescent="0.35">
      <c r="D897" s="1"/>
    </row>
    <row r="898" spans="4:4" x14ac:dyDescent="0.35">
      <c r="D898" s="1"/>
    </row>
    <row r="899" spans="4:4" x14ac:dyDescent="0.35">
      <c r="D899" s="1"/>
    </row>
    <row r="900" spans="4:4" x14ac:dyDescent="0.35">
      <c r="D900" s="1"/>
    </row>
    <row r="901" spans="4:4" x14ac:dyDescent="0.35">
      <c r="D901" s="1"/>
    </row>
    <row r="902" spans="4:4" x14ac:dyDescent="0.35">
      <c r="D902" s="1"/>
    </row>
    <row r="903" spans="4:4" x14ac:dyDescent="0.35">
      <c r="D903" s="1"/>
    </row>
    <row r="904" spans="4:4" x14ac:dyDescent="0.35">
      <c r="D904" s="1"/>
    </row>
    <row r="905" spans="4:4" x14ac:dyDescent="0.35">
      <c r="D905" s="1"/>
    </row>
    <row r="906" spans="4:4" x14ac:dyDescent="0.35">
      <c r="D906" s="1"/>
    </row>
    <row r="907" spans="4:4" x14ac:dyDescent="0.35">
      <c r="D907" s="1"/>
    </row>
    <row r="908" spans="4:4" x14ac:dyDescent="0.35">
      <c r="D908" s="1"/>
    </row>
    <row r="909" spans="4:4" x14ac:dyDescent="0.35">
      <c r="D909" s="1"/>
    </row>
    <row r="910" spans="4:4" x14ac:dyDescent="0.35">
      <c r="D910" s="1"/>
    </row>
    <row r="911" spans="4:4" x14ac:dyDescent="0.35">
      <c r="D911" s="1"/>
    </row>
    <row r="912" spans="4:4" x14ac:dyDescent="0.35">
      <c r="D912" s="1"/>
    </row>
    <row r="913" spans="4:4" x14ac:dyDescent="0.35">
      <c r="D913" s="1"/>
    </row>
    <row r="914" spans="4:4" x14ac:dyDescent="0.35">
      <c r="D914" s="1"/>
    </row>
    <row r="915" spans="4:4" x14ac:dyDescent="0.35">
      <c r="D915" s="1"/>
    </row>
    <row r="916" spans="4:4" x14ac:dyDescent="0.35">
      <c r="D916" s="1"/>
    </row>
    <row r="917" spans="4:4" x14ac:dyDescent="0.35">
      <c r="D917" s="1"/>
    </row>
    <row r="918" spans="4:4" x14ac:dyDescent="0.35">
      <c r="D918" s="1"/>
    </row>
    <row r="919" spans="4:4" x14ac:dyDescent="0.35">
      <c r="D919" s="1"/>
    </row>
    <row r="920" spans="4:4" x14ac:dyDescent="0.35">
      <c r="D920" s="1"/>
    </row>
    <row r="921" spans="4:4" x14ac:dyDescent="0.35">
      <c r="D921" s="1"/>
    </row>
    <row r="922" spans="4:4" x14ac:dyDescent="0.35">
      <c r="D922" s="1"/>
    </row>
    <row r="923" spans="4:4" x14ac:dyDescent="0.35">
      <c r="D923" s="1"/>
    </row>
    <row r="924" spans="4:4" x14ac:dyDescent="0.35">
      <c r="D924" s="1"/>
    </row>
    <row r="925" spans="4:4" x14ac:dyDescent="0.35">
      <c r="D925" s="1"/>
    </row>
    <row r="926" spans="4:4" x14ac:dyDescent="0.35">
      <c r="D926" s="1"/>
    </row>
    <row r="927" spans="4:4" x14ac:dyDescent="0.35">
      <c r="D927" s="1"/>
    </row>
    <row r="928" spans="4:4" x14ac:dyDescent="0.35">
      <c r="D928" s="1"/>
    </row>
    <row r="929" spans="4:4" x14ac:dyDescent="0.35">
      <c r="D929" s="1"/>
    </row>
    <row r="930" spans="4:4" x14ac:dyDescent="0.35">
      <c r="D930" s="1"/>
    </row>
    <row r="931" spans="4:4" x14ac:dyDescent="0.35">
      <c r="D931" s="1"/>
    </row>
    <row r="932" spans="4:4" x14ac:dyDescent="0.35">
      <c r="D932" s="1"/>
    </row>
    <row r="933" spans="4:4" x14ac:dyDescent="0.35">
      <c r="D933" s="1"/>
    </row>
    <row r="934" spans="4:4" x14ac:dyDescent="0.35">
      <c r="D934" s="1"/>
    </row>
    <row r="935" spans="4:4" x14ac:dyDescent="0.35">
      <c r="D935" s="1"/>
    </row>
    <row r="936" spans="4:4" x14ac:dyDescent="0.35">
      <c r="D936" s="1"/>
    </row>
    <row r="937" spans="4:4" x14ac:dyDescent="0.35">
      <c r="D937" s="1"/>
    </row>
    <row r="938" spans="4:4" x14ac:dyDescent="0.35">
      <c r="D938" s="1"/>
    </row>
    <row r="939" spans="4:4" x14ac:dyDescent="0.35">
      <c r="D939" s="1"/>
    </row>
    <row r="940" spans="4:4" x14ac:dyDescent="0.35">
      <c r="D940" s="1"/>
    </row>
    <row r="941" spans="4:4" x14ac:dyDescent="0.35">
      <c r="D941" s="1"/>
    </row>
    <row r="942" spans="4:4" x14ac:dyDescent="0.35">
      <c r="D942" s="1"/>
    </row>
    <row r="943" spans="4:4" x14ac:dyDescent="0.35">
      <c r="D943" s="1"/>
    </row>
    <row r="944" spans="4:4" x14ac:dyDescent="0.35">
      <c r="D944" s="1"/>
    </row>
    <row r="945" spans="4:4" x14ac:dyDescent="0.35">
      <c r="D945" s="1"/>
    </row>
    <row r="946" spans="4:4" x14ac:dyDescent="0.35">
      <c r="D946" s="1"/>
    </row>
    <row r="947" spans="4:4" x14ac:dyDescent="0.35">
      <c r="D947" s="1"/>
    </row>
    <row r="948" spans="4:4" x14ac:dyDescent="0.35">
      <c r="D948" s="1"/>
    </row>
    <row r="949" spans="4:4" x14ac:dyDescent="0.35">
      <c r="D949" s="1"/>
    </row>
    <row r="950" spans="4:4" x14ac:dyDescent="0.35">
      <c r="D950" s="1"/>
    </row>
    <row r="951" spans="4:4" x14ac:dyDescent="0.35">
      <c r="D951" s="1"/>
    </row>
    <row r="952" spans="4:4" x14ac:dyDescent="0.35">
      <c r="D952" s="1"/>
    </row>
    <row r="953" spans="4:4" x14ac:dyDescent="0.35">
      <c r="D953" s="1"/>
    </row>
    <row r="954" spans="4:4" x14ac:dyDescent="0.35">
      <c r="D954" s="1"/>
    </row>
    <row r="955" spans="4:4" x14ac:dyDescent="0.35">
      <c r="D955" s="1"/>
    </row>
    <row r="956" spans="4:4" x14ac:dyDescent="0.35">
      <c r="D956" s="1"/>
    </row>
    <row r="957" spans="4:4" x14ac:dyDescent="0.35">
      <c r="D957" s="1"/>
    </row>
    <row r="958" spans="4:4" x14ac:dyDescent="0.35">
      <c r="D958" s="1"/>
    </row>
    <row r="959" spans="4:4" x14ac:dyDescent="0.35">
      <c r="D959" s="1"/>
    </row>
    <row r="960" spans="4:4" x14ac:dyDescent="0.35">
      <c r="D960" s="1"/>
    </row>
    <row r="961" spans="4:4" x14ac:dyDescent="0.35">
      <c r="D961" s="1"/>
    </row>
    <row r="962" spans="4:4" x14ac:dyDescent="0.35">
      <c r="D962" s="1"/>
    </row>
    <row r="963" spans="4:4" x14ac:dyDescent="0.35">
      <c r="D963" s="1"/>
    </row>
    <row r="964" spans="4:4" x14ac:dyDescent="0.35">
      <c r="D964" s="1"/>
    </row>
    <row r="965" spans="4:4" x14ac:dyDescent="0.35">
      <c r="D965" s="1"/>
    </row>
    <row r="966" spans="4:4" x14ac:dyDescent="0.35">
      <c r="D966" s="1"/>
    </row>
    <row r="967" spans="4:4" x14ac:dyDescent="0.35">
      <c r="D967" s="1"/>
    </row>
    <row r="968" spans="4:4" x14ac:dyDescent="0.35">
      <c r="D968" s="1"/>
    </row>
  </sheetData>
  <autoFilter ref="A1:CK325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13e83b-330f-43e9-8a32-659de2db0e37" xsi:nil="true"/>
    <lcf76f155ced4ddcb4097134ff3c332f xmlns="26ed0658-0289-4c17-a65e-1511a42df96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5093D3EFB6B3489EE1E049962EC73A" ma:contentTypeVersion="10" ma:contentTypeDescription="Creare un nuovo documento." ma:contentTypeScope="" ma:versionID="fc3d09e6117068449fa7200e70a6cc65">
  <xsd:schema xmlns:xsd="http://www.w3.org/2001/XMLSchema" xmlns:xs="http://www.w3.org/2001/XMLSchema" xmlns:p="http://schemas.microsoft.com/office/2006/metadata/properties" xmlns:ns2="26ed0658-0289-4c17-a65e-1511a42df96c" xmlns:ns3="4113e83b-330f-43e9-8a32-659de2db0e37" targetNamespace="http://schemas.microsoft.com/office/2006/metadata/properties" ma:root="true" ma:fieldsID="a5f33ce90e6a338a48b2cb0fea7a304f" ns2:_="" ns3:_="">
    <xsd:import namespace="26ed0658-0289-4c17-a65e-1511a42df96c"/>
    <xsd:import namespace="4113e83b-330f-43e9-8a32-659de2db0e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ed0658-0289-4c17-a65e-1511a42df9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3e83b-330f-43e9-8a32-659de2db0e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2a37b6-2a8b-44e9-98be-ac89573471aa}" ma:internalName="TaxCatchAll" ma:showField="CatchAllData" ma:web="4113e83b-330f-43e9-8a32-659de2db0e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AF323C-A7F4-4F7D-92FD-424A4BF87BC0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4113e83b-330f-43e9-8a32-659de2db0e37"/>
    <ds:schemaRef ds:uri="26ed0658-0289-4c17-a65e-1511a42df96c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BE4F3EE-32F2-4D68-8709-25253FCF2C30}"/>
</file>

<file path=customXml/itemProps3.xml><?xml version="1.0" encoding="utf-8"?>
<ds:datastoreItem xmlns:ds="http://schemas.openxmlformats.org/officeDocument/2006/customXml" ds:itemID="{FEF87086-DF43-4061-860D-1E083421630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Simulazione</vt:lpstr>
      <vt:lpstr>Analisi</vt:lpstr>
      <vt:lpstr>DF03-02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Jafari, Sepehr</cp:lastModifiedBy>
  <dcterms:created xsi:type="dcterms:W3CDTF">2025-10-01T13:20:04Z</dcterms:created>
  <dcterms:modified xsi:type="dcterms:W3CDTF">2025-11-04T15:32:41Z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0x010100715093D3EFB6B3489EE1E049962EC73A</vt:lpwstr>
  </property>
  <property fmtid="{D5CDD505-2E9C-101B-9397-08002B2CF9AE}" pid="3" name="MediaServiceImageTags">
    <vt:lpwstr/>
  </property>
</Properties>
</file>