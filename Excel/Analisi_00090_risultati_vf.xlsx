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ts.accenture.com/sites/BPPB-Progetti/Shared Documents/BPPB - AML - TxM/AML - TxM Calibrazione/06 Deliverable Doc/Excel Simulator/"/>
    </mc:Choice>
  </mc:AlternateContent>
  <xr:revisionPtr revIDLastSave="415" documentId="14_{4730949D-C6A4-47CF-AFA7-6376DD12B181}" xr6:coauthVersionLast="47" xr6:coauthVersionMax="47" xr10:uidLastSave="{2CA82AB3-C1C9-4CD2-8156-756A7D2A8E26}"/>
  <bookViews>
    <workbookView xWindow="-110" yWindow="-110" windowWidth="19420" windowHeight="11500" xr2:uid="{00000000-000D-0000-FFFF-FFFF00000000}"/>
  </bookViews>
  <sheets>
    <sheet name="Simulazione" sheetId="21" r:id="rId1"/>
    <sheet name="Analisi" sheetId="32" r:id="rId2"/>
    <sheet name="00090" sheetId="31" r:id="rId3"/>
    <sheet name="Data" sheetId="1" r:id="rId4"/>
  </sheets>
  <definedNames>
    <definedName name="_xlnm._FilterDatabase" localSheetId="3" hidden="1">Data!$A$1:$CK$305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31" l="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Q21" i="31"/>
  <c r="P21" i="31"/>
  <c r="O21" i="31"/>
  <c r="N21" i="31"/>
  <c r="M21" i="31"/>
  <c r="L21" i="31"/>
  <c r="E21" i="31"/>
  <c r="D21" i="31"/>
  <c r="C21" i="31"/>
  <c r="W20" i="31"/>
  <c r="V20" i="31"/>
  <c r="U20" i="31"/>
  <c r="N20" i="31"/>
  <c r="M20" i="31"/>
  <c r="L20" i="31"/>
  <c r="K20" i="31"/>
  <c r="J20" i="31"/>
  <c r="I20" i="31"/>
  <c r="W19" i="31"/>
  <c r="W21" i="31" s="1"/>
  <c r="V19" i="31"/>
  <c r="V21" i="31" s="1"/>
  <c r="U19" i="31"/>
  <c r="U21" i="31" s="1"/>
  <c r="T19" i="31"/>
  <c r="T21" i="31" s="1"/>
  <c r="S19" i="31"/>
  <c r="S21" i="31" s="1"/>
  <c r="R19" i="31"/>
  <c r="R21" i="31" s="1"/>
  <c r="Q19" i="31"/>
  <c r="P19" i="31"/>
  <c r="O19" i="31"/>
  <c r="N19" i="31"/>
  <c r="M19" i="31"/>
  <c r="L19" i="31"/>
  <c r="K19" i="31"/>
  <c r="K21" i="31" s="1"/>
  <c r="J19" i="31"/>
  <c r="J21" i="31" s="1"/>
  <c r="I19" i="31"/>
  <c r="I21" i="31" s="1"/>
  <c r="H19" i="31"/>
  <c r="H21" i="31" s="1"/>
  <c r="G19" i="31"/>
  <c r="G21" i="31" s="1"/>
  <c r="F19" i="31"/>
  <c r="F21" i="31" s="1"/>
  <c r="E19" i="31"/>
  <c r="D19" i="31"/>
  <c r="C19" i="31"/>
  <c r="W18" i="31"/>
  <c r="W22" i="31" s="1"/>
  <c r="V18" i="31"/>
  <c r="V22" i="31" s="1"/>
  <c r="U18" i="31"/>
  <c r="T18" i="31"/>
  <c r="T20" i="31" s="1"/>
  <c r="S18" i="31"/>
  <c r="R18" i="31"/>
  <c r="R20" i="31" s="1"/>
  <c r="Q18" i="31"/>
  <c r="Q20" i="31" s="1"/>
  <c r="P18" i="31"/>
  <c r="P20" i="31" s="1"/>
  <c r="O18" i="31"/>
  <c r="O20" i="31" s="1"/>
  <c r="N18" i="31"/>
  <c r="N22" i="31" s="1"/>
  <c r="M18" i="31"/>
  <c r="M22" i="31" s="1"/>
  <c r="L18" i="31"/>
  <c r="L22" i="31" s="1"/>
  <c r="K18" i="31"/>
  <c r="K22" i="31" s="1"/>
  <c r="J18" i="31"/>
  <c r="J22" i="31" s="1"/>
  <c r="I18" i="31"/>
  <c r="H18" i="31"/>
  <c r="H20" i="31" s="1"/>
  <c r="G18" i="31"/>
  <c r="F18" i="31"/>
  <c r="F20" i="31" s="1"/>
  <c r="E18" i="31"/>
  <c r="E20" i="31" s="1"/>
  <c r="D18" i="31"/>
  <c r="D20" i="31" s="1"/>
  <c r="C18" i="31"/>
  <c r="C20" i="31" s="1"/>
  <c r="B25" i="31"/>
  <c r="B24" i="31"/>
  <c r="I11" i="21"/>
  <c r="K11" i="21"/>
  <c r="G11" i="21"/>
  <c r="C22" i="31" l="1"/>
  <c r="O22" i="31"/>
  <c r="D22" i="31"/>
  <c r="P22" i="31"/>
  <c r="E22" i="31"/>
  <c r="Q22" i="31"/>
  <c r="F22" i="31"/>
  <c r="R22" i="31"/>
  <c r="G22" i="31"/>
  <c r="S22" i="31"/>
  <c r="H22" i="31"/>
  <c r="T22" i="31"/>
  <c r="I22" i="31"/>
  <c r="U22" i="31"/>
  <c r="G20" i="31"/>
  <c r="S20" i="31"/>
  <c r="H11" i="21"/>
  <c r="H18" i="21" s="1"/>
  <c r="F11" i="21"/>
  <c r="F18" i="21" s="1"/>
  <c r="J18" i="21" l="1"/>
  <c r="F24" i="21"/>
  <c r="G24" i="21"/>
  <c r="C23" i="31"/>
  <c r="B19" i="31"/>
  <c r="B18" i="31"/>
  <c r="G18" i="21" l="1"/>
  <c r="B20" i="31"/>
  <c r="B22" i="31" s="1"/>
  <c r="B21" i="31"/>
  <c r="F19" i="21" l="1"/>
  <c r="I18" i="21"/>
  <c r="H12" i="21"/>
  <c r="H19" i="21" l="1"/>
  <c r="K18" i="21"/>
  <c r="F12" i="21"/>
  <c r="J19" i="21" l="1"/>
</calcChain>
</file>

<file path=xl/sharedStrings.xml><?xml version="1.0" encoding="utf-8"?>
<sst xmlns="http://schemas.openxmlformats.org/spreadsheetml/2006/main" count="4811" uniqueCount="731">
  <si>
    <t>POSIZIONE</t>
  </si>
  <si>
    <t>CODICE</t>
  </si>
  <si>
    <t>DESCRIZIONE</t>
  </si>
  <si>
    <t>RILEVATA</t>
  </si>
  <si>
    <t>INTERMEDIARIO</t>
  </si>
  <si>
    <t>DIPENDENZA</t>
  </si>
  <si>
    <t>IN CARICO A</t>
  </si>
  <si>
    <t>SISTEMA AR</t>
  </si>
  <si>
    <t>STATO</t>
  </si>
  <si>
    <t>INDICE PREDITTIVO</t>
  </si>
  <si>
    <t>REGISTRAZIONE</t>
  </si>
  <si>
    <t>NUMERO RAPPORTO</t>
  </si>
  <si>
    <t>DATA OPERAZIONE</t>
  </si>
  <si>
    <t>CAUSALE ANALITICA</t>
  </si>
  <si>
    <t>CAUSALE SINTETICA</t>
  </si>
  <si>
    <t>PAESE INTERMED. CONTROP.</t>
  </si>
  <si>
    <t>SEGNO</t>
  </si>
  <si>
    <t>IMPORTO</t>
  </si>
  <si>
    <t>DI CUI CONTANTE</t>
  </si>
  <si>
    <t>TITOLARE NDG</t>
  </si>
  <si>
    <t>CODICE FISCALE</t>
  </si>
  <si>
    <t>COGNOME E NOME / RAGIONE SOCIALE</t>
  </si>
  <si>
    <t>D21 SAE</t>
  </si>
  <si>
    <t>D22 ATECO</t>
  </si>
  <si>
    <t>PAESE RESIDENZA</t>
  </si>
  <si>
    <t>GESTORE</t>
  </si>
  <si>
    <t>STATO VALUTAZIONE</t>
  </si>
  <si>
    <t>ID ECCEZIONE</t>
  </si>
  <si>
    <t>DATA ULT. VALUTAZIONE</t>
  </si>
  <si>
    <t>UFFICIO</t>
  </si>
  <si>
    <t>AUTORE</t>
  </si>
  <si>
    <t>ULTIMA VALUTAZIONE</t>
  </si>
  <si>
    <t>PRESENZA ALLEGATI</t>
  </si>
  <si>
    <t>ALTRE VALUTAZIONI</t>
  </si>
  <si>
    <t>ANNOMESE</t>
  </si>
  <si>
    <t>Stato</t>
  </si>
  <si>
    <t>flag_stato</t>
  </si>
  <si>
    <t>flg_SCEN_IN_USO</t>
  </si>
  <si>
    <t>CDG</t>
  </si>
  <si>
    <t>flag_OggValut</t>
  </si>
  <si>
    <t>flag_anom_causale</t>
  </si>
  <si>
    <t>ATECO_CODE</t>
  </si>
  <si>
    <t>SAE_CODE</t>
  </si>
  <si>
    <t>SAE_ATECO_CODE</t>
  </si>
  <si>
    <t>Classe_old</t>
  </si>
  <si>
    <t>RES_ATECO</t>
  </si>
  <si>
    <t>Classe</t>
  </si>
  <si>
    <t>053850_105</t>
  </si>
  <si>
    <t>Discovery Day</t>
  </si>
  <si>
    <t>Mai valutato</t>
  </si>
  <si>
    <t>D     - Dare</t>
  </si>
  <si>
    <t>600 - Famiglie consumatrici</t>
  </si>
  <si>
    <t>086 - ITALIA</t>
  </si>
  <si>
    <t>Classe di rischio 7</t>
  </si>
  <si>
    <t>053850_104</t>
  </si>
  <si>
    <t>ARCHIVIATA DA RPR</t>
  </si>
  <si>
    <t>053850_102</t>
  </si>
  <si>
    <t>053850_273</t>
  </si>
  <si>
    <t>430 - Imprese produttive</t>
  </si>
  <si>
    <t>Classe di rischio 1</t>
  </si>
  <si>
    <t>053850_178</t>
  </si>
  <si>
    <t>A     - Avere</t>
  </si>
  <si>
    <t>053850_103</t>
  </si>
  <si>
    <t>053850_259</t>
  </si>
  <si>
    <t>620 - PRODUZIONE DI SOFTWARE, CONSULENZA INFORMATICA E ATTIVITÀ CONNESSE</t>
  </si>
  <si>
    <t>Classe di rischio 3</t>
  </si>
  <si>
    <t>Classe di rischio 0</t>
  </si>
  <si>
    <t>412 - COSTRUZIONE DI EDIFICI RESIDENZIALI E NON RESIDENZIALI</t>
  </si>
  <si>
    <t>ARCHIVIATA</t>
  </si>
  <si>
    <t>053850_119</t>
  </si>
  <si>
    <t>492 - Quasi societa' non finanziarie altre - Unita' o societa' con meno di 20 addetti</t>
  </si>
  <si>
    <t>Classe di rischio 2</t>
  </si>
  <si>
    <t>053850_175</t>
  </si>
  <si>
    <t>615 - Altre famiglie produttrici</t>
  </si>
  <si>
    <t>053850_109</t>
  </si>
  <si>
    <t>053850_187</t>
  </si>
  <si>
    <t>053850_277</t>
  </si>
  <si>
    <t>053850_145</t>
  </si>
  <si>
    <t>053850_136</t>
  </si>
  <si>
    <t>IPEM INDUSTRIA PETROLI MERIDIONALE S.P.A.</t>
  </si>
  <si>
    <t>192 - FABBRICAZIONE DI PRODOTTI DERIVANTI DALLA RAFFINAZIONE DEL PETROLIO</t>
  </si>
  <si>
    <t>053850_129</t>
  </si>
  <si>
    <t>563 - BAR E ALTRI ESERCIZI SIMILI SENZA CUCINA</t>
  </si>
  <si>
    <t>053850_137</t>
  </si>
  <si>
    <t>053850_171</t>
  </si>
  <si>
    <t>053850_121</t>
  </si>
  <si>
    <t>463 - COMMERCIO ALL'INGROSSO DI PRODOTTI ALIMENTARI, BEVANDE E PRODOTTI DEL TABACCO</t>
  </si>
  <si>
    <t>053850_192</t>
  </si>
  <si>
    <t>CASILLO SOCIETA' PER AZIONI</t>
  </si>
  <si>
    <t>106 - LAVORAZIONE DELLE GRANAGLIE, PRODUZIONE DI AMIDI E DI PRODOTTI AMIDACEI</t>
  </si>
  <si>
    <t>053850_196</t>
  </si>
  <si>
    <t>053850_141</t>
  </si>
  <si>
    <t>053850_270</t>
  </si>
  <si>
    <t>501 - Istituzioni ed enti con finalita' di assistenza, beneficenza, istruzione, culturali, sindacali, politiche, sportive, ricreative e simili</t>
  </si>
  <si>
    <t>053850_164</t>
  </si>
  <si>
    <t>642 - ATTIVITÀ DELLE SOCIETÀ DI PARTECIPAZIONE (HOLDING)</t>
  </si>
  <si>
    <t>053850_261</t>
  </si>
  <si>
    <t>053850_114</t>
  </si>
  <si>
    <t>477 - COMMERCIO AL DETTAGLIO DI ALTRI PRODOTTI IN ESERCIZI SPECIALIZZATI</t>
  </si>
  <si>
    <t>053850_110</t>
  </si>
  <si>
    <t>053850_170</t>
  </si>
  <si>
    <t>614 - Artigiani</t>
  </si>
  <si>
    <t>053850_153</t>
  </si>
  <si>
    <t>053850_284</t>
  </si>
  <si>
    <t>053850_188</t>
  </si>
  <si>
    <t>222 - FABBRICAZIONE DI ARTICOLI IN MATERIE PLASTICHE</t>
  </si>
  <si>
    <t>053850_200</t>
  </si>
  <si>
    <t>053850_149</t>
  </si>
  <si>
    <t>494 - TRASPORTO DI MERCI SU STRADA E SERVIZI DI TRASLOCO</t>
  </si>
  <si>
    <t>053850_271</t>
  </si>
  <si>
    <t>053850_282</t>
  </si>
  <si>
    <t>462 - COMMERCIO ALL'INGROSSO DI MATERIE PRIME AGRICOLE E DI ANIMALI VIVI</t>
  </si>
  <si>
    <t>GGLLCN65C30C632E</t>
  </si>
  <si>
    <t>GAGLIARDI LUCIANO</t>
  </si>
  <si>
    <t>053850_147</t>
  </si>
  <si>
    <t>469 - COMMERCIO ALL'INGROSSO NON SPECIALIZZATO</t>
  </si>
  <si>
    <t>141 - CONFEZIONE DI ARTICOLI DI ABBIGLIAMENTO (ESCLUSO ABBIGLIAMENTO IN PELLICCIA)</t>
  </si>
  <si>
    <t>SUPERCENTRO S.P.A.</t>
  </si>
  <si>
    <t>551 - ALBERGHI E STRUTTURE SIMILI</t>
  </si>
  <si>
    <t>053850_198</t>
  </si>
  <si>
    <t>011 - COLTIVAZIONE DI COLTURE AGRICOLE NON PERMANENTI</t>
  </si>
  <si>
    <t>053850_134</t>
  </si>
  <si>
    <t>053850_174</t>
  </si>
  <si>
    <t>053850_108</t>
  </si>
  <si>
    <t>466 - COMMERCIO ALL'INGROSSO DI ALTRI MACCHINARI, ATTREZZATURE E FORNITURE</t>
  </si>
  <si>
    <t>053850_148</t>
  </si>
  <si>
    <t>RUMMO S.P.A. - SOCIETA' PER AZIONI</t>
  </si>
  <si>
    <t>107 - PRODUZIONE DI PRODOTTI DA FORNO E FARINACEI</t>
  </si>
  <si>
    <t>450 - Associazioni fra imprese non finanziarie</t>
  </si>
  <si>
    <t>053850_128</t>
  </si>
  <si>
    <t>053850_118</t>
  </si>
  <si>
    <t>433 - COMPLETAMENTO E FINITURA DI EDIFICI</t>
  </si>
  <si>
    <t>SOCIETA' AGRICOLA GREEN ALMOND S.R.L.</t>
  </si>
  <si>
    <t>101 - LAVORAZIONE E CONSERVAZIONE DI CARNE E PRODUZIONE DI PRODOTTI A BASE DI CARNE</t>
  </si>
  <si>
    <t>053850_274</t>
  </si>
  <si>
    <t>691 - ATTIVITÀ DEGLI STUDI LEGALI</t>
  </si>
  <si>
    <t>238 - ABU DHABI</t>
  </si>
  <si>
    <t>791 - ATTIVITÀ DELLE AGENZIE DI VIAGGIO E DEI TOUR OPERATOR</t>
  </si>
  <si>
    <t>Grand Total</t>
  </si>
  <si>
    <t>P00</t>
  </si>
  <si>
    <t>P05</t>
  </si>
  <si>
    <t>P10</t>
  </si>
  <si>
    <t>P15</t>
  </si>
  <si>
    <t>P20</t>
  </si>
  <si>
    <t>P25</t>
  </si>
  <si>
    <t>P30</t>
  </si>
  <si>
    <t>P35</t>
  </si>
  <si>
    <t>P40</t>
  </si>
  <si>
    <t>P45</t>
  </si>
  <si>
    <t>P50</t>
  </si>
  <si>
    <t>P55</t>
  </si>
  <si>
    <t>P60</t>
  </si>
  <si>
    <t>P65</t>
  </si>
  <si>
    <t>P70</t>
  </si>
  <si>
    <t>P75</t>
  </si>
  <si>
    <t>P80</t>
  </si>
  <si>
    <t>P85</t>
  </si>
  <si>
    <t>P90</t>
  </si>
  <si>
    <t>P95</t>
  </si>
  <si>
    <t>P100</t>
  </si>
  <si>
    <t>Percentile</t>
  </si>
  <si>
    <t>Percentile_00</t>
  </si>
  <si>
    <t>Percentile_05</t>
  </si>
  <si>
    <t>Percentile_10</t>
  </si>
  <si>
    <t>Percentile_15</t>
  </si>
  <si>
    <t>Percentile_20</t>
  </si>
  <si>
    <t>Percentile_25</t>
  </si>
  <si>
    <t>Percentile_30</t>
  </si>
  <si>
    <t>Percentile_35</t>
  </si>
  <si>
    <t>Percentile_40</t>
  </si>
  <si>
    <t>Percentile_45</t>
  </si>
  <si>
    <t>Percentile_50</t>
  </si>
  <si>
    <t>Percentile_55</t>
  </si>
  <si>
    <t>Percentile_60</t>
  </si>
  <si>
    <t>Percentile_65</t>
  </si>
  <si>
    <t>Percentile_70</t>
  </si>
  <si>
    <t>Percentile_75</t>
  </si>
  <si>
    <t>Percentile_80</t>
  </si>
  <si>
    <t>Percentile_85</t>
  </si>
  <si>
    <t>Percentile_90</t>
  </si>
  <si>
    <t>Percentile_95</t>
  </si>
  <si>
    <t>Percentile_100</t>
  </si>
  <si>
    <t>flag_Percentile_00</t>
  </si>
  <si>
    <t>flag_Percentile_05</t>
  </si>
  <si>
    <t>flag_Percentile_10</t>
  </si>
  <si>
    <t>flag_Percentile_15</t>
  </si>
  <si>
    <t>flag_Percentile_20</t>
  </si>
  <si>
    <t>flag_Percentile_25</t>
  </si>
  <si>
    <t>flag_Percentile_30</t>
  </si>
  <si>
    <t>flag_Percentile_35</t>
  </si>
  <si>
    <t>flag_Percentile_40</t>
  </si>
  <si>
    <t>flag_Percentile_45</t>
  </si>
  <si>
    <t>flag_Percentile_50</t>
  </si>
  <si>
    <t>flag_Percentile_55</t>
  </si>
  <si>
    <t>flag_Percentile_60</t>
  </si>
  <si>
    <t>flag_Percentile_65</t>
  </si>
  <si>
    <t>flag_Percentile_70</t>
  </si>
  <si>
    <t>flag_Percentile_75</t>
  </si>
  <si>
    <t>flag_Percentile_80</t>
  </si>
  <si>
    <t>flag_Percentile_85</t>
  </si>
  <si>
    <t>flag_Percentile_90</t>
  </si>
  <si>
    <t>flag_Percentile_95</t>
  </si>
  <si>
    <t>flag_Percentile_100</t>
  </si>
  <si>
    <t>IN VALUTAZIONE RPR</t>
  </si>
  <si>
    <t>053850_132</t>
  </si>
  <si>
    <t>IN CARICO AL GESTORE</t>
  </si>
  <si>
    <t>053850_267</t>
  </si>
  <si>
    <t>053850_131</t>
  </si>
  <si>
    <t>053850_226</t>
  </si>
  <si>
    <t>053850_116</t>
  </si>
  <si>
    <t>053850_181</t>
  </si>
  <si>
    <t>053850_111</t>
  </si>
  <si>
    <t>053850_167</t>
  </si>
  <si>
    <t>053850_168</t>
  </si>
  <si>
    <t>053850_169</t>
  </si>
  <si>
    <t>IN CARICO AL RESPONSABILE</t>
  </si>
  <si>
    <t>053850_268</t>
  </si>
  <si>
    <t>INTERTONNO SRL</t>
  </si>
  <si>
    <t>102 - LAVORAZIONE E CONSERVAZIONE DI PESCE, CROSTACEI E MOLLUSCHI</t>
  </si>
  <si>
    <t>053850_193</t>
  </si>
  <si>
    <t>479 - COMMERCIO AL DETTAGLIO AL DI FUORI DI NEGOZI, BANCHI E MERCATI</t>
  </si>
  <si>
    <t>FORMAT DISTRIBUZIONE SOCIETA' A RESPONSABILI</t>
  </si>
  <si>
    <t>AA - Bonifico da e per estero</t>
  </si>
  <si>
    <t>053850_189</t>
  </si>
  <si>
    <t>053850_176</t>
  </si>
  <si>
    <t>053850_191</t>
  </si>
  <si>
    <t>053850_173</t>
  </si>
  <si>
    <t>251 - FABBRICAZIONE DI ELEMENTI DA COSTRUZIONE IN METALLO</t>
  </si>
  <si>
    <t>053850_199</t>
  </si>
  <si>
    <t>259 - FABBRICAZIONE DI ALTRI PRODOTTI IN METALLO</t>
  </si>
  <si>
    <t>493 - ALTRI TRASPORTI TERRESTRI DI PASSEGGERI</t>
  </si>
  <si>
    <t>310 - FABBRICAZIONE DI MOBILI</t>
  </si>
  <si>
    <t>292 - FABBRICAZIONE DI CARROZZERIE PER AUTOVEICOLI, RIMORCHI E SEMIRIMORCHI</t>
  </si>
  <si>
    <t>MEGAHOLDING S.R.L.</t>
  </si>
  <si>
    <t>290 - Società di partecipazione (holding) di gruppi finanziari e non finanziari</t>
  </si>
  <si>
    <t>432 - INSTALLAZIONE DI IMPIANTI ELETTRICI, IDRAULICI ED ALTRI LAVORI DI COSTRUZIONE E INSTALLAZIONE</t>
  </si>
  <si>
    <t>053850_266</t>
  </si>
  <si>
    <t>451 - COMMERCIO DI AUTOVEICOLI</t>
  </si>
  <si>
    <t>Min of Percentile_00</t>
  </si>
  <si>
    <t>Min of Percentile_05</t>
  </si>
  <si>
    <t>Min of Percentile_10</t>
  </si>
  <si>
    <t>Min of Percentile_15</t>
  </si>
  <si>
    <t>Min of Percentile_20</t>
  </si>
  <si>
    <t>Min of Percentile_25</t>
  </si>
  <si>
    <t>Min of Percentile_30</t>
  </si>
  <si>
    <t>Min of Percentile_35</t>
  </si>
  <si>
    <t>Min of Percentile_40</t>
  </si>
  <si>
    <t>Min of Percentile_45</t>
  </si>
  <si>
    <t>Min of Percentile_50</t>
  </si>
  <si>
    <t>Min of Percentile_55</t>
  </si>
  <si>
    <t>Min of Percentile_60</t>
  </si>
  <si>
    <t>Min of Percentile_65</t>
  </si>
  <si>
    <t>Min of Percentile_70</t>
  </si>
  <si>
    <t>Min of Percentile_75</t>
  </si>
  <si>
    <t>Min of Percentile_80</t>
  </si>
  <si>
    <t>Min of Percentile_85</t>
  </si>
  <si>
    <t>Min of Percentile_90</t>
  </si>
  <si>
    <t>Min of Percentile_95</t>
  </si>
  <si>
    <t>Min of Percentile_100</t>
  </si>
  <si>
    <t>Sum of flag_Percentile_05</t>
  </si>
  <si>
    <t>Sum of flag_Percentile_00</t>
  </si>
  <si>
    <t>Sum of flag_Percentile_10</t>
  </si>
  <si>
    <t>Sum of flag_Percentile_15</t>
  </si>
  <si>
    <t>Sum of flag_Percentile_20</t>
  </si>
  <si>
    <t>Sum of flag_Percentile_25</t>
  </si>
  <si>
    <t>Sum of flag_Percentile_30</t>
  </si>
  <si>
    <t>Sum of flag_Percentile_35</t>
  </si>
  <si>
    <t>Sum of flag_Percentile_40</t>
  </si>
  <si>
    <t>Sum of flag_Percentile_45</t>
  </si>
  <si>
    <t>Sum of flag_Percentile_50</t>
  </si>
  <si>
    <t>Sum of flag_Percentile_55</t>
  </si>
  <si>
    <t>Sum of flag_Percentile_60</t>
  </si>
  <si>
    <t>Sum of flag_Percentile_65</t>
  </si>
  <si>
    <t>Sum of flag_Percentile_70</t>
  </si>
  <si>
    <t>Sum of flag_Percentile_75</t>
  </si>
  <si>
    <t>Sum of flag_Percentile_80</t>
  </si>
  <si>
    <t>Sum of flag_Percentile_85</t>
  </si>
  <si>
    <t>Sum of flag_Percentile_90</t>
  </si>
  <si>
    <t>Sum of flag_Percentile_95</t>
  </si>
  <si>
    <t>Sum of flag_Percentile_100</t>
  </si>
  <si>
    <t>Open</t>
  </si>
  <si>
    <t>*</t>
  </si>
  <si>
    <t>As-Is</t>
  </si>
  <si>
    <t>Soglia As-Is</t>
  </si>
  <si>
    <t>Index</t>
  </si>
  <si>
    <t>Delta</t>
  </si>
  <si>
    <t>Delta Open Alert</t>
  </si>
  <si>
    <t>Count of flag_stato</t>
  </si>
  <si>
    <t>T0</t>
  </si>
  <si>
    <t>90</t>
  </si>
  <si>
    <t>Operazioni con paese controparte ad altissimo rischio</t>
  </si>
  <si>
    <t>261 - CROAZIA</t>
  </si>
  <si>
    <t>MOLISE SUINI SRL</t>
  </si>
  <si>
    <t>014 - ALLEVAMENTO DI ANIMALI</t>
  </si>
  <si>
    <t>053850_157</t>
  </si>
  <si>
    <t>202504306484552L</t>
  </si>
  <si>
    <t>091 - PRINCIPATO DI MONACO</t>
  </si>
  <si>
    <t>PTRSFN74P21A854D</t>
  </si>
  <si>
    <t>PETRUCCELLI STEFANO</t>
  </si>
  <si>
    <t>202504306484814L</t>
  </si>
  <si>
    <t>262 - RUSSIA (FEDERAZIONE DI)</t>
  </si>
  <si>
    <t>LRNLCU76C58L181S</t>
  </si>
  <si>
    <t>LAURINO LUCIA</t>
  </si>
  <si>
    <t>012 - BULGARIA</t>
  </si>
  <si>
    <t>ITALWOOD SOCIETA' A RESPONSABILITA' LIMITATA</t>
  </si>
  <si>
    <t>PTRFNC43S02A854P</t>
  </si>
  <si>
    <t>PETRUCCELLI FRANCESCO</t>
  </si>
  <si>
    <t>NATURA CARNI S.R.L.</t>
  </si>
  <si>
    <t>202504296437286L</t>
  </si>
  <si>
    <t>BLLLSN78R14A662Q</t>
  </si>
  <si>
    <t>BELLANTUONO ALESSANDRO</t>
  </si>
  <si>
    <t>202504286334915L</t>
  </si>
  <si>
    <t>MANIFATTURE MONACO DOMENICO S.R.L.</t>
  </si>
  <si>
    <t>202504286340489L</t>
  </si>
  <si>
    <t>CPRDNL87M08E435Y</t>
  </si>
  <si>
    <t>CAPORALE DANILO</t>
  </si>
  <si>
    <t>VITTORIA CAPPELLI SOCIETA' A RESPONSABILITA' LIMITATA SEMPLIFICAT</t>
  </si>
  <si>
    <t>BRLCRN59L50F052O</t>
  </si>
  <si>
    <t>BARILE CATERINA</t>
  </si>
  <si>
    <t>GLOBAL TRADING S.R.L.S.</t>
  </si>
  <si>
    <t>467 - COMMERCIO ALL'INGROSSO SPECIALIZZATO DI ALTRI PRODOTTI</t>
  </si>
  <si>
    <t>202504286340398L</t>
  </si>
  <si>
    <t>GLITTER SISTERS S.R.L.</t>
  </si>
  <si>
    <t>RSTFTM63M20Z100G</t>
  </si>
  <si>
    <t>RUSTEMI FITIM</t>
  </si>
  <si>
    <t>202504246259356L</t>
  </si>
  <si>
    <t>DI MARCO SRL</t>
  </si>
  <si>
    <t>202504236235780L</t>
  </si>
  <si>
    <t>HOLLY TOUR S.R.L.</t>
  </si>
  <si>
    <t>MRTNCL52R05F262F</t>
  </si>
  <si>
    <t>MARTINO NICOLA</t>
  </si>
  <si>
    <t>MRTMHL85H13F262D</t>
  </si>
  <si>
    <t>MARTINO MICHELE</t>
  </si>
  <si>
    <t>202504236235816L</t>
  </si>
  <si>
    <t>CLCCLN73M08C134H</t>
  </si>
  <si>
    <t>COLUCCI CARLO ANTONIO MODESTO</t>
  </si>
  <si>
    <t>202504236226467L</t>
  </si>
  <si>
    <t>BSSNTN69L21F104K</t>
  </si>
  <si>
    <t>BASSO ANTONIO</t>
  </si>
  <si>
    <t>BEPINK SRLS</t>
  </si>
  <si>
    <t>BELLUCCI S.A.S DI TUFARELLI MARIA PATRIZIA &amp; C.</t>
  </si>
  <si>
    <t>482 - Quasi societa' non finanziarie artigiane - Unita' o societa' con meno di 20 addetti</t>
  </si>
  <si>
    <t>SAN DOMENICO S.N.C. DI FILIPPO MANCINO &amp; C.</t>
  </si>
  <si>
    <t>104 - PRODUZIONE DI OLI E GRASSI VEGETALI E ANIMALI</t>
  </si>
  <si>
    <t>202504226106790L</t>
  </si>
  <si>
    <t>202504186076318L</t>
  </si>
  <si>
    <t>CAM2 SOCIETA' A RESPONSABILITA' LIMITATA</t>
  </si>
  <si>
    <t>202504176018104L</t>
  </si>
  <si>
    <t>DNCCST91E13L109Z</t>
  </si>
  <si>
    <t>DE NICOLO CRISTIANO</t>
  </si>
  <si>
    <t>027 - FILIPPINE</t>
  </si>
  <si>
    <t>202504176017698L</t>
  </si>
  <si>
    <t>HOTEL NAZIONALE S.R.L.</t>
  </si>
  <si>
    <t>CRNRRT78A19A225Y</t>
  </si>
  <si>
    <t>CORNACCHIA ROBERTO</t>
  </si>
  <si>
    <t>MASTER ITALY S.R.L.</t>
  </si>
  <si>
    <t>255 - FUCINATURA, IMBUTITURA, STAMPAGGIO E PROFILATURA DEI METALLI, METALLURGIA DELLE POLVERI</t>
  </si>
  <si>
    <t>202504176017818L</t>
  </si>
  <si>
    <t>LEONE S.R.L.</t>
  </si>
  <si>
    <t>452 - MANUTENZIONE E RIPARAZIONE DI AUTOVEICOLI</t>
  </si>
  <si>
    <t>202504176014723L</t>
  </si>
  <si>
    <t>LLLGNN63H55A662H</t>
  </si>
  <si>
    <t>LOLLINO GIOVANNA</t>
  </si>
  <si>
    <t>202504176017674L</t>
  </si>
  <si>
    <t>078 - SUDAFRICANA (REPUBBLICA)</t>
  </si>
  <si>
    <t>CTRGRL94T52C514B</t>
  </si>
  <si>
    <t>CATERINA GABRIELLA</t>
  </si>
  <si>
    <t>BRANTN64T10A893Y</t>
  </si>
  <si>
    <t>BARI ANTONIO</t>
  </si>
  <si>
    <t>AUTOTRASPORTI F.LLI LOMBARDI DI LOMBARDI VINCENZO E GIUSEPPE SNC</t>
  </si>
  <si>
    <t>202504165994061L</t>
  </si>
  <si>
    <t>SABATINO SRL</t>
  </si>
  <si>
    <t>202504155923380L</t>
  </si>
  <si>
    <t>LMTPTR64P07A612G</t>
  </si>
  <si>
    <t>LOMUTO PIETRO</t>
  </si>
  <si>
    <t>202504155922307L</t>
  </si>
  <si>
    <t>CRCRNT50S09A669P</t>
  </si>
  <si>
    <t>CURCI RENATO</t>
  </si>
  <si>
    <t>205 - FABBRICAZIONE DI ALTRI PRODOTTI CHIMICI</t>
  </si>
  <si>
    <t>202504155917015L</t>
  </si>
  <si>
    <t>ENERITALY S.R.L.</t>
  </si>
  <si>
    <t>202504155933129L</t>
  </si>
  <si>
    <t>KRZJSP84S29Z149E</t>
  </si>
  <si>
    <t>KRIZANIC JOSIP</t>
  </si>
  <si>
    <t>202504155923384L</t>
  </si>
  <si>
    <t>DLLLRT95P14A662V</t>
  </si>
  <si>
    <t>DELLINO ALBERTO</t>
  </si>
  <si>
    <t>331 - RIPARAZIONE E MANUTENZIONE DI PRODOTTI IN METALLO, MACCHINE ED APPARECCHIATURE</t>
  </si>
  <si>
    <t>PUNTO BIBITE SRL</t>
  </si>
  <si>
    <t>202504145859409L</t>
  </si>
  <si>
    <t>BSQ CERT S.R.L.</t>
  </si>
  <si>
    <t>202504145859436L</t>
  </si>
  <si>
    <t>RCCGRM83H07C034I</t>
  </si>
  <si>
    <t>RICCI GEREMIA</t>
  </si>
  <si>
    <t>034 - HAITI</t>
  </si>
  <si>
    <t>MEC WELDING SERVICE SOCIETA' A RESPONSABILITA' LIMITATA SEMPLIFICATA</t>
  </si>
  <si>
    <t>332 - INSTALLAZIONE DI MACCHINE ED APPARECCHIATURE INDUSTRIALI</t>
  </si>
  <si>
    <t>MAX DIVANI SOCIETA' A RESPONSABILITA' LIMITATA</t>
  </si>
  <si>
    <t>139 - ALTRE INDUSTRIE TESSILI</t>
  </si>
  <si>
    <t>AUTOEMME S.N.C. - DI DIMAGGIO MICHELE &amp; C.</t>
  </si>
  <si>
    <t>202504145856379L</t>
  </si>
  <si>
    <t>MNDLSN67P26D643P</t>
  </si>
  <si>
    <t>MENDUNO ALESSANDRO MATTEO</t>
  </si>
  <si>
    <t>749 - ALTRE ATTIVITÀ PROFESSIONALI, SCIENTIFICHE E TECNICHE NCA</t>
  </si>
  <si>
    <t>202504145865144L</t>
  </si>
  <si>
    <t>146 - COSTA D'AVORIO</t>
  </si>
  <si>
    <t>LAICI MISSIONARI - ODV ETS</t>
  </si>
  <si>
    <t xml:space="preserve">949 - ATTIVITÀ DI ALTRE ORGANIZZAZIONI ASSOCIATIVE </t>
  </si>
  <si>
    <t>202504115811647L</t>
  </si>
  <si>
    <t>202504115804169L</t>
  </si>
  <si>
    <t>PUGLIA ALBERGHIERA S.R.L.</t>
  </si>
  <si>
    <t>202504105765582L</t>
  </si>
  <si>
    <t>PGLVTR01S56E506B</t>
  </si>
  <si>
    <t>PAGLIARO VITTORIA</t>
  </si>
  <si>
    <t>202504105771058L</t>
  </si>
  <si>
    <t>R.A.I. RICAMBI SRL</t>
  </si>
  <si>
    <t>453 - COMMERCIO DI PARTI E ACCESSORI DI AUTOVEICOLI</t>
  </si>
  <si>
    <t>202504105765702L</t>
  </si>
  <si>
    <t>202504105771603L</t>
  </si>
  <si>
    <t>BNCMRZ68E03L049J</t>
  </si>
  <si>
    <t>BIANCHI MAURIZIO</t>
  </si>
  <si>
    <t>202504095731887L</t>
  </si>
  <si>
    <t>CDM TRASPORTI SOCIETA' COOPERATIVA</t>
  </si>
  <si>
    <t>202504085725000L</t>
  </si>
  <si>
    <t>CSMCLD59H17C983P</t>
  </si>
  <si>
    <t>CUSMAI CATALDO</t>
  </si>
  <si>
    <t>202504085724999L</t>
  </si>
  <si>
    <t>202504085668709L</t>
  </si>
  <si>
    <t>PUNTO BUS SERVICE S.R.L.</t>
  </si>
  <si>
    <t>202504085664989L</t>
  </si>
  <si>
    <t>202504085669361L</t>
  </si>
  <si>
    <t>DLADNC92E29A669L</t>
  </si>
  <si>
    <t>DALO' DOMENICO</t>
  </si>
  <si>
    <t>152 - FABBRICAZIONE DI CALZATURE</t>
  </si>
  <si>
    <t>202504045593742L</t>
  </si>
  <si>
    <t>TRANSPORT 68 SOCIETA' A RESPONSABILITA' LIMITATA</t>
  </si>
  <si>
    <t>C.M.D. COSTRUZIONI MOTORI DIESEL S.P.A.</t>
  </si>
  <si>
    <t>256 - TRATTAMENTO E RIVESTIMENTO DEI METALLI, LAVORI DI MECCANICA GENERALE</t>
  </si>
  <si>
    <t>FSNMHL77R19H096V</t>
  </si>
  <si>
    <t>FASANELLI MICHELE</t>
  </si>
  <si>
    <t>202504035518048L</t>
  </si>
  <si>
    <t>SARTY LTD</t>
  </si>
  <si>
    <t>758 - Societa' non finanziarie dei paesi UE non membri dell'area dell'euro</t>
  </si>
  <si>
    <t>053850_154</t>
  </si>
  <si>
    <t>RMNRCC81E18Z347K</t>
  </si>
  <si>
    <t>ROMANO ROCCO</t>
  </si>
  <si>
    <t>661 - ATTIVITÀ AUSILIARIE DEI SERVIZI FINANZIARI (ESCLUSE LE ASSICURAZIONI E I FONDI PENSIONE)</t>
  </si>
  <si>
    <t>VITTORIA CAPPELLI SOCIETA' A RESPONSABILITA'</t>
  </si>
  <si>
    <t>202504025458099L</t>
  </si>
  <si>
    <t>CENTRO RADIOLOGICO PUGLIESE S.R.L.</t>
  </si>
  <si>
    <t>869 - ALTRI SERVIZI DI ASSISTENZA SANITARIA</t>
  </si>
  <si>
    <t>202504015377338L</t>
  </si>
  <si>
    <t>BARRACUDA S.A.S. DI DIROMA LEONARDO &amp; C.</t>
  </si>
  <si>
    <t>476 - COMMERCIO AL DETTAGLIO DI ARTICOLI CULTURALI E RICREATIVI IN ESERCIZI SPECIALIZZATI</t>
  </si>
  <si>
    <t>MUPU SOCIETA' A RESPONSABILITA' LIMITATASEMPLIFICATA</t>
  </si>
  <si>
    <t>960 - ALTRE ATTIVITÀ DI SERVIZI PER LA PERSONA</t>
  </si>
  <si>
    <t>202504015412296L</t>
  </si>
  <si>
    <t>SIET IMPIANTI SOCIETA' A RESPONSABILITA'LIMI</t>
  </si>
  <si>
    <t>202505307686251L</t>
  </si>
  <si>
    <t>202505307685713L</t>
  </si>
  <si>
    <t>TRANSPORT 68 SOCIETA' A RESPONSABILITA' LIMI</t>
  </si>
  <si>
    <t>202505307656586L</t>
  </si>
  <si>
    <t>AUT LIVELL SOCIETA' A RESPONSABILITA' LIMITATA</t>
  </si>
  <si>
    <t>202505307646304L</t>
  </si>
  <si>
    <t>PPULCN79E29F537D</t>
  </si>
  <si>
    <t>PUPO LUCIANO</t>
  </si>
  <si>
    <t>161 - TAGLIO E PIALLATURA DEL LEGNO</t>
  </si>
  <si>
    <t>202505297583357L</t>
  </si>
  <si>
    <t>202505297587181L</t>
  </si>
  <si>
    <t>NEARTH TARTUFI S.R.L.</t>
  </si>
  <si>
    <t>103 - LAVORAZIONE E CONSERVAZIONE DI FRUTTA E ORTAGGI</t>
  </si>
  <si>
    <t>202505297585019L</t>
  </si>
  <si>
    <t>202505297586364L</t>
  </si>
  <si>
    <t>M2 EVOLUTION CAR S.R.L.</t>
  </si>
  <si>
    <t>202505287569197L</t>
  </si>
  <si>
    <t>202505267441634L</t>
  </si>
  <si>
    <t>202505267441633L</t>
  </si>
  <si>
    <t>202505227343997L</t>
  </si>
  <si>
    <t>I DUE MARI - SOCIETA' COOPERATIVA</t>
  </si>
  <si>
    <t>032 - ACQUACOLTURA</t>
  </si>
  <si>
    <t>202505227344075L</t>
  </si>
  <si>
    <t>202505227343980L</t>
  </si>
  <si>
    <t>RMOFNC71T10G722S</t>
  </si>
  <si>
    <t>ROMEO FRANCESCO</t>
  </si>
  <si>
    <t>202505227344015L</t>
  </si>
  <si>
    <t>ZEROTF S.R.L.</t>
  </si>
  <si>
    <t>202505217313268L</t>
  </si>
  <si>
    <t>202505207242755L</t>
  </si>
  <si>
    <t>L'ARTIGIANO DELLA NDUJA S.R.L.</t>
  </si>
  <si>
    <t>BELLUCCI S.A.S DI TUFARELLI MARIA PATRIZIA &amp;</t>
  </si>
  <si>
    <t>LOGIKOMNIA S.R.L.</t>
  </si>
  <si>
    <t>900 - ATTIVITÀ CREATIVE, ARTISTICHE E DI INTRATTENIMENTO</t>
  </si>
  <si>
    <t>202505207240311L</t>
  </si>
  <si>
    <t>CARONE GIACOMA S.R.L.</t>
  </si>
  <si>
    <t>202505207237026L</t>
  </si>
  <si>
    <t>202505207242753L</t>
  </si>
  <si>
    <t>ENTERPRISE DIGITAL SOLUTIONS SRL</t>
  </si>
  <si>
    <t>PELMA SOCIETA' A RESPONSABILITA' LIMITATA SEMPLIFICATA</t>
  </si>
  <si>
    <t>202505197175517L</t>
  </si>
  <si>
    <t>202505197179782L</t>
  </si>
  <si>
    <t>202505197179785L</t>
  </si>
  <si>
    <t>202505197178620L</t>
  </si>
  <si>
    <t>RSG PROPERTY MANAGEMENT SRLS</t>
  </si>
  <si>
    <t>FORM DESIGN S.R.L.</t>
  </si>
  <si>
    <t>AUTOTRASPORTI F.LLI LOMBARDI DI LOMBARDI VIN</t>
  </si>
  <si>
    <t>SPRGLM56P01A669R</t>
  </si>
  <si>
    <t>SPERA GIROLAMO</t>
  </si>
  <si>
    <t>202505157069350L</t>
  </si>
  <si>
    <t>MPALQUADRATO SOCIETA' A RESPONSABILITA' LIMI</t>
  </si>
  <si>
    <t>202505157058592L</t>
  </si>
  <si>
    <t>MTTGUO63D10H501E</t>
  </si>
  <si>
    <t>AMETTA UGO</t>
  </si>
  <si>
    <t>202505157058591L</t>
  </si>
  <si>
    <t>202505157056744L</t>
  </si>
  <si>
    <t>202505147038544L</t>
  </si>
  <si>
    <t>202505147036040L</t>
  </si>
  <si>
    <t>202505147038756L</t>
  </si>
  <si>
    <t>FREZZA LEGNAMI S.P.A.</t>
  </si>
  <si>
    <t>202505126963324L</t>
  </si>
  <si>
    <t>DCMCMN64P15I907M</t>
  </si>
  <si>
    <t>DE CAMELIS CARMINE</t>
  </si>
  <si>
    <t>202505126963325L</t>
  </si>
  <si>
    <t>DCMMHL62L06L328M</t>
  </si>
  <si>
    <t>DE CAMELIS MICHELE</t>
  </si>
  <si>
    <t>202505126907757L</t>
  </si>
  <si>
    <t>202505126908168L</t>
  </si>
  <si>
    <t>MRTGPP53M15L049C</t>
  </si>
  <si>
    <t>MARTURANO GIUSEPPE</t>
  </si>
  <si>
    <t>202505126903098L</t>
  </si>
  <si>
    <t>LZZMNL53P63L049I</t>
  </si>
  <si>
    <t>LAZZARETTI MARINELLA</t>
  </si>
  <si>
    <t>202505096890610L</t>
  </si>
  <si>
    <t>RNICRL83T29A225K</t>
  </si>
  <si>
    <t>IUORNO CARLO</t>
  </si>
  <si>
    <t>MSCNCL60D17A662G</t>
  </si>
  <si>
    <t>MISCEO NICOLA</t>
  </si>
  <si>
    <t>202505086849794L</t>
  </si>
  <si>
    <t>DCRGNN62B03D738S</t>
  </si>
  <si>
    <t>DI CRISCI GIOVANNI BRUNO</t>
  </si>
  <si>
    <t>202505086818128L</t>
  </si>
  <si>
    <t>SCHMCN95T47A662S</t>
  </si>
  <si>
    <t>SCHIAVARIELLO MARIA CONCETTA</t>
  </si>
  <si>
    <t>202505086816304L</t>
  </si>
  <si>
    <t>VTRGPP85L17C710Y</t>
  </si>
  <si>
    <t>VETRO' GIUSEPPE</t>
  </si>
  <si>
    <t>202505086815320L</t>
  </si>
  <si>
    <t>SCHFNC98H13A662I</t>
  </si>
  <si>
    <t>SCHIAVARIELLO FRANCESCO ANTONIO</t>
  </si>
  <si>
    <t>GRFGPP83R23A893N</t>
  </si>
  <si>
    <t>GAROFALO GIUSEPPE</t>
  </si>
  <si>
    <t>202505086820514L</t>
  </si>
  <si>
    <t>NTLNTN65A46B619F</t>
  </si>
  <si>
    <t>NATALE ANTONIA</t>
  </si>
  <si>
    <t>202505066789558L</t>
  </si>
  <si>
    <t>202505076751292L</t>
  </si>
  <si>
    <t>FDESIGN ITALIA SOCIETA' A RESPONSABILITA' LIMITATA</t>
  </si>
  <si>
    <t>202505066712154L</t>
  </si>
  <si>
    <t>116 - KENYA</t>
  </si>
  <si>
    <t>TOTALIFE</t>
  </si>
  <si>
    <t>202505066712153L</t>
  </si>
  <si>
    <t>202505066712166L</t>
  </si>
  <si>
    <t>MPALQUADRATO SOCIETA' A RESPONSABILITA' LIMITATA</t>
  </si>
  <si>
    <t>202505056640737L</t>
  </si>
  <si>
    <t>057 - TANZANIA (REPUBBLICA DI)</t>
  </si>
  <si>
    <t>CTGNLF73M22A285C</t>
  </si>
  <si>
    <t>COTUGNO NICOLA FABIO</t>
  </si>
  <si>
    <t>202505056635192L</t>
  </si>
  <si>
    <t>QRCSVT78A08A285Q</t>
  </si>
  <si>
    <t>QUERCIA SALVATORE</t>
  </si>
  <si>
    <t>202505056634797L</t>
  </si>
  <si>
    <t>202505026619980L</t>
  </si>
  <si>
    <t>DLCGPP59H14F052I</t>
  </si>
  <si>
    <t>DI LECCE GIUSEPPE</t>
  </si>
  <si>
    <t>TENUTA BIANCHI SOCIETA' COOPERATIVA AGRICOLA</t>
  </si>
  <si>
    <t>202505026512605L</t>
  </si>
  <si>
    <t>202506308836996L</t>
  </si>
  <si>
    <t>095 - LIBANO</t>
  </si>
  <si>
    <t>NDRFLV63D42A662R</t>
  </si>
  <si>
    <t>INDRIO FLAVIA</t>
  </si>
  <si>
    <t>202506308831918L</t>
  </si>
  <si>
    <t>BELLAVEDUTA SRL INDUSTRIA DEL MARMO E DEL GR</t>
  </si>
  <si>
    <t>237 - TAGLIO, MODELLATURA E FINITURA DI PIETRE</t>
  </si>
  <si>
    <t>202506308831919L</t>
  </si>
  <si>
    <t>202506308829276L</t>
  </si>
  <si>
    <t>PTRMHL66P25H831I</t>
  </si>
  <si>
    <t>PETRINO MICHELINO</t>
  </si>
  <si>
    <t>202506268705257L</t>
  </si>
  <si>
    <t>TTEMCN62T42G722M</t>
  </si>
  <si>
    <t>TETI MARIA CONCETTA</t>
  </si>
  <si>
    <t>202506268705488L</t>
  </si>
  <si>
    <t>202506268705259L</t>
  </si>
  <si>
    <t>TTEGPP68S12G722H</t>
  </si>
  <si>
    <t>TETI GIUSEPPE</t>
  </si>
  <si>
    <t>202506268705258L</t>
  </si>
  <si>
    <t>TTERCC73L29G722N</t>
  </si>
  <si>
    <t>TETI ROCCO</t>
  </si>
  <si>
    <t>VLLRRT79B57F537Z</t>
  </si>
  <si>
    <t>VALLONE ROBERTA</t>
  </si>
  <si>
    <t>202506268706065L</t>
  </si>
  <si>
    <t>LE FERRE S.R.L.</t>
  </si>
  <si>
    <t>202506248700398L</t>
  </si>
  <si>
    <t>VLPNNA59C69A662H</t>
  </si>
  <si>
    <t>VOLPE ANNA</t>
  </si>
  <si>
    <t>LINEA PELLE S.R.L.</t>
  </si>
  <si>
    <t>202506258686214L</t>
  </si>
  <si>
    <t>DMRNTN63C15L328N</t>
  </si>
  <si>
    <t>DI MARTINO ANTONIO</t>
  </si>
  <si>
    <t>202506238558595L</t>
  </si>
  <si>
    <t>VAT ITALIA S.R.L.</t>
  </si>
  <si>
    <t>702 - ATTIVITÀ DI CONSULENZA GESTIONALE</t>
  </si>
  <si>
    <t>202506238559257L</t>
  </si>
  <si>
    <t>VZZLNB73R01F052E</t>
  </si>
  <si>
    <t>VIZZIELLO LUCIANO BRUNO</t>
  </si>
  <si>
    <t>202506238546057L</t>
  </si>
  <si>
    <t>BRJNCL95S01F052R</t>
  </si>
  <si>
    <t>BRAJKO NICOLA</t>
  </si>
  <si>
    <t>202506238546327L</t>
  </si>
  <si>
    <t>202506238554441L</t>
  </si>
  <si>
    <t>202506208497555L</t>
  </si>
  <si>
    <t>CO.BE.CA. S.R.L.</t>
  </si>
  <si>
    <t>LBRGDU73A02A662U</t>
  </si>
  <si>
    <t>LABRIOLA GUIDO</t>
  </si>
  <si>
    <t>202506198457957L</t>
  </si>
  <si>
    <t>FDESIGN ITALIA SOCIETA' A RESPONSABILITA' LI</t>
  </si>
  <si>
    <t>202506188421928L</t>
  </si>
  <si>
    <t>LVTNLY65L50Z104O</t>
  </si>
  <si>
    <t>ILIEVA ITSKOVA ANELIYA</t>
  </si>
  <si>
    <t>202506178347291L</t>
  </si>
  <si>
    <t>202506178346673L</t>
  </si>
  <si>
    <t>202506178347002L</t>
  </si>
  <si>
    <t>202506178351482L</t>
  </si>
  <si>
    <t>202506178346406L</t>
  </si>
  <si>
    <t>ID SUPERLATIVE DI CARMEN INCARNATO E DOMENICO DONADIO S.N.C.</t>
  </si>
  <si>
    <t>742 - ATTIVITÀ FOTOGRAFICHE</t>
  </si>
  <si>
    <t>202506178348245L</t>
  </si>
  <si>
    <t>LEVEL PROJECT S.R.L.</t>
  </si>
  <si>
    <t>202506168268029L</t>
  </si>
  <si>
    <t>202506168271245L</t>
  </si>
  <si>
    <t>202506168274852L</t>
  </si>
  <si>
    <t>202506168274343L</t>
  </si>
  <si>
    <t>202506168270100L</t>
  </si>
  <si>
    <t>202506168272167L</t>
  </si>
  <si>
    <t>EUROSUD CATALDI SOCIETA' A RESPONSABILITA' L</t>
  </si>
  <si>
    <t>439 - ALTRI LAVORI SPECIALIZZATI DI COSTRUZIONE</t>
  </si>
  <si>
    <t>CIVITARESE AUTO S.R.L.S.</t>
  </si>
  <si>
    <t>NEXT -EG SRL</t>
  </si>
  <si>
    <t>284 - FABBRICAZIONE DI MACCHINE PER LA FORMATURA DEI METALLI E DI ALTRE MACCHINE UTENSILI</t>
  </si>
  <si>
    <t>202506128145634L</t>
  </si>
  <si>
    <t>202506128150298L</t>
  </si>
  <si>
    <t>202506128151402L</t>
  </si>
  <si>
    <t>051 - PANAMA</t>
  </si>
  <si>
    <t>FERRI 1956 SOCIETA' A RESPONSABILITA' LIMITATA</t>
  </si>
  <si>
    <t>202506118126151L</t>
  </si>
  <si>
    <t>053850_156</t>
  </si>
  <si>
    <t>202506098053206L</t>
  </si>
  <si>
    <t>GRUPPO EVENTI LOVE SOCIETA' A RESPONSABILITA' LIMITATA SEMPLIFICATA</t>
  </si>
  <si>
    <t>773 - NOLEGGIO DI ALTRE MACCHINE, ATTREZZATURE E BENI MATERIALI</t>
  </si>
  <si>
    <t>202506097975965L</t>
  </si>
  <si>
    <t>202506097973937L</t>
  </si>
  <si>
    <t>AR.T. S.R.L.</t>
  </si>
  <si>
    <t>202506097975139L</t>
  </si>
  <si>
    <t>202506067919553L</t>
  </si>
  <si>
    <t>202506067917832L</t>
  </si>
  <si>
    <t>CPTVTR63H18F376T</t>
  </si>
  <si>
    <t>CAPITANIO VITTORIO</t>
  </si>
  <si>
    <t>202506057873226L</t>
  </si>
  <si>
    <t>ZZTGPP65R19I158M</t>
  </si>
  <si>
    <t>IZZOTTI GIUSEPPE</t>
  </si>
  <si>
    <t>202506057877520L</t>
  </si>
  <si>
    <t>202506057873203L</t>
  </si>
  <si>
    <t>202506057871571L</t>
  </si>
  <si>
    <t>202506047828790L</t>
  </si>
  <si>
    <t>202506047831177L</t>
  </si>
  <si>
    <t>202506047828948L</t>
  </si>
  <si>
    <t>202506047828398L</t>
  </si>
  <si>
    <t>202506047828859L</t>
  </si>
  <si>
    <t>202506047826895L</t>
  </si>
  <si>
    <t>MLLNMR84M65A893U</t>
  </si>
  <si>
    <t>MILILLO ANNA MARIA</t>
  </si>
  <si>
    <t>202506037706376L</t>
  </si>
  <si>
    <t>RKVRZC44C50Z118J</t>
  </si>
  <si>
    <t>RUKAVINA RUZICA</t>
  </si>
  <si>
    <t>Calibrazione 00090 - Operazioni con paese controparte ad altissimo rischio</t>
  </si>
  <si>
    <t>00090</t>
  </si>
  <si>
    <t>Calibrata</t>
  </si>
  <si>
    <t>Soglia Calibrata</t>
  </si>
  <si>
    <r>
      <t xml:space="preserve">La seguente tabella costituisce uno strumento di supporto all’analisi, volto a simulare l’impatto delle soglie calibrate sulla riduzione del numero complessivo di alert e dei falsi positivi generati dallo scenario </t>
    </r>
    <r>
      <rPr>
        <b/>
        <sz val="11"/>
        <color theme="1"/>
        <rFont val="Calibri"/>
        <family val="2"/>
        <scheme val="minor"/>
      </rPr>
      <t>00090 - Operazioni con paese controparte ad altissimo rischio</t>
    </r>
  </si>
  <si>
    <t>ZENTRUM BARI S.R.L.</t>
  </si>
  <si>
    <t>202504186090577L</t>
  </si>
  <si>
    <t>202504115805759L</t>
  </si>
  <si>
    <t>202504105771693L</t>
  </si>
  <si>
    <t>202504105771698L</t>
  </si>
  <si>
    <t>202505237391215L</t>
  </si>
  <si>
    <t>202505227343428L</t>
  </si>
  <si>
    <t>NGLDNT52B02A055H</t>
  </si>
  <si>
    <t>ANGIULI DONATO</t>
  </si>
  <si>
    <t>110 - INDUSTRIA DELLE BEVANDE</t>
  </si>
  <si>
    <t>202505227342260L</t>
  </si>
  <si>
    <t>OVERLAND TARTUFI SRL</t>
  </si>
  <si>
    <t>202505217341646L</t>
  </si>
  <si>
    <t>THE CORNER SRLS</t>
  </si>
  <si>
    <t>202506308826459L</t>
  </si>
  <si>
    <t>202506238546200L</t>
  </si>
  <si>
    <t>053850_120</t>
  </si>
  <si>
    <t>202506138218303L</t>
  </si>
  <si>
    <t>OSPEDALE GENERALE REGIONALE - MIULLI -</t>
  </si>
  <si>
    <t>500 - Istituzioni ed enti ecclesiastici e religiosi</t>
  </si>
  <si>
    <t>861 - SERVIZI OSPEDALIERI</t>
  </si>
  <si>
    <t>202506067958058L</t>
  </si>
  <si>
    <t>Approcio Prudenziale</t>
  </si>
  <si>
    <t>Approcio Medio</t>
  </si>
  <si>
    <t>Approcio Aggressivo</t>
  </si>
  <si>
    <t>Open Alert Eliminato</t>
  </si>
  <si>
    <t>Open Alert</t>
  </si>
  <si>
    <t>% Delta Soglie</t>
  </si>
  <si>
    <t>Numero alert scen 00090</t>
  </si>
  <si>
    <t>Falso Positivo</t>
  </si>
  <si>
    <t>Totale</t>
  </si>
  <si>
    <t>Tasso Falso Positivo</t>
  </si>
  <si>
    <t>Soglia</t>
  </si>
  <si>
    <t>Falso Positivo Eliminato</t>
  </si>
  <si>
    <t>Delta Soglie</t>
  </si>
  <si>
    <t>Totale Alert</t>
  </si>
  <si>
    <t>Alert Falso Positivo</t>
  </si>
  <si>
    <t>(All)</t>
  </si>
  <si>
    <t>Row Labels</t>
  </si>
  <si>
    <t># POSIZIONE</t>
  </si>
  <si>
    <t>IMPORTO Min</t>
  </si>
  <si>
    <t>IMPORTO Medio</t>
  </si>
  <si>
    <t>L’analisi evidenzia l’importo a livello di classe di rischio.
Falso Positivo =&gt; Flag Stato = 0
Open Alert =&gt; Flag Stato = 1</t>
  </si>
  <si>
    <t>% POSIZIONE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</si>
</sst>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yyyy\-mm\-dd\ hh:mm:ss"/>
    <numFmt numFmtId="165" formatCode="_-* #,##0\ &quot;€&quot;_-;\-* #,##0\ &quot;€&quot;_-;_-* &quot;-&quot;??\ &quot;€&quot;_-;_-@_-"/>
    <numFmt numFmtId="166" formatCode="0.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7EBB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0" applyNumberFormat="1"/>
    <xf numFmtId="9" fontId="0" fillId="0" borderId="0" xfId="1" applyFont="1"/>
    <xf numFmtId="0" fontId="0" fillId="0" borderId="1" xfId="0" applyBorder="1"/>
    <xf numFmtId="9" fontId="0" fillId="0" borderId="1" xfId="1" applyFont="1" applyFill="1" applyBorder="1"/>
    <xf numFmtId="0" fontId="0" fillId="0" borderId="0" xfId="0" applyAlignment="1">
      <alignment horizontal="center" vertical="center"/>
    </xf>
    <xf numFmtId="44" fontId="0" fillId="0" borderId="1" xfId="0" applyNumberFormat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quotePrefix="1" applyBorder="1"/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6" fontId="0" fillId="0" borderId="0" xfId="0" applyNumberFormat="1"/>
    <xf numFmtId="0" fontId="0" fillId="0" borderId="1" xfId="0" applyBorder="1" applyAlignment="1">
      <alignment horizontal="center"/>
    </xf>
    <xf numFmtId="165" fontId="0" fillId="0" borderId="1" xfId="2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44" fontId="0" fillId="0" borderId="0" xfId="0" applyNumberFormat="1"/>
    <xf numFmtId="0" fontId="0" fillId="0" borderId="1" xfId="1" applyNumberFormat="1" applyFont="1" applyBorder="1"/>
    <xf numFmtId="0" fontId="3" fillId="2" borderId="2" xfId="0" applyFont="1" applyFill="1" applyBorder="1" applyAlignment="1">
      <alignment horizontal="center" vertical="center"/>
    </xf>
    <xf numFmtId="165" fontId="0" fillId="3" borderId="1" xfId="2" applyNumberFormat="1" applyFont="1" applyFill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2" borderId="12" xfId="0" applyFont="1" applyFill="1" applyBorder="1" applyAlignment="1">
      <alignment horizontal="center" vertical="center"/>
    </xf>
    <xf numFmtId="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9" fontId="3" fillId="2" borderId="2" xfId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1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* #,##0.00\ &quot;€&quot;_-;\-* #,##0.00\ &quot;€&quot;_-;_-* &quot;-&quot;??\ &quot;€&quot;_-;_-@_-"/>
    </dxf>
  </dxfs>
  <tableStyles count="0" defaultTableStyle="TableStyleMedium9" defaultPivotStyle="PivotStyleLight16"/>
  <colors>
    <mruColors>
      <color rgb="FF4A7EBB"/>
      <color rgb="FFEBF1DE"/>
      <color rgb="FF329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'00090'!$A$18</c:f>
              <c:strCache>
                <c:ptCount val="1"/>
                <c:pt idx="0">
                  <c:v>Falso Positivo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'00090'!$B$17:$W$17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'00090'!$B$18:$W$18</c:f>
              <c:numCache>
                <c:formatCode>General</c:formatCode>
                <c:ptCount val="22"/>
                <c:pt idx="0">
                  <c:v>137</c:v>
                </c:pt>
                <c:pt idx="1">
                  <c:v>137</c:v>
                </c:pt>
                <c:pt idx="2">
                  <c:v>130</c:v>
                </c:pt>
                <c:pt idx="3">
                  <c:v>125</c:v>
                </c:pt>
                <c:pt idx="4">
                  <c:v>116</c:v>
                </c:pt>
                <c:pt idx="5">
                  <c:v>109</c:v>
                </c:pt>
                <c:pt idx="6">
                  <c:v>103</c:v>
                </c:pt>
                <c:pt idx="7">
                  <c:v>96</c:v>
                </c:pt>
                <c:pt idx="8">
                  <c:v>91</c:v>
                </c:pt>
                <c:pt idx="9">
                  <c:v>84</c:v>
                </c:pt>
                <c:pt idx="10">
                  <c:v>77</c:v>
                </c:pt>
                <c:pt idx="11">
                  <c:v>69</c:v>
                </c:pt>
                <c:pt idx="12">
                  <c:v>68</c:v>
                </c:pt>
                <c:pt idx="13">
                  <c:v>55</c:v>
                </c:pt>
                <c:pt idx="14">
                  <c:v>48</c:v>
                </c:pt>
                <c:pt idx="15">
                  <c:v>41</c:v>
                </c:pt>
                <c:pt idx="16">
                  <c:v>35</c:v>
                </c:pt>
                <c:pt idx="17">
                  <c:v>28</c:v>
                </c:pt>
                <c:pt idx="18">
                  <c:v>21</c:v>
                </c:pt>
                <c:pt idx="19">
                  <c:v>14</c:v>
                </c:pt>
                <c:pt idx="20">
                  <c:v>8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3-41D0-9A50-A5708B8DF760}"/>
            </c:ext>
          </c:extLst>
        </c:ser>
        <c:ser>
          <c:idx val="1"/>
          <c:order val="1"/>
          <c:tx>
            <c:strRef>
              <c:f>'00090'!$A$19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'00090'!$B$17:$W$17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'00090'!$B$19:$W$19</c:f>
              <c:numCache>
                <c:formatCode>General</c:formatCode>
                <c:ptCount val="22"/>
                <c:pt idx="0">
                  <c:v>167</c:v>
                </c:pt>
                <c:pt idx="1">
                  <c:v>167</c:v>
                </c:pt>
                <c:pt idx="2">
                  <c:v>160</c:v>
                </c:pt>
                <c:pt idx="3">
                  <c:v>149</c:v>
                </c:pt>
                <c:pt idx="4">
                  <c:v>139</c:v>
                </c:pt>
                <c:pt idx="5">
                  <c:v>127</c:v>
                </c:pt>
                <c:pt idx="6">
                  <c:v>111</c:v>
                </c:pt>
                <c:pt idx="7">
                  <c:v>101</c:v>
                </c:pt>
                <c:pt idx="8">
                  <c:v>99</c:v>
                </c:pt>
                <c:pt idx="9">
                  <c:v>87</c:v>
                </c:pt>
                <c:pt idx="10">
                  <c:v>84</c:v>
                </c:pt>
                <c:pt idx="11">
                  <c:v>70</c:v>
                </c:pt>
                <c:pt idx="12">
                  <c:v>70</c:v>
                </c:pt>
                <c:pt idx="13">
                  <c:v>61</c:v>
                </c:pt>
                <c:pt idx="14">
                  <c:v>58</c:v>
                </c:pt>
                <c:pt idx="15">
                  <c:v>34</c:v>
                </c:pt>
                <c:pt idx="16">
                  <c:v>28</c:v>
                </c:pt>
                <c:pt idx="17">
                  <c:v>21</c:v>
                </c:pt>
                <c:pt idx="18">
                  <c:v>17</c:v>
                </c:pt>
                <c:pt idx="19">
                  <c:v>8</c:v>
                </c:pt>
                <c:pt idx="20">
                  <c:v>6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3-41D0-9A50-A5708B8DF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'00090'!$A$22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'00090'!$C$17:$W$17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'00090'!$B$22:$W$22</c:f>
              <c:numCache>
                <c:formatCode>0%</c:formatCode>
                <c:ptCount val="22"/>
                <c:pt idx="0">
                  <c:v>0.45065789473684209</c:v>
                </c:pt>
                <c:pt idx="1">
                  <c:v>0.45065789473684209</c:v>
                </c:pt>
                <c:pt idx="2">
                  <c:v>0.44827586206896552</c:v>
                </c:pt>
                <c:pt idx="3">
                  <c:v>0.45620437956204379</c:v>
                </c:pt>
                <c:pt idx="4">
                  <c:v>0.45490196078431372</c:v>
                </c:pt>
                <c:pt idx="5">
                  <c:v>0.46186440677966101</c:v>
                </c:pt>
                <c:pt idx="6">
                  <c:v>0.48130841121495327</c:v>
                </c:pt>
                <c:pt idx="7">
                  <c:v>0.48730964467005078</c:v>
                </c:pt>
                <c:pt idx="8">
                  <c:v>0.47894736842105262</c:v>
                </c:pt>
                <c:pt idx="9">
                  <c:v>0.49122807017543857</c:v>
                </c:pt>
                <c:pt idx="10">
                  <c:v>0.47826086956521741</c:v>
                </c:pt>
                <c:pt idx="11">
                  <c:v>0.49640287769784175</c:v>
                </c:pt>
                <c:pt idx="12">
                  <c:v>0.49275362318840582</c:v>
                </c:pt>
                <c:pt idx="13">
                  <c:v>0.47413793103448276</c:v>
                </c:pt>
                <c:pt idx="14">
                  <c:v>0.45283018867924529</c:v>
                </c:pt>
                <c:pt idx="15">
                  <c:v>0.54666666666666663</c:v>
                </c:pt>
                <c:pt idx="16">
                  <c:v>0.55555555555555558</c:v>
                </c:pt>
                <c:pt idx="17">
                  <c:v>0.5714285714285714</c:v>
                </c:pt>
                <c:pt idx="18">
                  <c:v>0.55263157894736847</c:v>
                </c:pt>
                <c:pt idx="19">
                  <c:v>0.63636363636363635</c:v>
                </c:pt>
                <c:pt idx="20">
                  <c:v>0.5714285714285714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43-41D0-9A50-A5708B8DF760}"/>
            </c:ext>
          </c:extLst>
        </c:ser>
        <c:ser>
          <c:idx val="3"/>
          <c:order val="3"/>
          <c:tx>
            <c:strRef>
              <c:f>'00090'!$A$21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'00090'!$C$17:$W$17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'00090'!$B$21:$W$21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0.95808383233532934</c:v>
                </c:pt>
                <c:pt idx="3">
                  <c:v>0.89221556886227549</c:v>
                </c:pt>
                <c:pt idx="4">
                  <c:v>0.83233532934131738</c:v>
                </c:pt>
                <c:pt idx="5">
                  <c:v>0.76047904191616766</c:v>
                </c:pt>
                <c:pt idx="6">
                  <c:v>0.66467065868263475</c:v>
                </c:pt>
                <c:pt idx="7">
                  <c:v>0.60479041916167664</c:v>
                </c:pt>
                <c:pt idx="8">
                  <c:v>0.59281437125748504</c:v>
                </c:pt>
                <c:pt idx="9">
                  <c:v>0.52095808383233533</c:v>
                </c:pt>
                <c:pt idx="10">
                  <c:v>0.50299401197604787</c:v>
                </c:pt>
                <c:pt idx="11">
                  <c:v>0.41916167664670656</c:v>
                </c:pt>
                <c:pt idx="12">
                  <c:v>0.41916167664670656</c:v>
                </c:pt>
                <c:pt idx="13">
                  <c:v>0.3652694610778443</c:v>
                </c:pt>
                <c:pt idx="14">
                  <c:v>0.3473053892215569</c:v>
                </c:pt>
                <c:pt idx="15">
                  <c:v>0.20359281437125748</c:v>
                </c:pt>
                <c:pt idx="16">
                  <c:v>0.16766467065868262</c:v>
                </c:pt>
                <c:pt idx="17">
                  <c:v>0.12574850299401197</c:v>
                </c:pt>
                <c:pt idx="18">
                  <c:v>0.10179640718562874</c:v>
                </c:pt>
                <c:pt idx="19">
                  <c:v>4.790419161676647E-2</c:v>
                </c:pt>
                <c:pt idx="20">
                  <c:v>3.5928143712574849E-2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38-4981-9B10-913EABBB2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'00090'!$A$24</c:f>
              <c:strCache>
                <c:ptCount val="1"/>
                <c:pt idx="0">
                  <c:v>Falso Positivo Eliminato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'00090'!$B$17:$W$17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'00090'!$B$24:$W$24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12</c:v>
                </c:pt>
                <c:pt idx="4">
                  <c:v>21</c:v>
                </c:pt>
                <c:pt idx="5">
                  <c:v>28</c:v>
                </c:pt>
                <c:pt idx="6">
                  <c:v>34</c:v>
                </c:pt>
                <c:pt idx="7">
                  <c:v>41</c:v>
                </c:pt>
                <c:pt idx="8">
                  <c:v>46</c:v>
                </c:pt>
                <c:pt idx="9">
                  <c:v>53</c:v>
                </c:pt>
                <c:pt idx="10">
                  <c:v>60</c:v>
                </c:pt>
                <c:pt idx="11">
                  <c:v>68</c:v>
                </c:pt>
                <c:pt idx="12">
                  <c:v>69</c:v>
                </c:pt>
                <c:pt idx="13">
                  <c:v>82</c:v>
                </c:pt>
                <c:pt idx="14">
                  <c:v>89</c:v>
                </c:pt>
                <c:pt idx="15">
                  <c:v>96</c:v>
                </c:pt>
                <c:pt idx="16">
                  <c:v>102</c:v>
                </c:pt>
                <c:pt idx="17">
                  <c:v>109</c:v>
                </c:pt>
                <c:pt idx="18">
                  <c:v>116</c:v>
                </c:pt>
                <c:pt idx="19">
                  <c:v>123</c:v>
                </c:pt>
                <c:pt idx="20">
                  <c:v>129</c:v>
                </c:pt>
                <c:pt idx="21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0-469A-854B-55F7FFC17C7B}"/>
            </c:ext>
          </c:extLst>
        </c:ser>
        <c:ser>
          <c:idx val="1"/>
          <c:order val="1"/>
          <c:tx>
            <c:strRef>
              <c:f>'00090'!$A$25</c:f>
              <c:strCache>
                <c:ptCount val="1"/>
                <c:pt idx="0">
                  <c:v>Open Alert Eliminato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'00090'!$B$17:$W$17</c:f>
              <c:strCache>
                <c:ptCount val="22"/>
                <c:pt idx="0">
                  <c:v>T0</c:v>
                </c:pt>
                <c:pt idx="1">
                  <c:v>P00</c:v>
                </c:pt>
                <c:pt idx="2">
                  <c:v>P05</c:v>
                </c:pt>
                <c:pt idx="3">
                  <c:v>P10</c:v>
                </c:pt>
                <c:pt idx="4">
                  <c:v>P15</c:v>
                </c:pt>
                <c:pt idx="5">
                  <c:v>P20</c:v>
                </c:pt>
                <c:pt idx="6">
                  <c:v>P25</c:v>
                </c:pt>
                <c:pt idx="7">
                  <c:v>P30</c:v>
                </c:pt>
                <c:pt idx="8">
                  <c:v>P35</c:v>
                </c:pt>
                <c:pt idx="9">
                  <c:v>P40</c:v>
                </c:pt>
                <c:pt idx="10">
                  <c:v>P45</c:v>
                </c:pt>
                <c:pt idx="11">
                  <c:v>P50</c:v>
                </c:pt>
                <c:pt idx="12">
                  <c:v>P55</c:v>
                </c:pt>
                <c:pt idx="13">
                  <c:v>P60</c:v>
                </c:pt>
                <c:pt idx="14">
                  <c:v>P65</c:v>
                </c:pt>
                <c:pt idx="15">
                  <c:v>P70</c:v>
                </c:pt>
                <c:pt idx="16">
                  <c:v>P75</c:v>
                </c:pt>
                <c:pt idx="17">
                  <c:v>P80</c:v>
                </c:pt>
                <c:pt idx="18">
                  <c:v>P85</c:v>
                </c:pt>
                <c:pt idx="19">
                  <c:v>P90</c:v>
                </c:pt>
                <c:pt idx="20">
                  <c:v>P95</c:v>
                </c:pt>
                <c:pt idx="21">
                  <c:v>P100</c:v>
                </c:pt>
              </c:strCache>
            </c:strRef>
          </c:cat>
          <c:val>
            <c:numRef>
              <c:f>'00090'!$B$25:$W$25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18</c:v>
                </c:pt>
                <c:pt idx="4">
                  <c:v>28</c:v>
                </c:pt>
                <c:pt idx="5">
                  <c:v>40</c:v>
                </c:pt>
                <c:pt idx="6">
                  <c:v>56</c:v>
                </c:pt>
                <c:pt idx="7">
                  <c:v>66</c:v>
                </c:pt>
                <c:pt idx="8">
                  <c:v>68</c:v>
                </c:pt>
                <c:pt idx="9">
                  <c:v>80</c:v>
                </c:pt>
                <c:pt idx="10">
                  <c:v>83</c:v>
                </c:pt>
                <c:pt idx="11">
                  <c:v>97</c:v>
                </c:pt>
                <c:pt idx="12">
                  <c:v>97</c:v>
                </c:pt>
                <c:pt idx="13">
                  <c:v>106</c:v>
                </c:pt>
                <c:pt idx="14">
                  <c:v>109</c:v>
                </c:pt>
                <c:pt idx="15">
                  <c:v>133</c:v>
                </c:pt>
                <c:pt idx="16">
                  <c:v>139</c:v>
                </c:pt>
                <c:pt idx="17">
                  <c:v>146</c:v>
                </c:pt>
                <c:pt idx="18">
                  <c:v>150</c:v>
                </c:pt>
                <c:pt idx="19">
                  <c:v>159</c:v>
                </c:pt>
                <c:pt idx="20">
                  <c:v>161</c:v>
                </c:pt>
                <c:pt idx="2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90-469A-854B-55F7FFC17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8112"/>
        <c:axId val="626286512"/>
      </c:barChart>
      <c:lineChart>
        <c:grouping val="standard"/>
        <c:varyColors val="0"/>
        <c:ser>
          <c:idx val="2"/>
          <c:order val="2"/>
          <c:tx>
            <c:strRef>
              <c:f>'00090'!$A$22</c:f>
              <c:strCache>
                <c:ptCount val="1"/>
                <c:pt idx="0">
                  <c:v>Tasso Falso Positivo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'00090'!$C$17:$W$17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'00090'!$B$22:$W$22</c:f>
              <c:numCache>
                <c:formatCode>0%</c:formatCode>
                <c:ptCount val="22"/>
                <c:pt idx="0">
                  <c:v>0.45065789473684209</c:v>
                </c:pt>
                <c:pt idx="1">
                  <c:v>0.45065789473684209</c:v>
                </c:pt>
                <c:pt idx="2">
                  <c:v>0.44827586206896552</c:v>
                </c:pt>
                <c:pt idx="3">
                  <c:v>0.45620437956204379</c:v>
                </c:pt>
                <c:pt idx="4">
                  <c:v>0.45490196078431372</c:v>
                </c:pt>
                <c:pt idx="5">
                  <c:v>0.46186440677966101</c:v>
                </c:pt>
                <c:pt idx="6">
                  <c:v>0.48130841121495327</c:v>
                </c:pt>
                <c:pt idx="7">
                  <c:v>0.48730964467005078</c:v>
                </c:pt>
                <c:pt idx="8">
                  <c:v>0.47894736842105262</c:v>
                </c:pt>
                <c:pt idx="9">
                  <c:v>0.49122807017543857</c:v>
                </c:pt>
                <c:pt idx="10">
                  <c:v>0.47826086956521741</c:v>
                </c:pt>
                <c:pt idx="11">
                  <c:v>0.49640287769784175</c:v>
                </c:pt>
                <c:pt idx="12">
                  <c:v>0.49275362318840582</c:v>
                </c:pt>
                <c:pt idx="13">
                  <c:v>0.47413793103448276</c:v>
                </c:pt>
                <c:pt idx="14">
                  <c:v>0.45283018867924529</c:v>
                </c:pt>
                <c:pt idx="15">
                  <c:v>0.54666666666666663</c:v>
                </c:pt>
                <c:pt idx="16">
                  <c:v>0.55555555555555558</c:v>
                </c:pt>
                <c:pt idx="17">
                  <c:v>0.5714285714285714</c:v>
                </c:pt>
                <c:pt idx="18">
                  <c:v>0.55263157894736847</c:v>
                </c:pt>
                <c:pt idx="19">
                  <c:v>0.63636363636363635</c:v>
                </c:pt>
                <c:pt idx="20">
                  <c:v>0.5714285714285714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90-469A-854B-55F7FFC17C7B}"/>
            </c:ext>
          </c:extLst>
        </c:ser>
        <c:ser>
          <c:idx val="3"/>
          <c:order val="3"/>
          <c:tx>
            <c:strRef>
              <c:f>'00090'!$A$21</c:f>
              <c:strCache>
                <c:ptCount val="1"/>
                <c:pt idx="0">
                  <c:v>Delta Open Alert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'00090'!$C$17:$W$17</c:f>
              <c:strCache>
                <c:ptCount val="21"/>
                <c:pt idx="0">
                  <c:v>P00</c:v>
                </c:pt>
                <c:pt idx="1">
                  <c:v>P05</c:v>
                </c:pt>
                <c:pt idx="2">
                  <c:v>P10</c:v>
                </c:pt>
                <c:pt idx="3">
                  <c:v>P15</c:v>
                </c:pt>
                <c:pt idx="4">
                  <c:v>P20</c:v>
                </c:pt>
                <c:pt idx="5">
                  <c:v>P25</c:v>
                </c:pt>
                <c:pt idx="6">
                  <c:v>P30</c:v>
                </c:pt>
                <c:pt idx="7">
                  <c:v>P35</c:v>
                </c:pt>
                <c:pt idx="8">
                  <c:v>P40</c:v>
                </c:pt>
                <c:pt idx="9">
                  <c:v>P45</c:v>
                </c:pt>
                <c:pt idx="10">
                  <c:v>P50</c:v>
                </c:pt>
                <c:pt idx="11">
                  <c:v>P55</c:v>
                </c:pt>
                <c:pt idx="12">
                  <c:v>P60</c:v>
                </c:pt>
                <c:pt idx="13">
                  <c:v>P65</c:v>
                </c:pt>
                <c:pt idx="14">
                  <c:v>P70</c:v>
                </c:pt>
                <c:pt idx="15">
                  <c:v>P75</c:v>
                </c:pt>
                <c:pt idx="16">
                  <c:v>P80</c:v>
                </c:pt>
                <c:pt idx="17">
                  <c:v>P85</c:v>
                </c:pt>
                <c:pt idx="18">
                  <c:v>P90</c:v>
                </c:pt>
                <c:pt idx="19">
                  <c:v>P95</c:v>
                </c:pt>
                <c:pt idx="20">
                  <c:v>P100</c:v>
                </c:pt>
              </c:strCache>
            </c:strRef>
          </c:cat>
          <c:val>
            <c:numRef>
              <c:f>'00090'!$B$21:$W$21</c:f>
              <c:numCache>
                <c:formatCode>0%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0.95808383233532934</c:v>
                </c:pt>
                <c:pt idx="3">
                  <c:v>0.89221556886227549</c:v>
                </c:pt>
                <c:pt idx="4">
                  <c:v>0.83233532934131738</c:v>
                </c:pt>
                <c:pt idx="5">
                  <c:v>0.76047904191616766</c:v>
                </c:pt>
                <c:pt idx="6">
                  <c:v>0.66467065868263475</c:v>
                </c:pt>
                <c:pt idx="7">
                  <c:v>0.60479041916167664</c:v>
                </c:pt>
                <c:pt idx="8">
                  <c:v>0.59281437125748504</c:v>
                </c:pt>
                <c:pt idx="9">
                  <c:v>0.52095808383233533</c:v>
                </c:pt>
                <c:pt idx="10">
                  <c:v>0.50299401197604787</c:v>
                </c:pt>
                <c:pt idx="11">
                  <c:v>0.41916167664670656</c:v>
                </c:pt>
                <c:pt idx="12">
                  <c:v>0.41916167664670656</c:v>
                </c:pt>
                <c:pt idx="13">
                  <c:v>0.3652694610778443</c:v>
                </c:pt>
                <c:pt idx="14">
                  <c:v>0.3473053892215569</c:v>
                </c:pt>
                <c:pt idx="15">
                  <c:v>0.20359281437125748</c:v>
                </c:pt>
                <c:pt idx="16">
                  <c:v>0.16766467065868262</c:v>
                </c:pt>
                <c:pt idx="17">
                  <c:v>0.12574850299401197</c:v>
                </c:pt>
                <c:pt idx="18">
                  <c:v>0.10179640718562874</c:v>
                </c:pt>
                <c:pt idx="19">
                  <c:v>4.790419161676647E-2</c:v>
                </c:pt>
                <c:pt idx="20">
                  <c:v>3.5928143712574849E-2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90-469A-854B-55F7FFC17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979040"/>
        <c:axId val="317998720"/>
      </c:lineChart>
      <c:catAx>
        <c:axId val="62630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286512"/>
        <c:crosses val="autoZero"/>
        <c:auto val="1"/>
        <c:lblAlgn val="ctr"/>
        <c:lblOffset val="100"/>
        <c:noMultiLvlLbl val="0"/>
      </c:catAx>
      <c:valAx>
        <c:axId val="62628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26308112"/>
        <c:crosses val="autoZero"/>
        <c:crossBetween val="between"/>
      </c:valAx>
      <c:valAx>
        <c:axId val="31799872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979040"/>
        <c:crosses val="max"/>
        <c:crossBetween val="between"/>
      </c:valAx>
      <c:catAx>
        <c:axId val="317979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799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9388</xdr:rowOff>
    </xdr:from>
    <xdr:to>
      <xdr:col>8</xdr:col>
      <xdr:colOff>854492</xdr:colOff>
      <xdr:row>66</xdr:row>
      <xdr:rowOff>107567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BDA734-E011-486F-A3D4-5A5D93826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16</xdr:col>
      <xdr:colOff>1655144</xdr:colOff>
      <xdr:row>66</xdr:row>
      <xdr:rowOff>98179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07270A-6BB8-4262-BBC6-DA6AC919B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i, Sepehr" refreshedDate="45945.780535300924" createdVersion="8" refreshedVersion="8" minRefreshableVersion="3" recordCount="304" xr:uid="{8CF6B334-61EE-4C72-8A81-B4D0A8BB4252}">
  <cacheSource type="worksheet">
    <worksheetSource ref="A1:CK305" sheet="Data"/>
  </cacheSource>
  <cacheFields count="89">
    <cacheField name="POSIZIONE" numFmtId="0">
      <sharedItems containsSemiMixedTypes="0" containsString="0" containsNumber="1" containsInteger="1" minValue="329170" maxValue="360666"/>
    </cacheField>
    <cacheField name="CODICE" numFmtId="0">
      <sharedItems/>
    </cacheField>
    <cacheField name="DESCRIZIONE" numFmtId="0">
      <sharedItems/>
    </cacheField>
    <cacheField name="RILEVATA" numFmtId="164">
      <sharedItems containsSemiMixedTypes="0" containsNonDate="0" containsDate="1" containsString="0" minDate="2025-04-02T00:00:00" maxDate="2025-07-02T00:00:00"/>
    </cacheField>
    <cacheField name="INTERMEDIARIO" numFmtId="0">
      <sharedItems containsSemiMixedTypes="0" containsString="0" containsNumber="1" containsInteger="1" minValue="53850" maxValue="53850"/>
    </cacheField>
    <cacheField name="DIPENDENZA" numFmtId="0">
      <sharedItems containsSemiMixedTypes="0" containsString="0" containsNumber="1" containsInteger="1" minValue="102" maxValue="284"/>
    </cacheField>
    <cacheField name="IN CARICO A" numFmtId="0">
      <sharedItems/>
    </cacheField>
    <cacheField name="SISTEMA AR" numFmtId="0">
      <sharedItems/>
    </cacheField>
    <cacheField name="STATO" numFmtId="0">
      <sharedItems/>
    </cacheField>
    <cacheField name="INDICE PREDITTIVO" numFmtId="0">
      <sharedItems containsNonDate="0" containsString="0" containsBlank="1"/>
    </cacheField>
    <cacheField name="REGISTRAZIONE" numFmtId="0">
      <sharedItems containsMixedTypes="1" containsNumber="1" containsInteger="1" minValue="202504017856696" maxValue="202506308138274"/>
    </cacheField>
    <cacheField name="NUMERO RAPPORTO" numFmtId="0">
      <sharedItems containsSemiMixedTypes="0" containsString="0" containsNumber="1" containsInteger="1" minValue="1023308716491" maxValue="2843300001332"/>
    </cacheField>
    <cacheField name="DATA OPERAZIONE" numFmtId="0">
      <sharedItems containsSemiMixedTypes="0" containsString="0" containsNumber="1" containsInteger="1" minValue="20250401" maxValue="20250630"/>
    </cacheField>
    <cacheField name="CAUSALE ANALITICA" numFmtId="0">
      <sharedItems count="1">
        <s v="AA - Bonifico da e per estero"/>
      </sharedItems>
    </cacheField>
    <cacheField name="CAUSALE SINTETICA" numFmtId="0">
      <sharedItems containsNonDate="0" containsString="0" containsBlank="1"/>
    </cacheField>
    <cacheField name="PAESE INTERMED. CONTROP." numFmtId="0">
      <sharedItems count="13">
        <s v="261 - CROAZIA"/>
        <s v="091 - PRINCIPATO DI MONACO"/>
        <s v="262 - RUSSIA (FEDERAZIONE DI)"/>
        <s v="012 - BULGARIA"/>
        <s v="238 - ABU DHABI"/>
        <s v="027 - FILIPPINE"/>
        <s v="078 - SUDAFRICANA (REPUBBLICA)"/>
        <s v="034 - HAITI"/>
        <s v="146 - COSTA D'AVORIO"/>
        <s v="116 - KENYA"/>
        <s v="057 - TANZANIA (REPUBBLICA DI)"/>
        <s v="095 - LIBANO"/>
        <s v="051 - PANAMA"/>
      </sharedItems>
    </cacheField>
    <cacheField name="SEGNO" numFmtId="0">
      <sharedItems/>
    </cacheField>
    <cacheField name="IMPORTO" numFmtId="0">
      <sharedItems containsSemiMixedTypes="0" containsString="0" containsNumber="1" minValue="1000" maxValue="1149602.8999999999"/>
    </cacheField>
    <cacheField name="DI CUI CONTANTE" numFmtId="0">
      <sharedItems containsSemiMixedTypes="0" containsString="0" containsNumber="1" containsInteger="1" minValue="0" maxValue="0"/>
    </cacheField>
    <cacheField name="TITOLARE NDG" numFmtId="0">
      <sharedItems containsSemiMixedTypes="0" containsString="0" containsNumber="1" containsInteger="1" minValue="3970" maxValue="4995426"/>
    </cacheField>
    <cacheField name="CODICE FISCALE" numFmtId="0">
      <sharedItems containsMixedTypes="1" containsNumber="1" containsInteger="1" minValue="252860721" maxValue="92086070643"/>
    </cacheField>
    <cacheField name="COGNOME E NOME / RAGIONE SOCIALE" numFmtId="0">
      <sharedItems/>
    </cacheField>
    <cacheField name="D21 SAE" numFmtId="0">
      <sharedItems/>
    </cacheField>
    <cacheField name="D22 ATECO" numFmtId="0">
      <sharedItems containsBlank="1"/>
    </cacheField>
    <cacheField name="PAESE RESIDENZA" numFmtId="0">
      <sharedItems/>
    </cacheField>
    <cacheField name="GESTORE" numFmtId="0">
      <sharedItems containsString="0" containsBlank="1" containsNumber="1" containsInteger="1" minValue="417" maxValue="1954"/>
    </cacheField>
    <cacheField name="STATO VALUTAZIONE" numFmtId="0">
      <sharedItems containsNonDate="0" containsString="0" containsBlank="1"/>
    </cacheField>
    <cacheField name="ID ECCEZIONE" numFmtId="0">
      <sharedItems containsNonDate="0" containsString="0" containsBlank="1"/>
    </cacheField>
    <cacheField name="DATA ULT. VALUTAZIONE" numFmtId="0">
      <sharedItems containsNonDate="0" containsString="0" containsBlank="1"/>
    </cacheField>
    <cacheField name="UFFICIO" numFmtId="0">
      <sharedItems containsNonDate="0" containsString="0" containsBlank="1"/>
    </cacheField>
    <cacheField name="AUTORE" numFmtId="0">
      <sharedItems containsNonDate="0" containsString="0" containsBlank="1"/>
    </cacheField>
    <cacheField name="ULTIMA VALUTAZIONE" numFmtId="0">
      <sharedItems containsNonDate="0" containsString="0" containsBlank="1"/>
    </cacheField>
    <cacheField name="PRESENZA ALLEGATI" numFmtId="0">
      <sharedItems containsNonDate="0" containsString="0" containsBlank="1"/>
    </cacheField>
    <cacheField name="ALTRE VALUTAZIONI" numFmtId="0">
      <sharedItems containsSemiMixedTypes="0" containsString="0" containsNumber="1" containsInteger="1" minValue="0" maxValue="0"/>
    </cacheField>
    <cacheField name="ANNOMESE" numFmtId="0">
      <sharedItems containsSemiMixedTypes="0" containsString="0" containsNumber="1" containsInteger="1" minValue="202504" maxValue="202506"/>
    </cacheField>
    <cacheField name="Stato2" numFmtId="0">
      <sharedItems containsBlank="1"/>
    </cacheField>
    <cacheField name="flag_stato" numFmtId="0">
      <sharedItems containsSemiMixedTypes="0" containsString="0" containsNumber="1" containsInteger="1" minValue="0" maxValue="1" count="2">
        <n v="0"/>
        <n v="1"/>
      </sharedItems>
    </cacheField>
    <cacheField name="flg_SCEN_IN_USO" numFmtId="0">
      <sharedItems containsSemiMixedTypes="0" containsString="0" containsNumber="1" containsInteger="1" minValue="1" maxValue="1"/>
    </cacheField>
    <cacheField name="CDG" numFmtId="0">
      <sharedItems containsString="0" containsBlank="1" containsNumber="1" containsInteger="1" minValue="440311" maxValue="4995426"/>
    </cacheField>
    <cacheField name="flag_OggValut" numFmtId="0">
      <sharedItems containsString="0" containsBlank="1" containsNumber="1" containsInteger="1" minValue="1" maxValue="1"/>
    </cacheField>
    <cacheField name="flag_anom_causale" numFmtId="0">
      <sharedItems containsSemiMixedTypes="0" containsString="0" containsNumber="1" containsInteger="1" minValue="0" maxValue="0"/>
    </cacheField>
    <cacheField name="ATECO_CODE" numFmtId="0">
      <sharedItems containsSemiMixedTypes="0" containsString="0" containsNumber="1" containsInteger="1" minValue="433" maxValue="999"/>
    </cacheField>
    <cacheField name="SAE_CODE" numFmtId="0">
      <sharedItems containsSemiMixedTypes="0" containsString="0" containsNumber="1" containsInteger="1" minValue="290" maxValue="758"/>
    </cacheField>
    <cacheField name="SAE_ATECO_CODE" numFmtId="0">
      <sharedItems containsSemiMixedTypes="0" containsString="0" containsNumber="1" containsInteger="1" minValue="290999" maxValue="758999"/>
    </cacheField>
    <cacheField name="Classe_old" numFmtId="0">
      <sharedItems containsBlank="1"/>
    </cacheField>
    <cacheField name="RES_ATECO" numFmtId="0">
      <sharedItems containsString="0" containsBlank="1" containsNumber="1" containsInteger="1" minValue="1" maxValue="1"/>
    </cacheField>
    <cacheField name="Classe" numFmtId="0">
      <sharedItems count="5">
        <s v="Classe di rischio 1"/>
        <s v="Classe di rischio 7"/>
        <s v="Classe di rischio 3"/>
        <s v="Classe di rischio 2"/>
        <s v="Classe di rischio 0"/>
      </sharedItems>
    </cacheField>
    <cacheField name="Percentile_00" numFmtId="0">
      <sharedItems containsSemiMixedTypes="0" containsString="0" containsNumber="1" containsInteger="1" minValue="1000" maxValue="1000"/>
    </cacheField>
    <cacheField name="Percentile_05" numFmtId="0">
      <sharedItems containsSemiMixedTypes="0" containsString="0" containsNumber="1" minValue="1186.4000000000001" maxValue="1186.4000000000001"/>
    </cacheField>
    <cacheField name="Percentile_10" numFmtId="0">
      <sharedItems containsSemiMixedTypes="0" containsString="0" containsNumber="1" containsInteger="1" minValue="1500" maxValue="1500"/>
    </cacheField>
    <cacheField name="Percentile_15" numFmtId="0">
      <sharedItems containsSemiMixedTypes="0" containsString="0" containsNumber="1" minValue="1680.386" maxValue="1680.386"/>
    </cacheField>
    <cacheField name="Percentile_20" numFmtId="0">
      <sharedItems containsSemiMixedTypes="0" containsString="0" containsNumber="1" minValue="1992.48" maxValue="1992.48"/>
    </cacheField>
    <cacheField name="Percentile_25" numFmtId="0">
      <sharedItems containsSemiMixedTypes="0" containsString="0" containsNumber="1" minValue="2399.98" maxValue="2399.98"/>
    </cacheField>
    <cacheField name="Percentile_30" numFmtId="0">
      <sharedItems containsSemiMixedTypes="0" containsString="0" containsNumber="1" minValue="2739.2040000000002" maxValue="2739.2040000000002"/>
    </cacheField>
    <cacheField name="Percentile_35" numFmtId="0">
      <sharedItems containsSemiMixedTypes="0" containsString="0" containsNumber="1" containsInteger="1" minValue="3000" maxValue="3000"/>
    </cacheField>
    <cacheField name="Percentile_40" numFmtId="0">
      <sharedItems containsSemiMixedTypes="0" containsString="0" containsNumber="1" containsInteger="1" minValue="3500" maxValue="3500"/>
    </cacheField>
    <cacheField name="Percentile_45" numFmtId="0">
      <sharedItems containsSemiMixedTypes="0" containsString="0" containsNumber="1" containsInteger="1" minValue="4000" maxValue="4000"/>
    </cacheField>
    <cacheField name="Percentile_50" numFmtId="0">
      <sharedItems containsSemiMixedTypes="0" containsString="0" containsNumber="1" containsInteger="1" minValue="4800" maxValue="4800"/>
    </cacheField>
    <cacheField name="Percentile_55" numFmtId="0">
      <sharedItems containsSemiMixedTypes="0" containsString="0" containsNumber="1" containsInteger="1" minValue="5000" maxValue="5000"/>
    </cacheField>
    <cacheField name="Percentile_60" numFmtId="0">
      <sharedItems containsSemiMixedTypes="0" containsString="0" containsNumber="1" minValue="5024.4139999999998" maxValue="5024.4139999999998"/>
    </cacheField>
    <cacheField name="Percentile_65" numFmtId="0">
      <sharedItems containsSemiMixedTypes="0" containsString="0" containsNumber="1" minValue="5617.9639999999999" maxValue="5617.9639999999999"/>
    </cacheField>
    <cacheField name="Percentile_70" numFmtId="0">
      <sharedItems containsSemiMixedTypes="0" containsString="0" containsNumber="1" minValue="9836.84" maxValue="9836.84"/>
    </cacheField>
    <cacheField name="Percentile_75" numFmtId="0">
      <sharedItems containsSemiMixedTypes="0" containsString="0" containsNumber="1" minValue="12377.16" maxValue="12377.16"/>
    </cacheField>
    <cacheField name="Percentile_80" numFmtId="0">
      <sharedItems containsSemiMixedTypes="0" containsString="0" containsNumber="1" minValue="16956.52800000002" maxValue="16956.52800000002"/>
    </cacheField>
    <cacheField name="Percentile_85" numFmtId="0">
      <sharedItems containsSemiMixedTypes="0" containsString="0" containsNumber="1" minValue="20247.331999999999" maxValue="20247.331999999999"/>
    </cacheField>
    <cacheField name="Percentile_90" numFmtId="0">
      <sharedItems containsSemiMixedTypes="0" containsString="0" containsNumber="1" minValue="29364.69400000001" maxValue="29364.69400000001"/>
    </cacheField>
    <cacheField name="Percentile_95" numFmtId="0">
      <sharedItems containsSemiMixedTypes="0" containsString="0" containsNumber="1" containsInteger="1" minValue="45000" maxValue="45000"/>
    </cacheField>
    <cacheField name="Percentile_100" numFmtId="0">
      <sharedItems containsSemiMixedTypes="0" containsString="0" containsNumber="1" minValue="1149602.8999999999" maxValue="1149602.8999999999"/>
    </cacheField>
    <cacheField name="flag_Percentile_00" numFmtId="0">
      <sharedItems containsSemiMixedTypes="0" containsString="0" containsNumber="1" containsInteger="1" minValue="1" maxValue="1"/>
    </cacheField>
    <cacheField name="flag_Percentile_05" numFmtId="0">
      <sharedItems containsSemiMixedTypes="0" containsString="0" containsNumber="1" containsInteger="1" minValue="0" maxValue="1"/>
    </cacheField>
    <cacheField name="flag_Percentile_10" numFmtId="0">
      <sharedItems containsSemiMixedTypes="0" containsString="0" containsNumber="1" containsInteger="1" minValue="0" maxValue="1"/>
    </cacheField>
    <cacheField name="flag_Percentile_15" numFmtId="0">
      <sharedItems containsSemiMixedTypes="0" containsString="0" containsNumber="1" containsInteger="1" minValue="0" maxValue="1"/>
    </cacheField>
    <cacheField name="flag_Percentile_20" numFmtId="0">
      <sharedItems containsSemiMixedTypes="0" containsString="0" containsNumber="1" containsInteger="1" minValue="0" maxValue="1"/>
    </cacheField>
    <cacheField name="flag_Percentile_25" numFmtId="0">
      <sharedItems containsSemiMixedTypes="0" containsString="0" containsNumber="1" containsInteger="1" minValue="0" maxValue="1"/>
    </cacheField>
    <cacheField name="flag_Percentile_30" numFmtId="0">
      <sharedItems containsSemiMixedTypes="0" containsString="0" containsNumber="1" containsInteger="1" minValue="0" maxValue="1"/>
    </cacheField>
    <cacheField name="flag_Percentile_35" numFmtId="0">
      <sharedItems containsSemiMixedTypes="0" containsString="0" containsNumber="1" containsInteger="1" minValue="0" maxValue="1"/>
    </cacheField>
    <cacheField name="flag_Percentile_40" numFmtId="0">
      <sharedItems containsSemiMixedTypes="0" containsString="0" containsNumber="1" containsInteger="1" minValue="0" maxValue="1"/>
    </cacheField>
    <cacheField name="flag_Percentile_45" numFmtId="0">
      <sharedItems containsSemiMixedTypes="0" containsString="0" containsNumber="1" containsInteger="1" minValue="0" maxValue="1"/>
    </cacheField>
    <cacheField name="flag_Percentile_50" numFmtId="0">
      <sharedItems containsSemiMixedTypes="0" containsString="0" containsNumber="1" containsInteger="1" minValue="0" maxValue="1"/>
    </cacheField>
    <cacheField name="flag_Percentile_55" numFmtId="0">
      <sharedItems containsSemiMixedTypes="0" containsString="0" containsNumber="1" containsInteger="1" minValue="0" maxValue="1"/>
    </cacheField>
    <cacheField name="flag_Percentile_60" numFmtId="0">
      <sharedItems containsSemiMixedTypes="0" containsString="0" containsNumber="1" containsInteger="1" minValue="0" maxValue="1"/>
    </cacheField>
    <cacheField name="flag_Percentile_65" numFmtId="0">
      <sharedItems containsSemiMixedTypes="0" containsString="0" containsNumber="1" containsInteger="1" minValue="0" maxValue="1"/>
    </cacheField>
    <cacheField name="flag_Percentile_70" numFmtId="0">
      <sharedItems containsSemiMixedTypes="0" containsString="0" containsNumber="1" containsInteger="1" minValue="0" maxValue="1"/>
    </cacheField>
    <cacheField name="flag_Percentile_75" numFmtId="0">
      <sharedItems containsSemiMixedTypes="0" containsString="0" containsNumber="1" containsInteger="1" minValue="0" maxValue="1"/>
    </cacheField>
    <cacheField name="flag_Percentile_80" numFmtId="0">
      <sharedItems containsSemiMixedTypes="0" containsString="0" containsNumber="1" containsInteger="1" minValue="0" maxValue="1"/>
    </cacheField>
    <cacheField name="flag_Percentile_85" numFmtId="0">
      <sharedItems containsSemiMixedTypes="0" containsString="0" containsNumber="1" containsInteger="1" minValue="0" maxValue="1"/>
    </cacheField>
    <cacheField name="flag_Percentile_90" numFmtId="0">
      <sharedItems containsSemiMixedTypes="0" containsString="0" containsNumber="1" containsInteger="1" minValue="0" maxValue="1"/>
    </cacheField>
    <cacheField name="flag_Percentile_95" numFmtId="0">
      <sharedItems containsSemiMixedTypes="0" containsString="0" containsNumber="1" containsInteger="1" minValue="0" maxValue="1"/>
    </cacheField>
    <cacheField name="flag_Percentile_100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n v="337728"/>
    <s v="90"/>
    <s v="Operazioni con paese controparte ad altissimo rischio"/>
    <d v="2025-05-03T00:00:00"/>
    <n v="53850"/>
    <n v="137"/>
    <s v="053850_137"/>
    <s v="Discovery Day"/>
    <s v="Mai valutato"/>
    <m/>
    <n v="202504287941071"/>
    <n v="1373300005994"/>
    <n v="20250428"/>
    <x v="0"/>
    <m/>
    <x v="0"/>
    <s v="D     - Dare"/>
    <n v="18411.75"/>
    <n v="0"/>
    <n v="3734872"/>
    <n v="1896670708"/>
    <s v="MOLISE SUINI SRL"/>
    <s v="430 - Imprese produttive"/>
    <s v="014 - ALLEVAMENTO DI ANIMALI"/>
    <s v="086 - ITALIA"/>
    <n v="1867"/>
    <m/>
    <m/>
    <m/>
    <m/>
    <m/>
    <m/>
    <m/>
    <n v="0"/>
    <n v="202504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720"/>
    <s v="90"/>
    <s v="Operazioni con paese controparte ad altissimo rischio"/>
    <d v="2025-05-01T00:00:00"/>
    <n v="53850"/>
    <n v="157"/>
    <s v="053850_157"/>
    <s v="Discovery Day"/>
    <s v="Mai valutato"/>
    <m/>
    <s v="202504306484552L"/>
    <n v="1573300000971"/>
    <n v="20250430"/>
    <x v="0"/>
    <m/>
    <x v="1"/>
    <s v="A     - Avere"/>
    <n v="4036.26"/>
    <n v="0"/>
    <n v="4254771"/>
    <s v="PTRSFN74P21A854D"/>
    <s v="PETRUCCELLI STEFANO"/>
    <s v="600 - Famiglie consumatrici"/>
    <m/>
    <s v="086 - ITALIA"/>
    <n v="111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701"/>
    <s v="90"/>
    <s v="Operazioni con paese controparte ad altissimo rischio"/>
    <d v="2025-05-01T00:00:00"/>
    <n v="53850"/>
    <n v="132"/>
    <s v="053850_132"/>
    <s v="Discovery Day"/>
    <s v="Mai valutato"/>
    <m/>
    <s v="202504306484814L"/>
    <n v="1323300003545"/>
    <n v="20250430"/>
    <x v="0"/>
    <m/>
    <x v="2"/>
    <s v="D     - Dare"/>
    <n v="2000"/>
    <n v="0"/>
    <n v="4993626"/>
    <s v="LRNLCU76C58L181S"/>
    <s v="LAURINO LUCIA"/>
    <s v="600 - Famiglie consumatrici"/>
    <m/>
    <s v="086 - ITALIA"/>
    <n v="1628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695"/>
    <s v="90"/>
    <s v="Operazioni con paese controparte ad altissimo rischio"/>
    <d v="2025-05-01T00:00:00"/>
    <n v="53850"/>
    <n v="118"/>
    <s v="053850_118"/>
    <s v="Discovery Day"/>
    <s v="Mai valutato"/>
    <m/>
    <n v="202504307935442"/>
    <n v="1183306279384"/>
    <n v="20250430"/>
    <x v="0"/>
    <m/>
    <x v="3"/>
    <s v="D     - Dare"/>
    <n v="18000"/>
    <n v="0"/>
    <n v="4896093"/>
    <n v="8070110724"/>
    <s v="ITALWOOD SOCIETA' A RESPONSABILITA' LIMITATA"/>
    <s v="430 - Imprese produttive"/>
    <s v="310 - FABBRICAZIONE DI MOBILI"/>
    <s v="086 - ITALIA"/>
    <n v="979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692"/>
    <s v="90"/>
    <s v="Operazioni con paese controparte ad altissimo rischio"/>
    <d v="2025-05-01T00:00:00"/>
    <n v="53850"/>
    <n v="157"/>
    <s v="053850_157"/>
    <s v="Discovery Day"/>
    <s v="Mai valutato"/>
    <m/>
    <s v="202504306484552L"/>
    <n v="1573300000971"/>
    <n v="20250430"/>
    <x v="0"/>
    <m/>
    <x v="1"/>
    <s v="A     - Avere"/>
    <n v="4036.26"/>
    <n v="0"/>
    <n v="4254772"/>
    <s v="PTRFNC43S02A854P"/>
    <s v="PETRUCCELLI FRANCESCO"/>
    <s v="600 - Famiglie consumatrici"/>
    <m/>
    <s v="086 - ITALIA"/>
    <m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669"/>
    <s v="90"/>
    <s v="Operazioni con paese controparte ad altissimo rischio"/>
    <d v="2025-05-01T00:00:00"/>
    <n v="53850"/>
    <n v="116"/>
    <s v="053850_116"/>
    <s v="Discovery Day"/>
    <s v="Mai valutato"/>
    <m/>
    <n v="202504307935590"/>
    <n v="1163307621007"/>
    <n v="20250430"/>
    <x v="0"/>
    <m/>
    <x v="1"/>
    <s v="D     - Dare"/>
    <n v="9666"/>
    <n v="0"/>
    <n v="4896552"/>
    <n v="5890650723"/>
    <s v="NATURA CARNI S.R.L."/>
    <s v="430 - Imprese produttive"/>
    <s v="101 - LAVORAZIONE E CONSERVAZIONE DI CARNE E PRODUZIONE DI PRODOTTI A BASE DI CARNE"/>
    <s v="086 - ITALIA"/>
    <n v="1919"/>
    <m/>
    <m/>
    <m/>
    <m/>
    <m/>
    <m/>
    <m/>
    <n v="0"/>
    <n v="202504"/>
    <s v="IN CARICO AL GESTORE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635"/>
    <s v="90"/>
    <s v="Operazioni con paese controparte ad altissimo rischio"/>
    <d v="2025-04-30T00:00:00"/>
    <n v="53850"/>
    <n v="121"/>
    <s v="053850_121"/>
    <s v="Discovery Day"/>
    <s v="Mai valutato"/>
    <m/>
    <s v="202504296437286L"/>
    <n v="1213300010474"/>
    <n v="20250429"/>
    <x v="0"/>
    <m/>
    <x v="1"/>
    <s v="A     - Avere"/>
    <n v="3052.3"/>
    <n v="0"/>
    <n v="4797139"/>
    <s v="BLLLSN78R14A662Q"/>
    <s v="BELLANTUONO ALESSANDRO"/>
    <s v="600 - Famiglie consumatrici"/>
    <m/>
    <s v="086 - ITALIA"/>
    <n v="964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599"/>
    <s v="90"/>
    <s v="Operazioni con paese controparte ad altissimo rischio"/>
    <d v="2025-04-29T00:00:00"/>
    <n v="53850"/>
    <n v="274"/>
    <s v="053850_274"/>
    <s v="Discovery Day"/>
    <s v="Mai valutato"/>
    <m/>
    <s v="202504286334915L"/>
    <n v="2743300000272"/>
    <n v="20250428"/>
    <x v="0"/>
    <m/>
    <x v="3"/>
    <s v="A     - Avere"/>
    <n v="2173.56"/>
    <n v="0"/>
    <n v="1622875"/>
    <n v="1689300695"/>
    <s v="MANIFATTURE MONACO DOMENICO S.R.L."/>
    <s v="430 - Imprese produttive"/>
    <s v="222 - FABBRICAZIONE DI ARTICOLI IN MATERIE PLASTICHE"/>
    <s v="086 - ITALIA"/>
    <n v="1413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596"/>
    <s v="90"/>
    <s v="Operazioni con paese controparte ad altissimo rischio"/>
    <d v="2025-04-29T00:00:00"/>
    <n v="53850"/>
    <n v="282"/>
    <s v="053850_282"/>
    <s v="Discovery Day"/>
    <s v="Mai valutato"/>
    <m/>
    <s v="202504286340489L"/>
    <n v="2823300001773"/>
    <n v="20250428"/>
    <x v="0"/>
    <m/>
    <x v="4"/>
    <s v="A     - Avere"/>
    <n v="3000"/>
    <n v="0"/>
    <n v="1669726"/>
    <s v="CPRDNL87M08E435Y"/>
    <s v="CAPORALE DANILO"/>
    <s v="600 - Famiglie consumatrici"/>
    <m/>
    <s v="086 - ITALIA"/>
    <n v="1802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586"/>
    <s v="90"/>
    <s v="Operazioni con paese controparte ad altissimo rischio"/>
    <d v="2025-04-29T00:00:00"/>
    <n v="53850"/>
    <n v="149"/>
    <s v="053850_149"/>
    <s v="Discovery Day"/>
    <s v="Mai valutato"/>
    <m/>
    <n v="202504287929757"/>
    <n v="1493300663564"/>
    <n v="20250428"/>
    <x v="0"/>
    <m/>
    <x v="3"/>
    <s v="A     - Avere"/>
    <n v="5600"/>
    <n v="0"/>
    <n v="4851736"/>
    <n v="8243781211"/>
    <s v="VITTORIA CAPPELLI SOCIETA' A RESPONSABILITA' LIMITATA SEMPLIFICAT"/>
    <s v="430 - Imprese produttive"/>
    <s v="791 - ATTIVITÀ DELLE AGENZIE DI VIAGGIO E DEI TOUR OPERATOR"/>
    <s v="086 - ITALIA"/>
    <n v="12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80"/>
    <s v="90"/>
    <s v="Operazioni con paese controparte ad altissimo rischio"/>
    <d v="2025-04-29T00:00:00"/>
    <n v="53850"/>
    <n v="111"/>
    <s v="053850_111"/>
    <s v="Discovery Day"/>
    <s v="Mai valutato"/>
    <m/>
    <n v="202504287927960"/>
    <n v="1113305626850"/>
    <n v="20250428"/>
    <x v="0"/>
    <m/>
    <x v="0"/>
    <s v="D     - Dare"/>
    <n v="5000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577"/>
    <s v="90"/>
    <s v="Operazioni con paese controparte ad altissimo rischio"/>
    <d v="2025-04-29T00:00:00"/>
    <n v="53850"/>
    <n v="148"/>
    <s v="053850_148"/>
    <s v="Discovery Day"/>
    <s v="Mai valutato"/>
    <m/>
    <n v="202504287928198"/>
    <n v="1483300004308"/>
    <n v="20250428"/>
    <x v="0"/>
    <m/>
    <x v="0"/>
    <s v="D     - Dare"/>
    <n v="27282.26"/>
    <n v="0"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572"/>
    <s v="90"/>
    <s v="Operazioni con paese controparte ad altissimo rischio"/>
    <d v="2025-04-29T00:00:00"/>
    <n v="53850"/>
    <n v="141"/>
    <s v="053850_141"/>
    <s v="Discovery Day"/>
    <s v="Mai valutato"/>
    <m/>
    <s v="202504286340398L"/>
    <n v="1413300003851"/>
    <n v="20250428"/>
    <x v="0"/>
    <m/>
    <x v="1"/>
    <s v="A     - Avere"/>
    <n v="1540"/>
    <n v="0"/>
    <n v="4983258"/>
    <n v="5224520758"/>
    <s v="GLITTER SISTERS S.R.L."/>
    <s v="430 - Imprese produttive"/>
    <s v="141 - CONFEZIONE DI ARTICOLI DI ABBIGLIAMENTO (ESCLUSO ABBIGLIAMENTO IN PELLICCIA)"/>
    <s v="086 - ITALIA"/>
    <n v="862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543"/>
    <s v="90"/>
    <s v="Operazioni con paese controparte ad altissimo rischio"/>
    <d v="2025-04-29T00:00:00"/>
    <n v="53850"/>
    <n v="284"/>
    <s v="053850_284"/>
    <s v="Discovery Day"/>
    <s v="Mai valutato"/>
    <m/>
    <n v="202504247931905"/>
    <n v="2843300001332"/>
    <n v="20250424"/>
    <x v="0"/>
    <m/>
    <x v="3"/>
    <s v="D     - Dare"/>
    <n v="10350"/>
    <n v="0"/>
    <n v="1620921"/>
    <s v="RSTFTM63M20Z100G"/>
    <s v="RUSTEMI FITIM"/>
    <s v="614 - Artigiani"/>
    <s v="412 - COSTRUZIONE DI EDIFICI RESIDENZIALI E NON RESIDENZIALI"/>
    <s v="086 - ITALIA"/>
    <n v="1826"/>
    <m/>
    <m/>
    <m/>
    <m/>
    <m/>
    <m/>
    <m/>
    <n v="0"/>
    <n v="202504"/>
    <s v="ARCHIVIATA"/>
    <x v="0"/>
    <n v="1"/>
    <m/>
    <m/>
    <n v="0"/>
    <n v="999"/>
    <n v="614"/>
    <n v="614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542"/>
    <s v="90"/>
    <s v="Operazioni con paese controparte ad altissimo rischio"/>
    <d v="2025-04-29T00:00:00"/>
    <n v="53850"/>
    <n v="109"/>
    <s v="053850_109"/>
    <s v="Discovery Day"/>
    <s v="Mai valutato"/>
    <m/>
    <n v="202504237927974"/>
    <n v="1093306672844"/>
    <n v="20250423"/>
    <x v="0"/>
    <m/>
    <x v="3"/>
    <s v="D     - Dare"/>
    <n v="51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n v="440311"/>
    <n v="1"/>
    <n v="0"/>
    <n v="451"/>
    <n v="430"/>
    <n v="430451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18"/>
    <s v="90"/>
    <s v="Operazioni con paese controparte ad altissimo rischio"/>
    <d v="2025-04-25T00:00:00"/>
    <n v="53850"/>
    <n v="187"/>
    <s v="053850_187"/>
    <s v="Discovery Day"/>
    <s v="Mai valutato"/>
    <m/>
    <s v="202504246259356L"/>
    <n v="1873300102696"/>
    <n v="20250424"/>
    <x v="0"/>
    <m/>
    <x v="3"/>
    <s v="A     - Avere"/>
    <n v="3876.1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7515"/>
    <s v="90"/>
    <s v="Operazioni con paese controparte ad altissimo rischio"/>
    <d v="2025-04-25T00:00:00"/>
    <n v="53850"/>
    <n v="282"/>
    <s v="053850_282"/>
    <s v="Discovery Day"/>
    <s v="Mai valutato"/>
    <m/>
    <n v="202504247923683"/>
    <n v="2823300010180"/>
    <n v="20250424"/>
    <x v="0"/>
    <m/>
    <x v="3"/>
    <s v="A     - Avere"/>
    <n v="5243.56"/>
    <n v="0"/>
    <n v="4993694"/>
    <n v="2776730695"/>
    <s v="DI MARCO SRL"/>
    <s v="430 - Imprese produttive"/>
    <s v="251 - FABBRICAZIONE DI ELEMENTI DA COSTRUZIONE IN METALLO"/>
    <s v="086 - ITALIA"/>
    <n v="1829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511"/>
    <s v="90"/>
    <s v="Operazioni con paese controparte ad altissimo rischio"/>
    <d v="2025-04-25T00:00:00"/>
    <n v="53850"/>
    <n v="149"/>
    <s v="053850_149"/>
    <s v="Discovery Day"/>
    <s v="Mai valutato"/>
    <m/>
    <n v="202504247923480"/>
    <n v="1493300663564"/>
    <n v="20250424"/>
    <x v="0"/>
    <m/>
    <x v="3"/>
    <s v="A     - Avere"/>
    <n v="17286"/>
    <n v="0"/>
    <n v="4851736"/>
    <n v="8243781211"/>
    <s v="VITTORIA CAPPELLI SOCIETA' A RESPONSABILITA' LIMITATA SEMPLIFICAT"/>
    <s v="430 - Imprese produttive"/>
    <s v="791 - ATTIVITÀ DELLE AGENZIE DI VIAGGIO E DEI TOUR OPERATOR"/>
    <s v="086 - ITALIA"/>
    <n v="12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507"/>
    <s v="90"/>
    <s v="Operazioni con paese controparte ad altissimo rischio"/>
    <d v="2025-04-24T00:00:00"/>
    <n v="53850"/>
    <n v="116"/>
    <s v="053850_116"/>
    <s v="Discovery Day"/>
    <s v="Mai valutato"/>
    <m/>
    <s v="202504236235780L"/>
    <n v="1423300308490"/>
    <n v="20250423"/>
    <x v="0"/>
    <m/>
    <x v="4"/>
    <s v="D     - Dare"/>
    <n v="3150"/>
    <n v="0"/>
    <n v="4793312"/>
    <n v="2314700747"/>
    <s v="HOLLY TOUR S.R.L."/>
    <s v="430 - Imprese produttive"/>
    <s v="791 - ATTIVITÀ DELLE AGENZIE DI VIAGGIO E DEI TOUR OPERATOR"/>
    <s v="086 - ITALIA"/>
    <n v="41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503"/>
    <s v="90"/>
    <s v="Operazioni con paese controparte ad altissimo rischio"/>
    <d v="2025-04-24T00:00:00"/>
    <n v="53850"/>
    <n v="128"/>
    <s v="053850_128"/>
    <s v="Discovery Day"/>
    <s v="Mai valutato"/>
    <m/>
    <n v="202504237920557"/>
    <n v="1283300002423"/>
    <n v="20250423"/>
    <x v="0"/>
    <m/>
    <x v="4"/>
    <s v="A     - Avere"/>
    <n v="12310.16"/>
    <n v="0"/>
    <n v="4582492"/>
    <s v="MRTNCL52R05F262F"/>
    <s v="MARTINO NICOLA"/>
    <s v="600 - Famiglie consumatrici"/>
    <m/>
    <s v="086 - ITALIA"/>
    <n v="72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80"/>
    <s v="90"/>
    <s v="Operazioni con paese controparte ad altissimo rischio"/>
    <d v="2025-04-24T00:00:00"/>
    <n v="53850"/>
    <n v="128"/>
    <s v="053850_128"/>
    <s v="Discovery Day"/>
    <s v="Mai valutato"/>
    <m/>
    <n v="202504237920557"/>
    <n v="1283300002423"/>
    <n v="20250423"/>
    <x v="0"/>
    <m/>
    <x v="4"/>
    <s v="A     - Avere"/>
    <n v="12310.16"/>
    <n v="0"/>
    <n v="4582488"/>
    <s v="MRTMHL85H13F262D"/>
    <s v="MARTINO MICHELE"/>
    <s v="600 - Famiglie consumatrici"/>
    <m/>
    <s v="086 - ITALIA"/>
    <n v="726"/>
    <m/>
    <m/>
    <m/>
    <m/>
    <m/>
    <m/>
    <m/>
    <n v="0"/>
    <n v="202504"/>
    <s v="IN CARICO AL RESPONSABIL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476"/>
    <s v="90"/>
    <s v="Operazioni con paese controparte ad altissimo rischio"/>
    <d v="2025-04-24T00:00:00"/>
    <n v="53850"/>
    <n v="109"/>
    <s v="053850_109"/>
    <s v="Discovery Day"/>
    <s v="Mai valutato"/>
    <m/>
    <s v="202504236235816L"/>
    <n v="1093306673192"/>
    <n v="20250423"/>
    <x v="0"/>
    <m/>
    <x v="3"/>
    <s v="A     - Avere"/>
    <n v="1555.03"/>
    <n v="0"/>
    <n v="4184352"/>
    <s v="CLCCLN73M08C134H"/>
    <s v="COLUCCI CARLO ANTONIO MODESTO"/>
    <s v="615 - Altre famiglie produttrici"/>
    <s v="691 - ATTIVITÀ DEGLI STUDI LEGALI"/>
    <s v="086 - ITALIA"/>
    <n v="1107"/>
    <m/>
    <m/>
    <m/>
    <m/>
    <m/>
    <m/>
    <m/>
    <n v="0"/>
    <n v="202504"/>
    <s v="IN VALUTAZIONE RPR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74"/>
    <s v="90"/>
    <s v="Operazioni con paese controparte ad altissimo rischio"/>
    <d v="2025-04-24T00:00:00"/>
    <n v="53850"/>
    <n v="114"/>
    <s v="053850_114"/>
    <s v="Discovery Day"/>
    <s v="Mai valutato"/>
    <m/>
    <s v="202504236226467L"/>
    <n v="1143300001238"/>
    <n v="20250423"/>
    <x v="0"/>
    <m/>
    <x v="3"/>
    <s v="A     - Avere"/>
    <n v="4000"/>
    <n v="0"/>
    <n v="4747564"/>
    <s v="BSSNTN69L21F104K"/>
    <s v="BASSO ANTONIO"/>
    <s v="600 - Famiglie consumatrici"/>
    <m/>
    <s v="086 - ITALIA"/>
    <n v="804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461"/>
    <s v="90"/>
    <s v="Operazioni con paese controparte ad altissimo rischio"/>
    <d v="2025-04-23T00:00:00"/>
    <n v="53850"/>
    <n v="270"/>
    <s v="053850_270"/>
    <s v="Discovery Day"/>
    <s v="Mai valutato"/>
    <m/>
    <n v="202504227917030"/>
    <n v="2703300010883"/>
    <n v="20250422"/>
    <x v="0"/>
    <m/>
    <x v="2"/>
    <s v="A     - Avere"/>
    <n v="5000.01"/>
    <n v="0"/>
    <n v="3741718"/>
    <n v="2347470680"/>
    <s v="BEPINK SRLS"/>
    <s v="430 - Imprese produttive"/>
    <s v="479 - COMMERCIO AL DETTAGLIO AL DI FUORI DI NEGOZI, BANCHI E MERCATI"/>
    <s v="086 - ITALIA"/>
    <n v="1560"/>
    <m/>
    <m/>
    <m/>
    <m/>
    <m/>
    <m/>
    <m/>
    <n v="0"/>
    <n v="202504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444"/>
    <s v="90"/>
    <s v="Operazioni con paese controparte ad altissimo rischio"/>
    <d v="2025-04-23T00:00:00"/>
    <n v="53850"/>
    <n v="270"/>
    <s v="053850_270"/>
    <s v="Discovery Day"/>
    <s v="Mai valutato"/>
    <m/>
    <n v="202504227917031"/>
    <n v="2703300010883"/>
    <n v="20250422"/>
    <x v="0"/>
    <m/>
    <x v="2"/>
    <s v="A     - Avere"/>
    <n v="5000.01"/>
    <n v="0"/>
    <n v="3741718"/>
    <n v="2347470680"/>
    <s v="BEPINK SRLS"/>
    <s v="430 - Imprese produttive"/>
    <s v="479 - COMMERCIO AL DETTAGLIO AL DI FUORI DI NEGOZI, BANCHI E MERCATI"/>
    <s v="086 - ITALIA"/>
    <n v="1560"/>
    <m/>
    <m/>
    <m/>
    <m/>
    <m/>
    <m/>
    <m/>
    <n v="0"/>
    <n v="202504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441"/>
    <s v="90"/>
    <s v="Operazioni con paese controparte ad altissimo rischio"/>
    <d v="2025-04-23T00:00:00"/>
    <n v="53850"/>
    <n v="226"/>
    <s v="053850_226"/>
    <s v="Discovery Day"/>
    <s v="Mai valutato"/>
    <m/>
    <n v="202504227916558"/>
    <n v="1163307619285"/>
    <n v="20250422"/>
    <x v="0"/>
    <m/>
    <x v="3"/>
    <s v="A     - Avere"/>
    <n v="13000"/>
    <n v="0"/>
    <n v="4709685"/>
    <n v="6911480728"/>
    <s v="BELLUCCI S.A.S DI TUFARELLI MARIA PATRIZIA &amp; C."/>
    <s v="482 - Quasi societa' non finanziarie artigiane - Unita' o societa' con meno di 20 addetti"/>
    <s v="292 - FABBRICAZIONE DI CARROZZERIE PER AUTOVEICOLI, RIMORCHI E SEMIRIMORCHI"/>
    <s v="086 - ITALIA"/>
    <n v="1932"/>
    <m/>
    <m/>
    <m/>
    <m/>
    <m/>
    <m/>
    <m/>
    <n v="0"/>
    <n v="202504"/>
    <s v="IN CARICO AL RESPONSABILE"/>
    <x v="1"/>
    <n v="1"/>
    <m/>
    <m/>
    <n v="0"/>
    <n v="999"/>
    <n v="482"/>
    <n v="48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429"/>
    <s v="90"/>
    <s v="Operazioni con paese controparte ad altissimo rischio"/>
    <d v="2025-04-23T00:00:00"/>
    <n v="53850"/>
    <n v="105"/>
    <s v="053850_105"/>
    <s v="Discovery Day"/>
    <s v="Mai valutato"/>
    <m/>
    <n v="202504227917018"/>
    <n v="1053306286871"/>
    <n v="20250422"/>
    <x v="0"/>
    <m/>
    <x v="4"/>
    <s v="A     - Avere"/>
    <n v="5642.5"/>
    <n v="0"/>
    <n v="4269425"/>
    <n v="4938290725"/>
    <s v="SAN DOMENICO S.N.C. DI FILIPPO MANCINO &amp; C."/>
    <s v="482 - Quasi societa' non finanziarie artigiane - Unita' o societa' con meno di 20 addetti"/>
    <s v="104 - PRODUZIONE DI OLI E GRASSI VEGETALI E ANIMALI"/>
    <s v="086 - ITALIA"/>
    <n v="1947"/>
    <m/>
    <m/>
    <m/>
    <m/>
    <m/>
    <m/>
    <m/>
    <n v="0"/>
    <n v="202504"/>
    <s v="IN CARICO AL GESTORE"/>
    <x v="1"/>
    <n v="1"/>
    <m/>
    <m/>
    <n v="0"/>
    <n v="999"/>
    <n v="482"/>
    <n v="48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426"/>
    <s v="90"/>
    <s v="Operazioni con paese controparte ad altissimo rischio"/>
    <d v="2025-04-23T00:00:00"/>
    <n v="53850"/>
    <n v="187"/>
    <s v="053850_187"/>
    <s v="Discovery Day"/>
    <s v="Mai valutato"/>
    <m/>
    <s v="202504226106790L"/>
    <n v="1873300102696"/>
    <n v="20250422"/>
    <x v="0"/>
    <m/>
    <x v="3"/>
    <s v="A     - Avere"/>
    <n v="2738.46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415"/>
    <s v="90"/>
    <s v="Operazioni con paese controparte ad altissimo rischio"/>
    <d v="2025-04-23T00:00:00"/>
    <n v="53850"/>
    <n v="109"/>
    <s v="053850_109"/>
    <s v="Discovery Day"/>
    <s v="Mai valutato"/>
    <m/>
    <s v="202504186090577L"/>
    <n v="1093306672844"/>
    <n v="20250418"/>
    <x v="0"/>
    <m/>
    <x v="0"/>
    <s v="D     - Dare"/>
    <n v="15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n v="440311"/>
    <n v="1"/>
    <n v="0"/>
    <n v="451"/>
    <n v="430"/>
    <n v="430451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412"/>
    <s v="90"/>
    <s v="Operazioni con paese controparte ad altissimo rischio"/>
    <d v="2025-04-23T00:00:00"/>
    <n v="53850"/>
    <n v="109"/>
    <s v="053850_109"/>
    <s v="Discovery Day"/>
    <s v="Mai valutato"/>
    <m/>
    <n v="202504177914865"/>
    <n v="1093306672844"/>
    <n v="20250417"/>
    <x v="0"/>
    <m/>
    <x v="3"/>
    <s v="D     - Dare"/>
    <n v="343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n v="440311"/>
    <n v="1"/>
    <n v="0"/>
    <n v="451"/>
    <n v="430"/>
    <n v="430451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388"/>
    <s v="90"/>
    <s v="Operazioni con paese controparte ad altissimo rischio"/>
    <d v="2025-04-19T00:00:00"/>
    <n v="53850"/>
    <n v="103"/>
    <s v="053850_103"/>
    <s v="Discovery Day"/>
    <s v="Mai valutato"/>
    <m/>
    <s v="202504186076318L"/>
    <n v="1033304289290"/>
    <n v="20250418"/>
    <x v="0"/>
    <m/>
    <x v="3"/>
    <s v="D     - Dare"/>
    <n v="1990.6"/>
    <n v="0"/>
    <n v="428929"/>
    <n v="3895840720"/>
    <s v="CAM2 SOCIETA' A RESPONSABILITA' LIMITATA"/>
    <s v="450 - Associazioni fra imprese non finanziarie"/>
    <s v="494 - TRASPORTO DI MERCI SU STRADA E SERVIZI DI TRASLOCO"/>
    <s v="086 - ITALIA"/>
    <n v="1274"/>
    <m/>
    <m/>
    <m/>
    <m/>
    <m/>
    <m/>
    <m/>
    <n v="0"/>
    <n v="202504"/>
    <s v="ARCHIVIATA DA RPR"/>
    <x v="0"/>
    <n v="1"/>
    <m/>
    <m/>
    <n v="0"/>
    <n v="999"/>
    <n v="450"/>
    <n v="45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73"/>
    <s v="90"/>
    <s v="Operazioni con paese controparte ad altissimo rischio"/>
    <d v="2025-04-18T00:00:00"/>
    <n v="53850"/>
    <n v="181"/>
    <s v="053850_181"/>
    <s v="Discovery Day"/>
    <s v="Mai valutato"/>
    <m/>
    <s v="202504176018104L"/>
    <n v="1813301029181"/>
    <n v="20250417"/>
    <x v="0"/>
    <m/>
    <x v="3"/>
    <s v="A     - Avere"/>
    <n v="1272"/>
    <n v="0"/>
    <n v="4803285"/>
    <s v="DNCCST91E13L109Z"/>
    <s v="DE NICOLO CRISTIANO"/>
    <s v="615 - Altre famiglie produttrici"/>
    <s v="011 - COLTIVAZIONE DI COLTURE AGRICOLE NON PERMANENTI"/>
    <s v="086 - ITALIA"/>
    <n v="1670"/>
    <m/>
    <m/>
    <m/>
    <m/>
    <m/>
    <m/>
    <m/>
    <n v="0"/>
    <n v="202504"/>
    <s v="IN CARICO AL GESTORE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71"/>
    <s v="90"/>
    <s v="Operazioni con paese controparte ad altissimo rischio"/>
    <d v="2025-04-18T00:00:00"/>
    <n v="53850"/>
    <n v="268"/>
    <s v="053850_268"/>
    <s v="Discovery Day"/>
    <s v="Mai valutato"/>
    <m/>
    <n v="202504177907005"/>
    <n v="2681147800157"/>
    <n v="20250417"/>
    <x v="0"/>
    <m/>
    <x v="5"/>
    <s v="D     - Dare"/>
    <n v="140984.67000000001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367"/>
    <s v="90"/>
    <s v="Operazioni con paese controparte ad altissimo rischio"/>
    <d v="2025-04-18T00:00:00"/>
    <n v="53850"/>
    <n v="103"/>
    <s v="053850_103"/>
    <s v="Discovery Day"/>
    <s v="Mai valutato"/>
    <m/>
    <s v="202504176017698L"/>
    <n v="1033306978559"/>
    <n v="20250417"/>
    <x v="0"/>
    <m/>
    <x v="3"/>
    <s v="A     - Avere"/>
    <n v="2120"/>
    <n v="0"/>
    <n v="4917376"/>
    <n v="324070770"/>
    <s v="HOTEL NAZIONALE S.R.L."/>
    <s v="430 - Imprese produttive"/>
    <s v="551 - ALBERGHI E STRUTTURE SIMILI"/>
    <s v="086 - ITALIA"/>
    <n v="1175"/>
    <m/>
    <m/>
    <m/>
    <m/>
    <m/>
    <m/>
    <m/>
    <n v="0"/>
    <n v="202504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64"/>
    <s v="90"/>
    <s v="Operazioni con paese controparte ad altissimo rischio"/>
    <d v="2025-04-18T00:00:00"/>
    <n v="53850"/>
    <n v="102"/>
    <s v="053850_102"/>
    <s v="Discovery Day"/>
    <s v="Mai valutato"/>
    <m/>
    <n v="202504177905473"/>
    <n v="1023308716491"/>
    <n v="20250417"/>
    <x v="0"/>
    <m/>
    <x v="1"/>
    <s v="D     - Dare"/>
    <n v="65000"/>
    <n v="0"/>
    <n v="3970"/>
    <s v="CRNRRT78A19A225Y"/>
    <s v="CORNACCHIA ROBERTO"/>
    <s v="600 - Famiglie consumatrici"/>
    <m/>
    <s v="086 - ITALIA"/>
    <n v="1431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362"/>
    <s v="90"/>
    <s v="Operazioni con paese controparte ad altissimo rischio"/>
    <d v="2025-04-18T00:00:00"/>
    <n v="53850"/>
    <n v="129"/>
    <s v="053850_129"/>
    <s v="Discovery Day"/>
    <s v="Mai valutato"/>
    <m/>
    <n v="202504177906947"/>
    <n v="1293300002811"/>
    <n v="20250417"/>
    <x v="0"/>
    <m/>
    <x v="0"/>
    <s v="A     - Avere"/>
    <n v="11520.82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37353"/>
    <s v="90"/>
    <s v="Operazioni con paese controparte ad altissimo rischio"/>
    <d v="2025-04-18T00:00:00"/>
    <n v="53850"/>
    <n v="104"/>
    <s v="053850_104"/>
    <s v="Discovery Day"/>
    <s v="Mai valutato"/>
    <m/>
    <s v="202504176017818L"/>
    <n v="1043301449295"/>
    <n v="20250417"/>
    <x v="0"/>
    <m/>
    <x v="3"/>
    <s v="A     - Avere"/>
    <n v="2057.1999999999998"/>
    <n v="0"/>
    <n v="4627975"/>
    <n v="7107300720"/>
    <s v="LEONE S.R.L."/>
    <s v="430 - Imprese produttive"/>
    <s v="452 - MANUTENZIONE E RIPARAZIONE DI AUTOVEICOLI"/>
    <s v="086 - ITALIA"/>
    <n v="7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52"/>
    <s v="90"/>
    <s v="Operazioni con paese controparte ad altissimo rischio"/>
    <d v="2025-04-18T00:00:00"/>
    <n v="53850"/>
    <n v="116"/>
    <s v="053850_116"/>
    <s v="Discovery Day"/>
    <s v="Mai valutato"/>
    <m/>
    <s v="202504176014723L"/>
    <n v="1163307619118"/>
    <n v="20250417"/>
    <x v="0"/>
    <m/>
    <x v="1"/>
    <s v="A     - Avere"/>
    <n v="4700"/>
    <n v="0"/>
    <n v="4644565"/>
    <s v="LLLGNN63H55A662H"/>
    <s v="LOLLINO GIOVANNA"/>
    <s v="600 - Famiglie consumatrici"/>
    <m/>
    <s v="086 - ITALIA"/>
    <n v="924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351"/>
    <s v="90"/>
    <s v="Operazioni con paese controparte ad altissimo rischio"/>
    <d v="2025-04-18T00:00:00"/>
    <n v="53850"/>
    <n v="196"/>
    <s v="053850_196"/>
    <s v="Discovery Day"/>
    <s v="Mai valutato"/>
    <m/>
    <s v="202504176017674L"/>
    <n v="1963302354532"/>
    <n v="20250417"/>
    <x v="0"/>
    <m/>
    <x v="6"/>
    <s v="D     - Dare"/>
    <n v="1940"/>
    <n v="0"/>
    <n v="4962400"/>
    <s v="CTRGRL94T52C514B"/>
    <s v="CATERINA GABRIELLA"/>
    <s v="600 - Famiglie consumatrici"/>
    <m/>
    <s v="086 - ITALIA"/>
    <n v="796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346"/>
    <s v="90"/>
    <s v="Operazioni con paese controparte ad altissimo rischio"/>
    <d v="2025-04-18T00:00:00"/>
    <n v="53850"/>
    <n v="171"/>
    <s v="053850_171"/>
    <s v="Discovery Day"/>
    <s v="Mai valutato"/>
    <m/>
    <n v="202504157905829"/>
    <n v="1713302216617"/>
    <n v="20250415"/>
    <x v="0"/>
    <m/>
    <x v="3"/>
    <s v="D     - Dare"/>
    <n v="5000"/>
    <n v="0"/>
    <n v="4220793"/>
    <s v="BRANTN64T10A893Y"/>
    <s v="BARI ANTONIO"/>
    <s v="600 - Famiglie consumatrici"/>
    <m/>
    <s v="086 - ITALIA"/>
    <n v="815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334"/>
    <s v="90"/>
    <s v="Operazioni con paese controparte ad altissimo rischio"/>
    <d v="2025-04-17T00:00:00"/>
    <n v="53850"/>
    <n v="103"/>
    <s v="053850_103"/>
    <s v="Discovery Day"/>
    <s v="Mai valutato"/>
    <m/>
    <n v="202504167902380"/>
    <n v="1033302886146"/>
    <n v="20250416"/>
    <x v="0"/>
    <m/>
    <x v="3"/>
    <s v="D     - Dare"/>
    <n v="5536.36"/>
    <n v="0"/>
    <n v="4503362"/>
    <n v="6800040724"/>
    <s v="AUTOTRASPORTI F.LLI LOMBARDI DI LOMBARDI VINCENZO E GIUSEPPE SNC"/>
    <s v="482 - Quasi societa' non finanziarie artigiane - Unita' o societa' con meno di 20 addetti"/>
    <s v="494 - TRASPORTO DI MERCI SU STRADA E SERVIZI DI TRASLOCO"/>
    <s v="086 - ITALIA"/>
    <n v="1912"/>
    <m/>
    <m/>
    <m/>
    <m/>
    <m/>
    <m/>
    <m/>
    <n v="0"/>
    <n v="202504"/>
    <s v="IN VALUTAZIONE RPR"/>
    <x v="1"/>
    <n v="1"/>
    <m/>
    <m/>
    <n v="0"/>
    <n v="999"/>
    <n v="482"/>
    <n v="48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37328"/>
    <s v="90"/>
    <s v="Operazioni con paese controparte ad altissimo rischio"/>
    <d v="2025-04-17T00:00:00"/>
    <n v="53850"/>
    <n v="147"/>
    <s v="053850_147"/>
    <s v="Discovery Day"/>
    <s v="Mai valutato"/>
    <m/>
    <s v="202504165994061L"/>
    <n v="1473300005217"/>
    <n v="20250416"/>
    <x v="0"/>
    <m/>
    <x v="3"/>
    <s v="D     - Dare"/>
    <n v="2050"/>
    <n v="0"/>
    <n v="3724704"/>
    <n v="4306130610"/>
    <s v="SABATINO SRL"/>
    <s v="430 - Imprese produttive"/>
    <s v="494 - TRASPORTO DI MERCI SU STRADA E SERVIZI DI TRASLOCO"/>
    <s v="086 - ITALIA"/>
    <n v="119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37314"/>
    <s v="90"/>
    <s v="Operazioni con paese controparte ad altissimo rischio"/>
    <d v="2025-04-17T00:00:00"/>
    <n v="53850"/>
    <n v="171"/>
    <s v="053850_171"/>
    <s v="Discovery Day"/>
    <s v="Mai valutato"/>
    <m/>
    <n v="202504167901863"/>
    <n v="1713302216617"/>
    <n v="20250416"/>
    <x v="0"/>
    <m/>
    <x v="3"/>
    <s v="D     - Dare"/>
    <n v="5000"/>
    <n v="0"/>
    <n v="4220793"/>
    <s v="BRANTN64T10A893Y"/>
    <s v="BARI ANTONIO"/>
    <s v="600 - Famiglie consumatrici"/>
    <m/>
    <s v="086 - ITALIA"/>
    <n v="815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99"/>
    <s v="90"/>
    <s v="Operazioni con paese controparte ad altissimo rischio"/>
    <d v="2025-04-16T00:00:00"/>
    <n v="53850"/>
    <n v="134"/>
    <s v="053850_134"/>
    <s v="Discovery Day"/>
    <s v="Mai valutato"/>
    <m/>
    <s v="202504155923380L"/>
    <n v="1303300000237"/>
    <n v="20250415"/>
    <x v="0"/>
    <m/>
    <x v="3"/>
    <s v="A     - Avere"/>
    <n v="4000"/>
    <n v="0"/>
    <n v="4005541"/>
    <s v="LMTPTR64P07A612G"/>
    <s v="LOMUTO PIETRO"/>
    <s v="600 - Famiglie consumatrici"/>
    <m/>
    <s v="086 - ITALIA"/>
    <n v="1659"/>
    <m/>
    <m/>
    <m/>
    <m/>
    <m/>
    <m/>
    <m/>
    <n v="0"/>
    <n v="202504"/>
    <s v="IN CARICO AL RESPONSABIL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293"/>
    <s v="90"/>
    <s v="Operazioni con paese controparte ad altissimo rischio"/>
    <d v="2025-04-16T00:00:00"/>
    <n v="53850"/>
    <n v="110"/>
    <s v="053850_110"/>
    <s v="Discovery Day"/>
    <s v="Mai valutato"/>
    <m/>
    <s v="202504155922307L"/>
    <n v="1103305020890"/>
    <n v="20250415"/>
    <x v="0"/>
    <m/>
    <x v="0"/>
    <s v="A     - Avere"/>
    <n v="1804.4"/>
    <n v="0"/>
    <n v="502089"/>
    <s v="CRCRNT50S09A669P"/>
    <s v="CURCI RENATO"/>
    <s v="614 - Artigiani"/>
    <s v="205 - FABBRICAZIONE DI ALTRI PRODOTTI CHIMICI"/>
    <s v="086 - ITALIA"/>
    <n v="476"/>
    <m/>
    <m/>
    <m/>
    <m/>
    <m/>
    <m/>
    <m/>
    <n v="0"/>
    <n v="202504"/>
    <s v="IN VALUTAZIONE RPR"/>
    <x v="1"/>
    <n v="1"/>
    <m/>
    <m/>
    <n v="0"/>
    <n v="999"/>
    <n v="614"/>
    <n v="614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76"/>
    <s v="90"/>
    <s v="Operazioni con paese controparte ad altissimo rischio"/>
    <d v="2025-04-16T00:00:00"/>
    <n v="53850"/>
    <n v="259"/>
    <s v="053850_259"/>
    <s v="Discovery Day"/>
    <s v="Mai valutato"/>
    <m/>
    <s v="202504155917015L"/>
    <n v="2593300000648"/>
    <n v="20250415"/>
    <x v="0"/>
    <m/>
    <x v="3"/>
    <s v="D     - Dare"/>
    <n v="2900"/>
    <n v="0"/>
    <n v="4905728"/>
    <n v="8154630720"/>
    <s v="ENERITALY S.R.L."/>
    <s v="430 - Imprese produttive"/>
    <s v="432 - INSTALLAZIONE DI IMPIANTI ELETTRICI, IDRAULICI ED ALTRI LAVORI DI COSTRUZIONE E INSTALLAZIONE"/>
    <s v="086 - ITALIA"/>
    <n v="1578"/>
    <m/>
    <m/>
    <m/>
    <m/>
    <m/>
    <m/>
    <m/>
    <n v="0"/>
    <n v="202504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70"/>
    <s v="90"/>
    <s v="Operazioni con paese controparte ad altissimo rischio"/>
    <d v="2025-04-16T00:00:00"/>
    <n v="53850"/>
    <n v="129"/>
    <s v="053850_129"/>
    <s v="Discovery Day"/>
    <s v="Mai valutato"/>
    <m/>
    <n v="202504157900073"/>
    <n v="1293300002811"/>
    <n v="20250415"/>
    <x v="0"/>
    <m/>
    <x v="0"/>
    <s v="A     - Avere"/>
    <n v="19104.88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37268"/>
    <s v="90"/>
    <s v="Operazioni con paese controparte ad altissimo rischio"/>
    <d v="2025-04-16T00:00:00"/>
    <n v="53850"/>
    <n v="148"/>
    <s v="053850_148"/>
    <s v="Discovery Day"/>
    <s v="Mai valutato"/>
    <m/>
    <s v="202504155933129L"/>
    <n v="1483300003580"/>
    <n v="20250415"/>
    <x v="0"/>
    <m/>
    <x v="0"/>
    <s v="A     - Avere"/>
    <n v="1500"/>
    <n v="0"/>
    <n v="4771374"/>
    <s v="KRZJSP84S29Z149E"/>
    <s v="KRIZANIC JOSIP"/>
    <s v="600 - Famiglie consumatrici"/>
    <m/>
    <s v="086 - ITALIA"/>
    <n v="1064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67"/>
    <s v="90"/>
    <s v="Operazioni con paese controparte ad altissimo rischio"/>
    <d v="2025-04-16T00:00:00"/>
    <n v="53850"/>
    <n v="119"/>
    <s v="053850_119"/>
    <s v="Discovery Day"/>
    <s v="Mai valutato"/>
    <m/>
    <s v="202504155923384L"/>
    <n v="1193308875001"/>
    <n v="20250415"/>
    <x v="0"/>
    <m/>
    <x v="3"/>
    <s v="A     - Avere"/>
    <n v="2800"/>
    <n v="0"/>
    <n v="4926288"/>
    <s v="DLLLRT95P14A662V"/>
    <s v="DELLINO ALBERTO"/>
    <s v="615 - Altre famiglie produttrici"/>
    <s v="331 - RIPARAZIONE E MANUTENZIONE DI PRODOTTI IN METALLO, MACCHINE ED APPARECCHIATURE"/>
    <s v="086 - ITALIA"/>
    <n v="656"/>
    <m/>
    <m/>
    <m/>
    <m/>
    <m/>
    <m/>
    <m/>
    <n v="0"/>
    <n v="202504"/>
    <s v="ARCHIVIATA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65"/>
    <s v="90"/>
    <s v="Operazioni con paese controparte ad altissimo rischio"/>
    <d v="2025-04-16T00:00:00"/>
    <n v="53850"/>
    <n v="145"/>
    <s v="053850_145"/>
    <s v="Discovery Day"/>
    <s v="Mai valutato"/>
    <m/>
    <n v="202504157899952"/>
    <n v="1453300003997"/>
    <n v="20250415"/>
    <x v="0"/>
    <m/>
    <x v="3"/>
    <s v="A     - Avere"/>
    <n v="12377.16"/>
    <n v="0"/>
    <n v="3737833"/>
    <n v="10171711210"/>
    <s v="PUNTO BIBITE SRL"/>
    <s v="430 - Imprese produttive"/>
    <s v="463 - COMMERCIO ALL'INGROSSO DI PRODOTTI ALIMENTARI, BEVANDE E PRODOTTI DEL TABACCO"/>
    <s v="086 - ITALIA"/>
    <m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258"/>
    <s v="90"/>
    <s v="Operazioni con paese controparte ad altissimo rischio"/>
    <d v="2025-04-15T00:00:00"/>
    <n v="53850"/>
    <n v="200"/>
    <s v="053850_200"/>
    <s v="Discovery Day"/>
    <s v="Mai valutato"/>
    <m/>
    <n v="202504147896571"/>
    <n v="2003300003730"/>
    <n v="20250414"/>
    <x v="0"/>
    <m/>
    <x v="4"/>
    <s v="D     - Dare"/>
    <n v="250000"/>
    <n v="0"/>
    <n v="3731305"/>
    <s v="GGLLCN65C30C632E"/>
    <s v="GAGLIARDI LUCIANO"/>
    <s v="600 - Famiglie consumatrici"/>
    <m/>
    <s v="086 - ITALIA"/>
    <n v="1837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253"/>
    <s v="90"/>
    <s v="Operazioni con paese controparte ad altissimo rischio"/>
    <d v="2025-04-15T00:00:00"/>
    <n v="53850"/>
    <n v="137"/>
    <s v="053850_137"/>
    <s v="Discovery Day"/>
    <s v="Mai valutato"/>
    <m/>
    <n v="202504147895250"/>
    <n v="1373300005994"/>
    <n v="20250414"/>
    <x v="0"/>
    <m/>
    <x v="0"/>
    <s v="D     - Dare"/>
    <n v="41391.440000000002"/>
    <n v="0"/>
    <n v="3734872"/>
    <n v="1896670708"/>
    <s v="MOLISE SUINI SRL"/>
    <s v="430 - Imprese produttive"/>
    <s v="014 - ALLEVAMENTO DI ANIMALI"/>
    <s v="086 - ITALIA"/>
    <n v="1867"/>
    <m/>
    <m/>
    <m/>
    <m/>
    <m/>
    <m/>
    <m/>
    <n v="0"/>
    <n v="202504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7248"/>
    <s v="90"/>
    <s v="Operazioni con paese controparte ad altissimo rischio"/>
    <d v="2025-04-15T00:00:00"/>
    <n v="53850"/>
    <n v="121"/>
    <s v="053850_121"/>
    <s v="Discovery Day"/>
    <s v="Mai valutato"/>
    <m/>
    <s v="202504145859409L"/>
    <n v="1213300001913"/>
    <n v="20250414"/>
    <x v="0"/>
    <m/>
    <x v="0"/>
    <s v="A     - Avere"/>
    <n v="2820"/>
    <n v="0"/>
    <n v="4794759"/>
    <n v="7627090728"/>
    <s v="BSQ CERT S.R.L."/>
    <s v="430 - Imprese produttive"/>
    <s v="620 - PRODUZIONE DI SOFTWARE, CONSULENZA INFORMATICA E ATTIVITÀ CONNESSE"/>
    <s v="086 - ITALIA"/>
    <n v="928"/>
    <m/>
    <m/>
    <m/>
    <m/>
    <m/>
    <m/>
    <m/>
    <n v="0"/>
    <n v="202504"/>
    <s v="ARCHIVIATA DA RPR"/>
    <x v="0"/>
    <n v="1"/>
    <m/>
    <m/>
    <n v="0"/>
    <n v="620"/>
    <n v="430"/>
    <n v="430620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247"/>
    <s v="90"/>
    <s v="Operazioni con paese controparte ad altissimo rischio"/>
    <d v="2025-04-15T00:00:00"/>
    <n v="53850"/>
    <n v="261"/>
    <s v="053850_261"/>
    <s v="Discovery Day"/>
    <s v="Mai valutato"/>
    <m/>
    <s v="202504145859436L"/>
    <n v="2613300001265"/>
    <n v="20250414"/>
    <x v="0"/>
    <m/>
    <x v="1"/>
    <s v="A     - Avere"/>
    <n v="1500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244"/>
    <s v="90"/>
    <s v="Operazioni con paese controparte ad altissimo rischio"/>
    <d v="2025-04-15T00:00:00"/>
    <n v="53850"/>
    <n v="102"/>
    <s v="053850_102"/>
    <s v="Discovery Day"/>
    <s v="Mai valutato"/>
    <m/>
    <n v="202504147896582"/>
    <n v="1023308727580"/>
    <n v="20250414"/>
    <x v="0"/>
    <m/>
    <x v="7"/>
    <s v="A     - Avere"/>
    <n v="8466.74"/>
    <n v="0"/>
    <n v="3727650"/>
    <n v="8924460721"/>
    <s v="MEC WELDING SERVICE SOCIETA' A RESPONSABILITA' LIMITATA SEMPLIFICATA"/>
    <s v="430 - Imprese produttive"/>
    <s v="332 - INSTALLAZIONE DI MACCHINE ED APPARECCHIATURE INDUSTRIALI"/>
    <s v="086 - ITALIA"/>
    <n v="1306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242"/>
    <s v="90"/>
    <s v="Operazioni con paese controparte ad altissimo rischio"/>
    <d v="2025-04-15T00:00:00"/>
    <n v="53850"/>
    <n v="118"/>
    <s v="053850_118"/>
    <s v="Discovery Day"/>
    <s v="Mai valutato"/>
    <m/>
    <n v="202504147895391"/>
    <n v="1183306279346"/>
    <n v="20250414"/>
    <x v="0"/>
    <m/>
    <x v="3"/>
    <s v="D     - Dare"/>
    <n v="6866.83"/>
    <n v="0"/>
    <n v="4890743"/>
    <n v="8059830722"/>
    <s v="MAX DIVANI SOCIETA' A RESPONSABILITA' LIMITATA"/>
    <s v="430 - Imprese produttive"/>
    <s v="139 - ALTRE INDUSTRIE TESSILI"/>
    <s v="086 - ITALIA"/>
    <n v="1203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237"/>
    <s v="90"/>
    <s v="Operazioni con paese controparte ad altissimo rischio"/>
    <d v="2025-04-15T00:00:00"/>
    <n v="53850"/>
    <n v="259"/>
    <s v="053850_259"/>
    <s v="Discovery Day"/>
    <s v="Mai valutato"/>
    <m/>
    <n v="202504147895069"/>
    <n v="2593300000091"/>
    <n v="20250414"/>
    <x v="0"/>
    <m/>
    <x v="3"/>
    <s v="D     - Dare"/>
    <n v="5000"/>
    <n v="0"/>
    <n v="4731214"/>
    <n v="5978380722"/>
    <s v="AUTOEMME S.N.C. - DI DIMAGGIO MICHELE &amp; C."/>
    <s v="482 - Quasi societa' non finanziarie artigiane - Unita' o societa' con meno di 20 addetti"/>
    <s v="452 - MANUTENZIONE E RIPARAZIONE DI AUTOVEICOLI"/>
    <s v="086 - ITALIA"/>
    <n v="1530"/>
    <m/>
    <m/>
    <m/>
    <m/>
    <m/>
    <m/>
    <m/>
    <n v="0"/>
    <n v="202504"/>
    <s v="IN CARICO AL GESTORE"/>
    <x v="1"/>
    <n v="1"/>
    <m/>
    <m/>
    <n v="0"/>
    <n v="999"/>
    <n v="482"/>
    <n v="48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25"/>
    <s v="90"/>
    <s v="Operazioni con paese controparte ad altissimo rischio"/>
    <d v="2025-04-15T00:00:00"/>
    <n v="53850"/>
    <n v="259"/>
    <s v="053850_259"/>
    <s v="Discovery Day"/>
    <s v="Mai valutato"/>
    <m/>
    <s v="202504145856379L"/>
    <n v="2593300000091"/>
    <n v="20250414"/>
    <x v="0"/>
    <m/>
    <x v="3"/>
    <s v="D     - Dare"/>
    <n v="2500"/>
    <n v="0"/>
    <n v="4731214"/>
    <n v="5978380722"/>
    <s v="AUTOEMME S.N.C. - DI DIMAGGIO MICHELE &amp; C."/>
    <s v="482 - Quasi societa' non finanziarie artigiane - Unita' o societa' con meno di 20 addetti"/>
    <s v="452 - MANUTENZIONE E RIPARAZIONE DI AUTOVEICOLI"/>
    <s v="086 - ITALIA"/>
    <n v="1530"/>
    <m/>
    <m/>
    <m/>
    <m/>
    <m/>
    <m/>
    <m/>
    <n v="0"/>
    <n v="202504"/>
    <s v="IN CARICO AL GESTORE"/>
    <x v="1"/>
    <n v="1"/>
    <m/>
    <m/>
    <n v="0"/>
    <n v="999"/>
    <n v="482"/>
    <n v="48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37224"/>
    <s v="90"/>
    <s v="Operazioni con paese controparte ad altissimo rischio"/>
    <d v="2025-04-15T00:00:00"/>
    <n v="53850"/>
    <n v="271"/>
    <s v="053850_271"/>
    <s v="Discovery Day"/>
    <s v="Mai valutato"/>
    <m/>
    <n v="202504147896574"/>
    <n v="2713300010112"/>
    <n v="20250414"/>
    <x v="0"/>
    <m/>
    <x v="4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4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7218"/>
    <s v="90"/>
    <s v="Operazioni con paese controparte ad altissimo rischio"/>
    <d v="2025-04-15T00:00:00"/>
    <n v="53850"/>
    <n v="108"/>
    <s v="053850_108"/>
    <s v="Discovery Day"/>
    <s v="Mai valutato"/>
    <m/>
    <s v="202504145865144L"/>
    <n v="1083300000001"/>
    <n v="20250414"/>
    <x v="0"/>
    <m/>
    <x v="8"/>
    <s v="D     - Dare"/>
    <n v="3500"/>
    <n v="0"/>
    <n v="4168326"/>
    <n v="91060700720"/>
    <s v="LAICI MISSIONARI - ODV ETS"/>
    <s v="501 - Istituzioni ed enti con finalita' di assistenza, beneficenza, istruzione, culturali, sindacali, politiche, sportive, ricreative e simili"/>
    <s v="949 - ATTIVITÀ DI ALTRE ORGANIZZAZIONI ASSOCIATIVE "/>
    <s v="086 - ITALIA"/>
    <n v="1931"/>
    <m/>
    <m/>
    <m/>
    <m/>
    <m/>
    <m/>
    <m/>
    <n v="0"/>
    <n v="202504"/>
    <s v="ARCHIVIATA"/>
    <x v="0"/>
    <n v="1"/>
    <m/>
    <m/>
    <n v="0"/>
    <n v="999"/>
    <n v="501"/>
    <n v="501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507"/>
    <s v="90"/>
    <s v="Operazioni con paese controparte ad altissimo rischio"/>
    <d v="2025-04-12T00:00:00"/>
    <n v="53850"/>
    <n v="109"/>
    <s v="053850_109"/>
    <s v="Discovery Day"/>
    <s v="Mai valutato"/>
    <m/>
    <s v="202504115805759L"/>
    <n v="1093306672844"/>
    <n v="20250411"/>
    <x v="0"/>
    <m/>
    <x v="0"/>
    <s v="A     - Avere"/>
    <n v="15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n v="440311"/>
    <n v="1"/>
    <n v="0"/>
    <n v="451"/>
    <n v="430"/>
    <n v="430451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505"/>
    <s v="90"/>
    <s v="Operazioni con paese controparte ad altissimo rischio"/>
    <d v="2025-04-12T00:00:00"/>
    <n v="53850"/>
    <n v="187"/>
    <s v="053850_187"/>
    <s v="Discovery Day"/>
    <s v="Mai valutato"/>
    <m/>
    <s v="202504115811647L"/>
    <n v="1873300102696"/>
    <n v="20250411"/>
    <x v="0"/>
    <m/>
    <x v="3"/>
    <s v="A     - Avere"/>
    <n v="2084.1799999999998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483"/>
    <s v="90"/>
    <s v="Operazioni con paese controparte ad altissimo rischio"/>
    <d v="2025-04-12T00:00:00"/>
    <n v="53850"/>
    <n v="148"/>
    <s v="053850_148"/>
    <s v="Discovery Day"/>
    <s v="Mai valutato"/>
    <m/>
    <s v="202504115804169L"/>
    <n v="1483300004308"/>
    <n v="20250411"/>
    <x v="0"/>
    <m/>
    <x v="1"/>
    <s v="D     - Dare"/>
    <n v="1820"/>
    <n v="0"/>
    <n v="4898674"/>
    <n v="2936580642"/>
    <s v="GLOBAL TRADING S.R.L.S."/>
    <s v="430 - Imprese produttive"/>
    <s v="467 - COMMERCIO ALL'INGROSSO SPECIALIZZATO DI ALTRI PRODOTTI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76"/>
    <s v="90"/>
    <s v="Operazioni con paese controparte ad altissimo rischio"/>
    <d v="2025-04-11T00:00:00"/>
    <n v="53850"/>
    <n v="192"/>
    <s v="053850_192"/>
    <s v="Discovery Day"/>
    <s v="Mai valutato"/>
    <m/>
    <n v="202504107885245"/>
    <n v="1923300181787"/>
    <n v="20250410"/>
    <x v="0"/>
    <m/>
    <x v="0"/>
    <s v="A     - Avere"/>
    <n v="6629"/>
    <n v="0"/>
    <n v="4048836"/>
    <n v="945510725"/>
    <s v="PUGLIA ALBERGHIERA S.R.L."/>
    <s v="430 - Imprese produttive"/>
    <s v="551 - ALBERGHI E STRUTTURE SIMILI"/>
    <s v="086 - ITALIA"/>
    <n v="1907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475"/>
    <s v="90"/>
    <s v="Operazioni con paese controparte ad altissimo rischio"/>
    <d v="2025-04-11T00:00:00"/>
    <n v="53850"/>
    <n v="141"/>
    <s v="053850_141"/>
    <s v="Discovery Day"/>
    <s v="Mai valutato"/>
    <m/>
    <s v="202504105765582L"/>
    <n v="1413300003508"/>
    <n v="20250410"/>
    <x v="0"/>
    <m/>
    <x v="3"/>
    <s v="A     - Avere"/>
    <n v="1800"/>
    <n v="0"/>
    <n v="4955842"/>
    <s v="PGLVTR01S56E506B"/>
    <s v="PAGLIARO VITTORIA"/>
    <s v="600 - Famiglie consumatrici"/>
    <m/>
    <s v="086 - ITALIA"/>
    <n v="925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74"/>
    <s v="90"/>
    <s v="Operazioni con paese controparte ad altissimo rischio"/>
    <d v="2025-04-11T00:00:00"/>
    <n v="53850"/>
    <n v="103"/>
    <s v="053850_103"/>
    <s v="Discovery Day"/>
    <s v="Mai valutato"/>
    <m/>
    <s v="202504105771058L"/>
    <n v="1033301641631"/>
    <n v="20250410"/>
    <x v="0"/>
    <m/>
    <x v="3"/>
    <s v="A     - Avere"/>
    <n v="2417.5100000000002"/>
    <n v="0"/>
    <n v="164163"/>
    <n v="3485840726"/>
    <s v="R.A.I. RICAMBI SRL"/>
    <s v="430 - Imprese produttive"/>
    <s v="453 - COMMERCIO DI PARTI E ACCESSORI DI AUTOVEICOLI"/>
    <s v="086 - ITALIA"/>
    <n v="1274"/>
    <m/>
    <m/>
    <m/>
    <m/>
    <m/>
    <m/>
    <m/>
    <n v="0"/>
    <n v="202504"/>
    <s v="IN VALUTAZIONE RPR"/>
    <x v="1"/>
    <n v="1"/>
    <m/>
    <m/>
    <n v="0"/>
    <n v="453"/>
    <n v="430"/>
    <n v="43045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473"/>
    <s v="90"/>
    <s v="Operazioni con paese controparte ad altissimo rischio"/>
    <d v="2025-04-11T00:00:00"/>
    <n v="53850"/>
    <n v="111"/>
    <s v="053850_111"/>
    <s v="Discovery Day"/>
    <s v="Mai valutato"/>
    <m/>
    <s v="202504105765702L"/>
    <n v="1113305626850"/>
    <n v="20250410"/>
    <x v="0"/>
    <m/>
    <x v="0"/>
    <s v="D     - Dare"/>
    <n v="2500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4"/>
    <s v="IN CARICO AL GESTOR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471"/>
    <s v="90"/>
    <s v="Operazioni con paese controparte ad altissimo rischio"/>
    <d v="2025-04-11T00:00:00"/>
    <n v="53850"/>
    <n v="109"/>
    <s v="053850_109"/>
    <s v="Discovery Day"/>
    <s v="Mai valutato"/>
    <m/>
    <s v="202504105771693L"/>
    <n v="1093306672844"/>
    <n v="20250410"/>
    <x v="0"/>
    <m/>
    <x v="3"/>
    <s v="D     - Dare"/>
    <n v="27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n v="440311"/>
    <n v="1"/>
    <n v="0"/>
    <n v="451"/>
    <n v="430"/>
    <n v="430451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465"/>
    <s v="90"/>
    <s v="Operazioni con paese controparte ad altissimo rischio"/>
    <d v="2025-04-11T00:00:00"/>
    <n v="53850"/>
    <n v="109"/>
    <s v="053850_109"/>
    <s v="Discovery Day"/>
    <s v="Mai valutato"/>
    <m/>
    <s v="202504105771698L"/>
    <n v="1093306672844"/>
    <n v="20250410"/>
    <x v="0"/>
    <m/>
    <x v="3"/>
    <s v="D     - Dare"/>
    <n v="18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4"/>
    <s v="ARCHIVIATA"/>
    <x v="0"/>
    <n v="1"/>
    <n v="440311"/>
    <n v="1"/>
    <n v="0"/>
    <n v="451"/>
    <n v="430"/>
    <n v="430451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52"/>
    <s v="90"/>
    <s v="Operazioni con paese controparte ad altissimo rischio"/>
    <d v="2025-04-11T00:00:00"/>
    <n v="53850"/>
    <n v="145"/>
    <s v="053850_145"/>
    <s v="Discovery Day"/>
    <s v="Mai valutato"/>
    <m/>
    <n v="202504107885171"/>
    <n v="1453300003997"/>
    <n v="20250410"/>
    <x v="0"/>
    <m/>
    <x v="3"/>
    <s v="A     - Avere"/>
    <n v="18500"/>
    <n v="0"/>
    <n v="3737833"/>
    <n v="10171711210"/>
    <s v="PUNTO BIBITE SRL"/>
    <s v="430 - Imprese produttive"/>
    <s v="463 - COMMERCIO ALL'INGROSSO DI PRODOTTI ALIMENTARI, BEVANDE E PRODOTTI DEL TABACCO"/>
    <s v="086 - ITALIA"/>
    <m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442"/>
    <s v="90"/>
    <s v="Operazioni con paese controparte ad altissimo rischio"/>
    <d v="2025-04-11T00:00:00"/>
    <n v="53850"/>
    <n v="187"/>
    <s v="053850_187"/>
    <s v="Discovery Day"/>
    <s v="Mai valutato"/>
    <m/>
    <s v="202504105771603L"/>
    <n v="1873300102696"/>
    <n v="20250410"/>
    <x v="0"/>
    <m/>
    <x v="3"/>
    <s v="A     - Avere"/>
    <n v="1472.57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431"/>
    <s v="90"/>
    <s v="Operazioni con paese controparte ad altissimo rischio"/>
    <d v="2025-04-10T00:00:00"/>
    <n v="53850"/>
    <n v="129"/>
    <s v="053850_129"/>
    <s v="Discovery Day"/>
    <s v="Mai valutato"/>
    <m/>
    <n v="202504097882321"/>
    <n v="1293300002811"/>
    <n v="20250409"/>
    <x v="0"/>
    <m/>
    <x v="0"/>
    <s v="A     - Avere"/>
    <n v="9872.2000000000007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406"/>
    <s v="90"/>
    <s v="Operazioni con paese controparte ad altissimo rischio"/>
    <d v="2025-04-10T00:00:00"/>
    <n v="53850"/>
    <n v="188"/>
    <s v="053850_188"/>
    <s v="Discovery Day"/>
    <s v="Mai valutato"/>
    <m/>
    <n v="202504097883326"/>
    <n v="1883300128273"/>
    <n v="20250409"/>
    <x v="0"/>
    <m/>
    <x v="1"/>
    <s v="D     - Dare"/>
    <n v="6199.96"/>
    <n v="0"/>
    <n v="4112266"/>
    <s v="BNCMRZ68E03L049J"/>
    <s v="BIANCHI MAURIZIO"/>
    <s v="600 - Famiglie consumatrici"/>
    <m/>
    <s v="086 - ITALIA"/>
    <n v="433"/>
    <m/>
    <m/>
    <m/>
    <m/>
    <m/>
    <m/>
    <m/>
    <n v="0"/>
    <n v="202504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404"/>
    <s v="90"/>
    <s v="Operazioni con paese controparte ad altissimo rischio"/>
    <d v="2025-04-10T00:00:00"/>
    <n v="53850"/>
    <n v="136"/>
    <s v="053850_136"/>
    <s v="Discovery Day"/>
    <s v="Mai valutato"/>
    <m/>
    <s v="202504095731887L"/>
    <n v="1363300003079"/>
    <n v="20250409"/>
    <x v="0"/>
    <m/>
    <x v="3"/>
    <s v="D     - Dare"/>
    <n v="3955.2"/>
    <n v="0"/>
    <n v="4796432"/>
    <n v="2404690741"/>
    <s v="CDM TRASPORTI SOCIETA' COOPERATIVA"/>
    <s v="430 - Imprese produttive"/>
    <s v="494 - TRASPORTO DI MERCI SU STRADA E SERVIZI DI TRASLOCO"/>
    <s v="086 - ITALIA"/>
    <n v="881"/>
    <m/>
    <m/>
    <m/>
    <m/>
    <m/>
    <m/>
    <m/>
    <n v="0"/>
    <n v="202504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29397"/>
    <s v="90"/>
    <s v="Operazioni con paese controparte ad altissimo rischio"/>
    <d v="2025-04-10T00:00:00"/>
    <n v="53850"/>
    <n v="104"/>
    <s v="053850_104"/>
    <s v="Discovery Day"/>
    <s v="Mai valutato"/>
    <m/>
    <s v="202504085725000L"/>
    <n v="1043309506207"/>
    <n v="20250408"/>
    <x v="0"/>
    <m/>
    <x v="3"/>
    <s v="D     - Dare"/>
    <n v="1058"/>
    <n v="0"/>
    <n v="420391"/>
    <s v="CSMCLD59H17C983P"/>
    <s v="CUSMAI CATALDO"/>
    <s v="615 - Altre famiglie produttrici"/>
    <s v="259 - FABBRICAZIONE DI ALTRI PRODOTTI IN METALLO"/>
    <s v="086 - ITALIA"/>
    <n v="1902"/>
    <m/>
    <m/>
    <m/>
    <m/>
    <m/>
    <m/>
    <m/>
    <n v="0"/>
    <n v="202504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96"/>
    <s v="90"/>
    <s v="Operazioni con paese controparte ad altissimo rischio"/>
    <d v="2025-04-10T00:00:00"/>
    <n v="53850"/>
    <n v="104"/>
    <s v="053850_104"/>
    <s v="Discovery Day"/>
    <s v="Mai valutato"/>
    <m/>
    <s v="202504085724999L"/>
    <n v="1043309506207"/>
    <n v="20250408"/>
    <x v="0"/>
    <m/>
    <x v="3"/>
    <s v="D     - Dare"/>
    <n v="1244"/>
    <n v="0"/>
    <n v="420391"/>
    <s v="CSMCLD59H17C983P"/>
    <s v="CUSMAI CATALDO"/>
    <s v="615 - Altre famiglie produttrici"/>
    <s v="259 - FABBRICAZIONE DI ALTRI PRODOTTI IN METALLO"/>
    <s v="086 - ITALIA"/>
    <n v="1902"/>
    <m/>
    <m/>
    <m/>
    <m/>
    <m/>
    <m/>
    <m/>
    <n v="0"/>
    <n v="202504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89"/>
    <s v="90"/>
    <s v="Operazioni con paese controparte ad altissimo rischio"/>
    <d v="2025-04-09T00:00:00"/>
    <n v="53850"/>
    <n v="136"/>
    <s v="053850_136"/>
    <s v="Discovery Day"/>
    <s v="Mai valutato"/>
    <m/>
    <s v="202504085668709L"/>
    <n v="1363300010842"/>
    <n v="20250408"/>
    <x v="0"/>
    <m/>
    <x v="3"/>
    <s v="A     - Avere"/>
    <n v="1500"/>
    <n v="0"/>
    <n v="4855833"/>
    <n v="2486870740"/>
    <s v="PUNTO BUS SERVICE S.R.L."/>
    <s v="430 - Imprese produttive"/>
    <s v="493 - ALTRI TRASPORTI TERRESTRI DI PASSEGGERI"/>
    <s v="086 - ITALIA"/>
    <n v="1909"/>
    <m/>
    <m/>
    <m/>
    <m/>
    <m/>
    <m/>
    <m/>
    <n v="0"/>
    <n v="202504"/>
    <s v="IN VALUTAZIONE RPR"/>
    <x v="1"/>
    <n v="1"/>
    <m/>
    <m/>
    <n v="0"/>
    <n v="493"/>
    <n v="430"/>
    <n v="43049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83"/>
    <s v="90"/>
    <s v="Operazioni con paese controparte ad altissimo rischio"/>
    <d v="2025-04-09T00:00:00"/>
    <n v="53850"/>
    <n v="261"/>
    <s v="053850_261"/>
    <s v="Discovery Day"/>
    <s v="Mai valutato"/>
    <m/>
    <s v="202504085664989L"/>
    <n v="2613300001265"/>
    <n v="20250408"/>
    <x v="0"/>
    <m/>
    <x v="1"/>
    <s v="A     - Avere"/>
    <n v="1000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4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362"/>
    <s v="90"/>
    <s v="Operazioni con paese controparte ad altissimo rischio"/>
    <d v="2025-04-09T00:00:00"/>
    <n v="53850"/>
    <n v="178"/>
    <s v="053850_178"/>
    <s v="Discovery Day"/>
    <s v="Mai valutato"/>
    <m/>
    <s v="202504085669361L"/>
    <n v="1783301004302"/>
    <n v="20250408"/>
    <x v="0"/>
    <m/>
    <x v="4"/>
    <s v="D     - Dare"/>
    <n v="2399.98"/>
    <n v="0"/>
    <n v="4846279"/>
    <s v="DLADNC92E29A669L"/>
    <s v="DALO' DOMENICO"/>
    <s v="614 - Artigiani"/>
    <s v="152 - FABBRICAZIONE DI CALZATURE"/>
    <s v="086 - ITALIA"/>
    <n v="746"/>
    <m/>
    <m/>
    <m/>
    <m/>
    <m/>
    <m/>
    <m/>
    <n v="0"/>
    <n v="202504"/>
    <s v="ARCHIVIATA"/>
    <x v="0"/>
    <n v="1"/>
    <m/>
    <m/>
    <n v="0"/>
    <n v="999"/>
    <n v="614"/>
    <n v="614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29345"/>
    <s v="90"/>
    <s v="Operazioni con paese controparte ad altissimo rischio"/>
    <d v="2025-04-08T00:00:00"/>
    <n v="53850"/>
    <n v="268"/>
    <s v="053850_268"/>
    <s v="Discovery Day"/>
    <s v="Mai valutato"/>
    <m/>
    <n v="202504077875826"/>
    <n v="2681147800157"/>
    <n v="20250407"/>
    <x v="0"/>
    <m/>
    <x v="5"/>
    <s v="D     - Dare"/>
    <n v="292246.8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33"/>
    <s v="90"/>
    <s v="Operazioni con paese controparte ad altissimo rischio"/>
    <d v="2025-04-08T00:00:00"/>
    <n v="53850"/>
    <n v="149"/>
    <s v="053850_149"/>
    <s v="Discovery Day"/>
    <s v="Mai valutato"/>
    <m/>
    <n v="202504077874784"/>
    <n v="1493300663564"/>
    <n v="20250407"/>
    <x v="0"/>
    <m/>
    <x v="3"/>
    <s v="A     - Avere"/>
    <n v="5486"/>
    <n v="0"/>
    <n v="4851736"/>
    <n v="8243781211"/>
    <s v="VITTORIA CAPPELLI SOCIETA' A RESPONSABILITA' LIMITATA SEMPLIFICAT"/>
    <s v="430 - Imprese produttive"/>
    <s v="791 - ATTIVITÀ DELLE AGENZIE DI VIAGGIO E DEI TOUR OPERATOR"/>
    <s v="086 - ITALIA"/>
    <n v="12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29315"/>
    <s v="90"/>
    <s v="Operazioni con paese controparte ad altissimo rischio"/>
    <d v="2025-04-08T00:00:00"/>
    <n v="53850"/>
    <n v="268"/>
    <s v="053850_268"/>
    <s v="Discovery Day"/>
    <s v="Mai valutato"/>
    <m/>
    <n v="202504077875827"/>
    <n v="2681147800157"/>
    <n v="20250407"/>
    <x v="0"/>
    <m/>
    <x v="5"/>
    <s v="D     - Dare"/>
    <n v="292048.43"/>
    <n v="0"/>
    <n v="1606212"/>
    <n v="1495180794"/>
    <s v="INTERTONNO SRL"/>
    <s v="430 - Imprese produttive"/>
    <s v="102 - LAVORAZIONE E CONSERVAZIONE DI PESCE, CROSTACEI E MOLLUSCHI"/>
    <s v="086 - ITALIA"/>
    <n v="1627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29310"/>
    <s v="90"/>
    <s v="Operazioni con paese controparte ad altissimo rischio"/>
    <d v="2025-04-08T00:00:00"/>
    <n v="53850"/>
    <n v="168"/>
    <s v="053850_168"/>
    <s v="Discovery Day"/>
    <s v="Mai valutato"/>
    <m/>
    <s v="202504045593742L"/>
    <n v="1683306277308"/>
    <n v="20250404"/>
    <x v="0"/>
    <m/>
    <x v="3"/>
    <s v="D     - Dare"/>
    <n v="4500"/>
    <n v="0"/>
    <n v="4950606"/>
    <n v="7856760728"/>
    <s v="TRANSPORT 68 SOCIETA' A RESPONSABILITA' LIMITATA"/>
    <s v="430 - Imprese produttive"/>
    <s v="494 - TRASPORTO DI MERCI SU STRADA E SERVIZI DI TRASLOCO"/>
    <s v="086 - ITALIA"/>
    <n v="192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294"/>
    <s v="90"/>
    <s v="Operazioni con paese controparte ad altissimo rischio"/>
    <d v="2025-04-05T00:00:00"/>
    <n v="53850"/>
    <n v="145"/>
    <s v="053850_145"/>
    <s v="Discovery Day"/>
    <s v="Mai valutato"/>
    <m/>
    <n v="202504047867699"/>
    <n v="1453300003997"/>
    <n v="20250404"/>
    <x v="0"/>
    <m/>
    <x v="3"/>
    <s v="A     - Avere"/>
    <n v="11000"/>
    <n v="0"/>
    <n v="3737833"/>
    <n v="10171711210"/>
    <s v="PUNTO BIBITE SRL"/>
    <s v="430 - Imprese produttive"/>
    <s v="463 - COMMERCIO ALL'INGROSSO DI PRODOTTI ALIMENTARI, BEVANDE E PRODOTTI DEL TABACCO"/>
    <s v="086 - ITALIA"/>
    <m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29285"/>
    <s v="90"/>
    <s v="Operazioni con paese controparte ad altissimo rischio"/>
    <d v="2025-04-05T00:00:00"/>
    <n v="53850"/>
    <n v="131"/>
    <s v="053850_131"/>
    <s v="Discovery Day"/>
    <s v="Mai valutato"/>
    <m/>
    <n v="202504047867631"/>
    <n v="1313300001588"/>
    <n v="20250404"/>
    <x v="0"/>
    <m/>
    <x v="0"/>
    <s v="A     - Avere"/>
    <n v="17730"/>
    <n v="0"/>
    <n v="4121868"/>
    <n v="5913290630"/>
    <s v="C.M.D. COSTRUZIONI MOTORI DIESEL S.P.A."/>
    <s v="430 - Imprese produttive"/>
    <s v="256 - TRATTAMENTO E RIVESTIMENTO DEI METALLI, LAVORI DI MECCANICA GENERALE"/>
    <s v="086 - ITALIA"/>
    <n v="739"/>
    <m/>
    <m/>
    <m/>
    <m/>
    <m/>
    <m/>
    <m/>
    <n v="0"/>
    <n v="202504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266"/>
    <s v="90"/>
    <s v="Operazioni con paese controparte ad altissimo rischio"/>
    <d v="2025-04-05T00:00:00"/>
    <n v="53850"/>
    <n v="192"/>
    <s v="053850_192"/>
    <s v="Discovery Day"/>
    <s v="Mai valutato"/>
    <m/>
    <n v="202504047867489"/>
    <n v="1923300185011"/>
    <n v="20250404"/>
    <x v="0"/>
    <m/>
    <x v="3"/>
    <s v="A     - Avere"/>
    <n v="5732"/>
    <n v="0"/>
    <n v="3710704"/>
    <s v="FSNMHL77R19H096V"/>
    <s v="FASANELLI MICHELE"/>
    <s v="615 - Altre famiglie produttrici"/>
    <s v="494 - TRASPORTO DI MERCI SU STRADA E SERVIZI DI TRASLOCO"/>
    <s v="086 - ITALIA"/>
    <n v="1907"/>
    <m/>
    <m/>
    <m/>
    <m/>
    <m/>
    <m/>
    <m/>
    <n v="0"/>
    <n v="202504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249"/>
    <s v="90"/>
    <s v="Operazioni con paese controparte ad altissimo rischio"/>
    <d v="2025-04-04T00:00:00"/>
    <n v="53850"/>
    <n v="199"/>
    <s v="053850_199"/>
    <s v="Discovery Day"/>
    <s v="Mai valutato"/>
    <m/>
    <s v="202504035518048L"/>
    <n v="1993300003021"/>
    <n v="20250403"/>
    <x v="0"/>
    <m/>
    <x v="3"/>
    <s v="D     - Dare"/>
    <n v="2000"/>
    <n v="0"/>
    <n v="4946318"/>
    <n v="2571200746"/>
    <s v="SARTY LTD"/>
    <s v="758 - Societa' non finanziarie dei paesi UE non membri dell'area dell'euro"/>
    <s v="141 - CONFEZIONE DI ARTICOLI DI ABBIGLIAMENTO (ESCLUSO ABBIGLIAMENTO IN PELLICCIA)"/>
    <s v="012 - BULGARIA"/>
    <n v="639"/>
    <m/>
    <m/>
    <m/>
    <m/>
    <m/>
    <m/>
    <m/>
    <n v="0"/>
    <n v="202504"/>
    <s v="ARCHIVIATA"/>
    <x v="0"/>
    <n v="1"/>
    <m/>
    <m/>
    <n v="0"/>
    <n v="999"/>
    <n v="758"/>
    <n v="758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246"/>
    <s v="90"/>
    <s v="Operazioni con paese controparte ad altissimo rischio"/>
    <d v="2025-04-04T00:00:00"/>
    <n v="53850"/>
    <n v="199"/>
    <s v="053850_199"/>
    <s v="Discovery Day"/>
    <s v="Mai valutato"/>
    <m/>
    <n v="202504037864274"/>
    <n v="1993300003021"/>
    <n v="20250403"/>
    <x v="0"/>
    <m/>
    <x v="3"/>
    <s v="D     - Dare"/>
    <n v="5000"/>
    <n v="0"/>
    <n v="4946318"/>
    <n v="2571200746"/>
    <s v="SARTY LTD"/>
    <s v="758 - Societa' non finanziarie dei paesi UE non membri dell'area dell'euro"/>
    <s v="141 - CONFEZIONE DI ARTICOLI DI ABBIGLIAMENTO (ESCLUSO ABBIGLIAMENTO IN PELLICCIA)"/>
    <s v="012 - BULGARIA"/>
    <n v="639"/>
    <m/>
    <m/>
    <m/>
    <m/>
    <m/>
    <m/>
    <m/>
    <n v="0"/>
    <n v="202504"/>
    <s v="ARCHIVIATA"/>
    <x v="0"/>
    <n v="1"/>
    <m/>
    <m/>
    <n v="0"/>
    <n v="999"/>
    <n v="758"/>
    <n v="758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243"/>
    <s v="90"/>
    <s v="Operazioni con paese controparte ad altissimo rischio"/>
    <d v="2025-04-04T00:00:00"/>
    <n v="53850"/>
    <n v="154"/>
    <s v="053850_154"/>
    <s v="Discovery Day"/>
    <s v="Mai valutato"/>
    <m/>
    <n v="202504037865364"/>
    <n v="1543300004605"/>
    <n v="20250403"/>
    <x v="0"/>
    <m/>
    <x v="6"/>
    <s v="A     - Avere"/>
    <n v="19999"/>
    <n v="0"/>
    <n v="4973543"/>
    <s v="RMNRCC81E18Z347K"/>
    <s v="ROMANO ROCCO"/>
    <s v="615 - Altre famiglie produttrici"/>
    <s v="661 - ATTIVITÀ AUSILIARIE DEI SERVIZI FINANZIARI (ESCLUSE LE ASSICURAZIONI E I FONDI PENSIONE)"/>
    <s v="086 - ITALIA"/>
    <n v="741"/>
    <m/>
    <m/>
    <m/>
    <m/>
    <m/>
    <m/>
    <m/>
    <n v="0"/>
    <n v="202504"/>
    <s v="ARCHIVIATA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29221"/>
    <s v="90"/>
    <s v="Operazioni con paese controparte ad altissimo rischio"/>
    <d v="2025-04-03T00:00:00"/>
    <n v="53850"/>
    <n v="145"/>
    <s v="053850_145"/>
    <s v="Discovery Day"/>
    <s v="Mai valutato"/>
    <m/>
    <n v="202504027861354"/>
    <n v="1453300003997"/>
    <n v="20250402"/>
    <x v="0"/>
    <m/>
    <x v="3"/>
    <s v="A     - Avere"/>
    <n v="36025.9"/>
    <n v="0"/>
    <n v="3737833"/>
    <n v="10171711210"/>
    <s v="PUNTO BIBITE SRL"/>
    <s v="430 - Imprese produttive"/>
    <s v="463 - COMMERCIO ALL'INGROSSO DI PRODOTTI ALIMENTARI, BEVANDE E PRODOTTI DEL TABACCO"/>
    <s v="086 - ITALIA"/>
    <m/>
    <m/>
    <m/>
    <m/>
    <m/>
    <m/>
    <m/>
    <m/>
    <n v="0"/>
    <n v="202504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29212"/>
    <s v="90"/>
    <s v="Operazioni con paese controparte ad altissimo rischio"/>
    <d v="2025-04-03T00:00:00"/>
    <n v="53850"/>
    <n v="149"/>
    <s v="053850_149"/>
    <s v="Discovery Day"/>
    <s v="Mai valutato"/>
    <m/>
    <n v="202504027861454"/>
    <n v="1493300663564"/>
    <n v="20250402"/>
    <x v="0"/>
    <m/>
    <x v="3"/>
    <s v="A     - Avere"/>
    <n v="6024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211"/>
    <s v="90"/>
    <s v="Operazioni con paese controparte ad altissimo rischio"/>
    <d v="2025-04-03T00:00:00"/>
    <n v="53850"/>
    <n v="103"/>
    <s v="053850_103"/>
    <s v="Discovery Day"/>
    <s v="Mai valutato"/>
    <m/>
    <s v="202504025458099L"/>
    <n v="1033305050740"/>
    <n v="20250402"/>
    <x v="0"/>
    <m/>
    <x v="0"/>
    <s v="D     - Dare"/>
    <n v="2050"/>
    <n v="0"/>
    <n v="505074"/>
    <n v="4293180727"/>
    <s v="CENTRO RADIOLOGICO PUGLIESE S.R.L."/>
    <s v="430 - Imprese produttive"/>
    <s v="869 - ALTRI SERVIZI DI ASSISTENZA SANITARIA"/>
    <s v="086 - ITALIA"/>
    <n v="1274"/>
    <m/>
    <m/>
    <m/>
    <m/>
    <m/>
    <m/>
    <m/>
    <n v="0"/>
    <n v="202504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29192"/>
    <s v="90"/>
    <s v="Operazioni con paese controparte ad altissimo rischio"/>
    <d v="2025-04-02T00:00:00"/>
    <n v="53850"/>
    <n v="174"/>
    <s v="053850_174"/>
    <s v="Discovery Day"/>
    <s v="Mai valutato"/>
    <m/>
    <s v="202504015377338L"/>
    <n v="1743302877913"/>
    <n v="20250401"/>
    <x v="0"/>
    <m/>
    <x v="0"/>
    <s v="A     - Avere"/>
    <n v="4193.1000000000004"/>
    <n v="0"/>
    <n v="4180010"/>
    <n v="5953650727"/>
    <s v="BARRACUDA S.A.S. DI DIROMA LEONARDO &amp; C."/>
    <s v="492 - Quasi societa' non finanziarie altre - Unita' o societa' con meno di 20 addetti"/>
    <s v="476 - COMMERCIO AL DETTAGLIO DI ARTICOLI CULTURALI E RICREATIVI IN ESERCIZI SPECIALIZZATI"/>
    <s v="086 - ITALIA"/>
    <n v="720"/>
    <m/>
    <m/>
    <m/>
    <m/>
    <m/>
    <m/>
    <m/>
    <n v="0"/>
    <n v="202504"/>
    <s v="IN CARICO AL GESTORE"/>
    <x v="1"/>
    <n v="1"/>
    <m/>
    <m/>
    <n v="0"/>
    <n v="999"/>
    <n v="492"/>
    <n v="49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29185"/>
    <s v="90"/>
    <s v="Operazioni con paese controparte ad altissimo rischio"/>
    <d v="2025-04-02T00:00:00"/>
    <n v="53850"/>
    <n v="148"/>
    <s v="053850_148"/>
    <s v="Discovery Day"/>
    <s v="Mai valutato"/>
    <m/>
    <n v="202504017856696"/>
    <n v="1483300004073"/>
    <n v="20250401"/>
    <x v="0"/>
    <m/>
    <x v="0"/>
    <s v="D     - Dare"/>
    <n v="9000"/>
    <n v="0"/>
    <n v="4876039"/>
    <n v="1670580628"/>
    <s v="MUPU SOCIETA' A RESPONSABILITA' LIMITATASEMPLIFICATA"/>
    <s v="430 - Imprese produttive"/>
    <s v="960 - ALTRE ATTIVITÀ DI SERVIZI PER LA PERSONA"/>
    <s v="086 - ITALIA"/>
    <n v="1063"/>
    <m/>
    <m/>
    <m/>
    <m/>
    <m/>
    <m/>
    <m/>
    <n v="0"/>
    <n v="202504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29184"/>
    <s v="90"/>
    <s v="Operazioni con paese controparte ad altissimo rischio"/>
    <d v="2025-04-02T00:00:00"/>
    <n v="53850"/>
    <n v="128"/>
    <s v="053850_128"/>
    <s v="Discovery Day"/>
    <s v="Mai valutato"/>
    <m/>
    <n v="202504017858290"/>
    <n v="1283300002423"/>
    <n v="20250401"/>
    <x v="0"/>
    <m/>
    <x v="4"/>
    <s v="A     - Avere"/>
    <n v="15000"/>
    <n v="0"/>
    <n v="4582488"/>
    <s v="MRTMHL85H13F262D"/>
    <s v="MARTINO MICHELE"/>
    <s v="600 - Famiglie consumatrici"/>
    <m/>
    <s v="086 - ITALIA"/>
    <n v="726"/>
    <m/>
    <m/>
    <m/>
    <m/>
    <m/>
    <m/>
    <m/>
    <n v="0"/>
    <n v="202504"/>
    <s v="IN CARICO AL RESPONSABIL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29178"/>
    <s v="90"/>
    <s v="Operazioni con paese controparte ad altissimo rischio"/>
    <d v="2025-04-02T00:00:00"/>
    <n v="53850"/>
    <n v="148"/>
    <s v="053850_148"/>
    <s v="Discovery Day"/>
    <s v="Mai valutato"/>
    <m/>
    <n v="202504017858305"/>
    <n v="1483300003872"/>
    <n v="20250401"/>
    <x v="0"/>
    <m/>
    <x v="2"/>
    <s v="D     - Dare"/>
    <n v="5018.09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4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29172"/>
    <s v="90"/>
    <s v="Operazioni con paese controparte ad altissimo rischio"/>
    <d v="2025-04-02T00:00:00"/>
    <n v="53850"/>
    <n v="191"/>
    <s v="053850_191"/>
    <s v="Discovery Day"/>
    <s v="Mai valutato"/>
    <m/>
    <s v="202504015412296L"/>
    <n v="1913300068419"/>
    <n v="20250401"/>
    <x v="0"/>
    <m/>
    <x v="3"/>
    <s v="A     - Avere"/>
    <n v="1840"/>
    <n v="0"/>
    <n v="4961778"/>
    <n v="3279060739"/>
    <s v="SIET IMPIANTI SOCIETA' A RESPONSABILITA'LIMI"/>
    <s v="430 - Imprese produttive"/>
    <s v="432 - INSTALLAZIONE DI IMPIANTI ELETTRICI, IDRAULICI ED ALTRI LAVORI DI COSTRUZIONE E INSTALLAZIONE"/>
    <s v="086 - ITALIA"/>
    <n v="1915"/>
    <m/>
    <m/>
    <m/>
    <m/>
    <m/>
    <m/>
    <m/>
    <n v="0"/>
    <n v="202504"/>
    <s v="IN CARICO AL GESTORE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9170"/>
    <s v="90"/>
    <s v="Operazioni con paese controparte ad altissimo rischio"/>
    <d v="2025-04-02T00:00:00"/>
    <n v="53850"/>
    <n v="128"/>
    <s v="053850_128"/>
    <s v="Discovery Day"/>
    <s v="Mai valutato"/>
    <m/>
    <n v="202504017858290"/>
    <n v="1283300002423"/>
    <n v="20250401"/>
    <x v="0"/>
    <m/>
    <x v="4"/>
    <s v="A     - Avere"/>
    <n v="15000"/>
    <n v="0"/>
    <n v="4582492"/>
    <s v="MRTNCL52R05F262F"/>
    <s v="MARTINO NICOLA"/>
    <s v="600 - Famiglie consumatrici"/>
    <m/>
    <s v="086 - ITALIA"/>
    <n v="726"/>
    <m/>
    <m/>
    <m/>
    <m/>
    <m/>
    <m/>
    <m/>
    <n v="0"/>
    <n v="202504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60"/>
    <s v="90"/>
    <s v="Operazioni con paese controparte ad altissimo rischio"/>
    <d v="2025-06-04T00:00:00"/>
    <n v="53850"/>
    <n v="147"/>
    <s v="053850_147"/>
    <s v="Discovery Day"/>
    <s v="Mai valutato"/>
    <m/>
    <s v="202505307686251L"/>
    <n v="1473300005217"/>
    <n v="20250530"/>
    <x v="0"/>
    <m/>
    <x v="3"/>
    <s v="D     - Dare"/>
    <n v="1000"/>
    <n v="0"/>
    <n v="3724704"/>
    <n v="4306130610"/>
    <s v="SABATINO SRL"/>
    <s v="430 - Imprese produttive"/>
    <s v="494 - TRASPORTO DI MERCI SU STRADA E SERVIZI DI TRASLOCO"/>
    <s v="086 - ITALIA"/>
    <n v="1196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59"/>
    <s v="90"/>
    <s v="Operazioni con paese controparte ad altissimo rischio"/>
    <d v="2025-06-04T00:00:00"/>
    <n v="53850"/>
    <n v="168"/>
    <s v="053850_168"/>
    <s v="Discovery Day"/>
    <s v="Mai valutato"/>
    <m/>
    <s v="202505307685713L"/>
    <n v="1683306277308"/>
    <n v="20250530"/>
    <x v="0"/>
    <m/>
    <x v="3"/>
    <s v="D     - Dare"/>
    <n v="2100"/>
    <n v="0"/>
    <n v="4950606"/>
    <n v="7856760728"/>
    <s v="TRANSPORT 68 SOCIETA' A RESPONSABILITA' LIMI"/>
    <s v="430 - Imprese produttive"/>
    <s v="494 - TRASPORTO DI MERCI SU STRADA E SERVIZI DI TRASLOCO"/>
    <s v="086 - ITALIA"/>
    <n v="192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550"/>
    <s v="90"/>
    <s v="Operazioni con paese controparte ad altissimo rischio"/>
    <d v="2025-05-31T00:00:00"/>
    <n v="53850"/>
    <n v="171"/>
    <s v="053850_171"/>
    <s v="Discovery Day"/>
    <s v="Mai valutato"/>
    <m/>
    <n v="202505308024312"/>
    <n v="1713302213842"/>
    <n v="20250530"/>
    <x v="0"/>
    <m/>
    <x v="3"/>
    <s v="D     - Dare"/>
    <n v="13206"/>
    <n v="0"/>
    <n v="4148505"/>
    <n v="5848860721"/>
    <s v="FORMAT DISTRIBUZIONE SOCIETA' A RESPONSABILI"/>
    <s v="430 - Imprese produttive"/>
    <s v="469 - COMMERCIO ALL'INGROSSO NON SPECIALIZZATO"/>
    <s v="086 - ITALIA"/>
    <n v="1903"/>
    <m/>
    <m/>
    <m/>
    <m/>
    <m/>
    <m/>
    <m/>
    <n v="0"/>
    <n v="202505"/>
    <s v="IN CARICO AL RESPONSABILE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537"/>
    <s v="90"/>
    <s v="Operazioni con paese controparte ad altissimo rischio"/>
    <d v="2025-05-31T00:00:00"/>
    <n v="53850"/>
    <n v="118"/>
    <s v="053850_118"/>
    <s v="Discovery Day"/>
    <s v="Mai valutato"/>
    <m/>
    <s v="202505307656586L"/>
    <n v="1183306279524"/>
    <n v="20250530"/>
    <x v="0"/>
    <m/>
    <x v="4"/>
    <s v="A     - Avere"/>
    <n v="1650"/>
    <n v="0"/>
    <n v="4908948"/>
    <n v="8176650722"/>
    <s v="AUT LIVELL SOCIETA' A RESPONSABILITA' LIMITATA"/>
    <s v="430 - Imprese produttive"/>
    <s v="433 - COMPLETAMENTO E FINITURA DI EDIFICI"/>
    <s v="086 - ITALIA"/>
    <n v="1649"/>
    <m/>
    <m/>
    <m/>
    <m/>
    <m/>
    <m/>
    <m/>
    <n v="0"/>
    <n v="202505"/>
    <m/>
    <x v="1"/>
    <n v="1"/>
    <m/>
    <m/>
    <n v="0"/>
    <n v="433"/>
    <n v="430"/>
    <n v="43043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512"/>
    <s v="90"/>
    <s v="Operazioni con paese controparte ad altissimo rischio"/>
    <d v="2025-05-31T00:00:00"/>
    <n v="53850"/>
    <n v="274"/>
    <s v="053850_274"/>
    <s v="Discovery Day"/>
    <s v="Mai valutato"/>
    <m/>
    <s v="202505307646304L"/>
    <n v="2743300000272"/>
    <n v="20250530"/>
    <x v="0"/>
    <m/>
    <x v="3"/>
    <s v="A     - Avere"/>
    <n v="1630.18"/>
    <n v="0"/>
    <n v="1622875"/>
    <n v="1689300695"/>
    <s v="MANIFATTURE MONACO DOMENICO S.R.L."/>
    <s v="430 - Imprese produttive"/>
    <s v="222 - FABBRICAZIONE DI ARTICOLI IN MATERIE PLASTICHE"/>
    <s v="086 - ITALIA"/>
    <n v="1413"/>
    <m/>
    <m/>
    <m/>
    <m/>
    <m/>
    <m/>
    <m/>
    <n v="0"/>
    <n v="202505"/>
    <m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91"/>
    <s v="90"/>
    <s v="Operazioni con paese controparte ad altissimo rischio"/>
    <d v="2025-05-30T00:00:00"/>
    <n v="53850"/>
    <n v="271"/>
    <s v="053850_271"/>
    <s v="Discovery Day"/>
    <s v="Mai valutato"/>
    <m/>
    <n v="202505298022166"/>
    <n v="2713300010112"/>
    <n v="20250529"/>
    <x v="0"/>
    <m/>
    <x v="4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5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485"/>
    <s v="90"/>
    <s v="Operazioni con paese controparte ad altissimo rischio"/>
    <d v="2025-05-30T00:00:00"/>
    <n v="53850"/>
    <n v="267"/>
    <s v="053850_267"/>
    <s v="Discovery Day"/>
    <s v="Mai valutato"/>
    <m/>
    <n v="202505298021783"/>
    <n v="2673300003629"/>
    <n v="20250529"/>
    <x v="0"/>
    <m/>
    <x v="3"/>
    <s v="A     - Avere"/>
    <n v="9000"/>
    <n v="0"/>
    <n v="1702554"/>
    <s v="PPULCN79E29F537D"/>
    <s v="PUPO LUCIANO"/>
    <s v="614 - Artigiani"/>
    <s v="161 - TAGLIO E PIALLATURA DEL LEGNO"/>
    <s v="086 - ITALIA"/>
    <n v="1878"/>
    <m/>
    <m/>
    <m/>
    <m/>
    <m/>
    <m/>
    <m/>
    <n v="0"/>
    <n v="202505"/>
    <s v="IN VALUTAZIONE RPR"/>
    <x v="1"/>
    <n v="1"/>
    <m/>
    <m/>
    <n v="0"/>
    <n v="999"/>
    <n v="614"/>
    <n v="614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471"/>
    <s v="90"/>
    <s v="Operazioni con paese controparte ad altissimo rischio"/>
    <d v="2025-05-30T00:00:00"/>
    <n v="53850"/>
    <n v="104"/>
    <s v="053850_104"/>
    <s v="Discovery Day"/>
    <s v="Mai valutato"/>
    <m/>
    <s v="202505297583357L"/>
    <n v="1043309506207"/>
    <n v="20250529"/>
    <x v="0"/>
    <m/>
    <x v="3"/>
    <s v="D     - Dare"/>
    <n v="2500"/>
    <n v="0"/>
    <n v="420391"/>
    <s v="CSMCLD59H17C983P"/>
    <s v="CUSMAI CATALDO"/>
    <s v="615 - Altre famiglie produttrici"/>
    <s v="259 - FABBRICAZIONE DI ALTRI PRODOTTI IN METALLO"/>
    <s v="086 - ITALIA"/>
    <n v="1902"/>
    <m/>
    <m/>
    <m/>
    <m/>
    <m/>
    <m/>
    <m/>
    <n v="0"/>
    <n v="202505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470"/>
    <s v="90"/>
    <s v="Operazioni con paese controparte ad altissimo rischio"/>
    <d v="2025-05-30T00:00:00"/>
    <n v="53850"/>
    <n v="261"/>
    <s v="053850_261"/>
    <s v="Discovery Day"/>
    <s v="Mai valutato"/>
    <m/>
    <s v="202505297587181L"/>
    <n v="2613300010222"/>
    <n v="20250529"/>
    <x v="0"/>
    <m/>
    <x v="4"/>
    <s v="A     - Avere"/>
    <n v="1760"/>
    <n v="0"/>
    <n v="4994040"/>
    <n v="997390943"/>
    <s v="NEARTH TARTUFI S.R.L."/>
    <s v="430 - Imprese produttive"/>
    <s v="103 - LAVORAZIONE E CONSERVAZIONE DI FRUTTA E ORTAGGI"/>
    <s v="086 - ITALIA"/>
    <n v="1782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67"/>
    <s v="90"/>
    <s v="Operazioni con paese controparte ad altissimo rischio"/>
    <d v="2025-05-30T00:00:00"/>
    <n v="53850"/>
    <n v="121"/>
    <s v="053850_121"/>
    <s v="Discovery Day"/>
    <s v="Mai valutato"/>
    <m/>
    <s v="202505297585019L"/>
    <n v="1213300010474"/>
    <n v="20250529"/>
    <x v="0"/>
    <m/>
    <x v="1"/>
    <s v="A     - Avere"/>
    <n v="3056.06"/>
    <n v="0"/>
    <n v="4797139"/>
    <s v="BLLLSN78R14A662Q"/>
    <s v="BELLANTUONO ALESSANDRO"/>
    <s v="600 - Famiglie consumatrici"/>
    <m/>
    <s v="086 - ITALIA"/>
    <n v="96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466"/>
    <s v="90"/>
    <s v="Operazioni con paese controparte ad altissimo rischio"/>
    <d v="2025-05-30T00:00:00"/>
    <n v="53850"/>
    <n v="173"/>
    <s v="053850_173"/>
    <s v="Discovery Day"/>
    <s v="Mai valutato"/>
    <m/>
    <s v="202505297586364L"/>
    <n v="1733302705346"/>
    <n v="20250529"/>
    <x v="0"/>
    <m/>
    <x v="0"/>
    <s v="A     - Avere"/>
    <n v="1690"/>
    <n v="0"/>
    <n v="4669709"/>
    <n v="7222880721"/>
    <s v="M2 EVOLUTION CAR S.R.L."/>
    <s v="430 - Imprese produttive"/>
    <s v="466 - COMMERCIO ALL'INGROSSO DI ALTRI MACCHINARI, ATTREZZATURE E FORNITURE"/>
    <s v="086 - ITALIA"/>
    <n v="1530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58"/>
    <s v="90"/>
    <s v="Operazioni con paese controparte ad altissimo rischio"/>
    <d v="2025-05-30T00:00:00"/>
    <n v="53850"/>
    <n v="129"/>
    <s v="053850_129"/>
    <s v="Discovery Day"/>
    <s v="Mai valutato"/>
    <m/>
    <n v="202505298021998"/>
    <n v="1293300002811"/>
    <n v="20250529"/>
    <x v="0"/>
    <m/>
    <x v="0"/>
    <s v="A     - Avere"/>
    <n v="15638.64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50"/>
    <s v="90"/>
    <s v="Operazioni con paese controparte ad altissimo rischio"/>
    <d v="2025-05-29T00:00:00"/>
    <n v="53850"/>
    <n v="149"/>
    <s v="053850_149"/>
    <s v="Discovery Day"/>
    <s v="Mai valutato"/>
    <m/>
    <n v="202505288019224"/>
    <n v="1493300663564"/>
    <n v="20250528"/>
    <x v="0"/>
    <m/>
    <x v="3"/>
    <s v="A     - Avere"/>
    <n v="29966.5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443"/>
    <s v="90"/>
    <s v="Operazioni con paese controparte ad altissimo rischio"/>
    <d v="2025-05-29T00:00:00"/>
    <n v="53850"/>
    <n v="103"/>
    <s v="053850_103"/>
    <s v="Discovery Day"/>
    <s v="Mai valutato"/>
    <m/>
    <s v="202505287569197L"/>
    <n v="1033301641631"/>
    <n v="20250528"/>
    <x v="0"/>
    <m/>
    <x v="3"/>
    <s v="A     - Avere"/>
    <n v="1823.17"/>
    <n v="0"/>
    <n v="164163"/>
    <n v="3485840726"/>
    <s v="R.A.I. RICAMBI SRL"/>
    <s v="430 - Imprese produttive"/>
    <s v="453 - COMMERCIO DI PARTI E ACCESSORI DI AUTOVEICOLI"/>
    <s v="086 - ITALIA"/>
    <n v="1274"/>
    <m/>
    <m/>
    <m/>
    <m/>
    <m/>
    <m/>
    <m/>
    <n v="0"/>
    <n v="202505"/>
    <s v="IN VALUTAZIONE RPR"/>
    <x v="1"/>
    <n v="1"/>
    <m/>
    <m/>
    <n v="0"/>
    <n v="453"/>
    <n v="430"/>
    <n v="43045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419"/>
    <s v="90"/>
    <s v="Operazioni con paese controparte ad altissimo rischio"/>
    <d v="2025-05-29T00:00:00"/>
    <n v="53850"/>
    <n v="128"/>
    <s v="053850_128"/>
    <s v="Discovery Day"/>
    <s v="Mai valutato"/>
    <m/>
    <n v="202505288019284"/>
    <n v="1283300002423"/>
    <n v="20250528"/>
    <x v="0"/>
    <m/>
    <x v="4"/>
    <s v="A     - Avere"/>
    <n v="13128.9"/>
    <n v="0"/>
    <n v="4582492"/>
    <s v="MRTNCL52R05F262F"/>
    <s v="MARTINO NICOLA"/>
    <s v="600 - Famiglie consumatrici"/>
    <m/>
    <s v="086 - ITALIA"/>
    <n v="726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11"/>
    <s v="90"/>
    <s v="Operazioni con paese controparte ad altissimo rischio"/>
    <d v="2025-05-29T00:00:00"/>
    <n v="53850"/>
    <n v="128"/>
    <s v="053850_128"/>
    <s v="Discovery Day"/>
    <s v="Mai valutato"/>
    <m/>
    <n v="202505288019284"/>
    <n v="1283300002423"/>
    <n v="20250528"/>
    <x v="0"/>
    <m/>
    <x v="4"/>
    <s v="A     - Avere"/>
    <n v="13128.9"/>
    <n v="0"/>
    <n v="4582488"/>
    <s v="MRTMHL85H13F262D"/>
    <s v="MARTINO MICHELE"/>
    <s v="600 - Famiglie consumatrici"/>
    <m/>
    <s v="086 - ITALIA"/>
    <n v="726"/>
    <m/>
    <m/>
    <m/>
    <m/>
    <m/>
    <m/>
    <m/>
    <n v="0"/>
    <n v="202505"/>
    <s v="IN CARICO AL RESPONSABIL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400"/>
    <s v="90"/>
    <s v="Operazioni con paese controparte ad altissimo rischio"/>
    <d v="2025-05-28T00:00:00"/>
    <n v="53850"/>
    <n v="200"/>
    <s v="053850_200"/>
    <s v="Discovery Day"/>
    <s v="Mai valutato"/>
    <m/>
    <n v="202505278016245"/>
    <n v="2003300003730"/>
    <n v="20250527"/>
    <x v="0"/>
    <m/>
    <x v="4"/>
    <s v="D     - Dare"/>
    <n v="35000"/>
    <n v="0"/>
    <n v="3731305"/>
    <s v="GGLLCN65C30C632E"/>
    <s v="GAGLIARDI LUCIANO"/>
    <s v="600 - Famiglie consumatrici"/>
    <m/>
    <s v="086 - ITALIA"/>
    <n v="1837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8380"/>
    <s v="90"/>
    <s v="Operazioni con paese controparte ad altissimo rischio"/>
    <d v="2025-05-28T00:00:00"/>
    <n v="53850"/>
    <n v="137"/>
    <s v="053850_137"/>
    <s v="Discovery Day"/>
    <s v="Mai valutato"/>
    <m/>
    <n v="202505278017205"/>
    <n v="1373300005994"/>
    <n v="20250527"/>
    <x v="0"/>
    <m/>
    <x v="0"/>
    <s v="D     - Dare"/>
    <n v="46876.5"/>
    <n v="0"/>
    <n v="3734872"/>
    <n v="1896670708"/>
    <s v="MOLISE SUINI SRL"/>
    <s v="430 - Imprese produttive"/>
    <s v="014 - ALLEVAMENTO DI ANIMALI"/>
    <s v="086 - ITALIA"/>
    <n v="1867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349"/>
    <s v="90"/>
    <s v="Operazioni con paese controparte ad altissimo rischio"/>
    <d v="2025-05-27T00:00:00"/>
    <n v="53850"/>
    <n v="282"/>
    <s v="053850_282"/>
    <s v="Discovery Day"/>
    <s v="Mai valutato"/>
    <m/>
    <s v="202505267441634L"/>
    <n v="2823300001773"/>
    <n v="20250526"/>
    <x v="0"/>
    <m/>
    <x v="4"/>
    <s v="A     - Avere"/>
    <n v="3000"/>
    <n v="0"/>
    <n v="1669726"/>
    <s v="CPRDNL87M08E435Y"/>
    <s v="CAPORALE DANILO"/>
    <s v="600 - Famiglie consumatrici"/>
    <m/>
    <s v="086 - ITALIA"/>
    <n v="180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338"/>
    <s v="90"/>
    <s v="Operazioni con paese controparte ad altissimo rischio"/>
    <d v="2025-05-27T00:00:00"/>
    <n v="53850"/>
    <n v="282"/>
    <s v="053850_282"/>
    <s v="Discovery Day"/>
    <s v="Mai valutato"/>
    <m/>
    <s v="202505267441633L"/>
    <n v="2823300001773"/>
    <n v="20250526"/>
    <x v="0"/>
    <m/>
    <x v="4"/>
    <s v="A     - Avere"/>
    <n v="3000"/>
    <n v="0"/>
    <n v="1669726"/>
    <s v="CPRDNL87M08E435Y"/>
    <s v="CAPORALE DANILO"/>
    <s v="600 - Famiglie consumatrici"/>
    <m/>
    <s v="086 - ITALIA"/>
    <n v="1802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286"/>
    <s v="90"/>
    <s v="Operazioni con paese controparte ad altissimo rischio"/>
    <d v="2025-05-24T00:00:00"/>
    <n v="53850"/>
    <n v="109"/>
    <s v="053850_109"/>
    <s v="Discovery Day"/>
    <s v="Mai valutato"/>
    <m/>
    <s v="202505237391215L"/>
    <n v="1093306672844"/>
    <n v="20250523"/>
    <x v="0"/>
    <m/>
    <x v="3"/>
    <s v="D     - Dare"/>
    <n v="48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5"/>
    <s v="ARCHIVIATA"/>
    <x v="0"/>
    <n v="1"/>
    <n v="440311"/>
    <n v="1"/>
    <n v="0"/>
    <n v="451"/>
    <n v="430"/>
    <n v="430451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n v="348267"/>
    <s v="90"/>
    <s v="Operazioni con paese controparte ad altissimo rischio"/>
    <d v="2025-05-23T00:00:00"/>
    <n v="53850"/>
    <n v="173"/>
    <s v="053850_173"/>
    <s v="Discovery Day"/>
    <s v="Mai valutato"/>
    <m/>
    <s v="202505227343428L"/>
    <n v="1733302704312"/>
    <n v="20250522"/>
    <x v="0"/>
    <m/>
    <x v="3"/>
    <s v="A     - Avere"/>
    <n v="1641.6"/>
    <n v="0"/>
    <n v="4386378"/>
    <s v="NGLDNT52B02A055H"/>
    <s v="ANGIULI DONATO"/>
    <s v="614 - Artigiani"/>
    <s v="110 - INDUSTRIA DELLE BEVANDE"/>
    <s v="086 - ITALIA"/>
    <n v="1530"/>
    <m/>
    <m/>
    <m/>
    <m/>
    <m/>
    <m/>
    <m/>
    <n v="0"/>
    <n v="202505"/>
    <s v="ARCHIVIATA"/>
    <x v="0"/>
    <n v="1"/>
    <n v="4386378"/>
    <n v="1"/>
    <n v="0"/>
    <n v="999"/>
    <n v="614"/>
    <n v="614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62"/>
    <s v="90"/>
    <s v="Operazioni con paese controparte ad altissimo rischio"/>
    <d v="2025-05-23T00:00:00"/>
    <n v="53850"/>
    <n v="261"/>
    <s v="053850_261"/>
    <s v="Discovery Day"/>
    <s v="Mai valutato"/>
    <m/>
    <s v="202505227343997L"/>
    <n v="2613300001265"/>
    <n v="20250522"/>
    <x v="0"/>
    <m/>
    <x v="1"/>
    <s v="A     - Avere"/>
    <n v="1200.5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59"/>
    <s v="90"/>
    <s v="Operazioni con paese controparte ad altissimo rischio"/>
    <d v="2025-05-23T00:00:00"/>
    <n v="53850"/>
    <n v="189"/>
    <s v="053850_189"/>
    <s v="Discovery Day"/>
    <s v="Mai valutato"/>
    <m/>
    <n v="202505228001235"/>
    <n v="1893300039198"/>
    <n v="20250522"/>
    <x v="0"/>
    <m/>
    <x v="3"/>
    <s v="D     - Dare"/>
    <n v="52800"/>
    <n v="0"/>
    <n v="4946691"/>
    <n v="3168470734"/>
    <s v="I DUE MARI - SOCIETA' COOPERATIVA"/>
    <s v="430 - Imprese produttive"/>
    <s v="032 - ACQUACOLTURA"/>
    <s v="086 - ITALIA"/>
    <n v="1381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58"/>
    <s v="90"/>
    <s v="Operazioni con paese controparte ad altissimo rischio"/>
    <d v="2025-05-23T00:00:00"/>
    <n v="53850"/>
    <n v="116"/>
    <s v="053850_116"/>
    <s v="Discovery Day"/>
    <s v="Mai valutato"/>
    <m/>
    <s v="202505227344075L"/>
    <n v="1423300308490"/>
    <n v="20250522"/>
    <x v="0"/>
    <m/>
    <x v="3"/>
    <s v="A     - Avere"/>
    <n v="1865"/>
    <n v="0"/>
    <n v="4793312"/>
    <n v="2314700747"/>
    <s v="HOLLY TOUR S.R.L."/>
    <s v="430 - Imprese produttive"/>
    <s v="791 - ATTIVITÀ DELLE AGENZIE DI VIAGGIO E DEI TOUR OPERATOR"/>
    <s v="086 - ITALIA"/>
    <n v="417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56"/>
    <s v="90"/>
    <s v="Operazioni con paese controparte ad altissimo rischio"/>
    <d v="2025-05-23T00:00:00"/>
    <n v="53850"/>
    <n v="187"/>
    <s v="053850_187"/>
    <s v="Discovery Day"/>
    <s v="Mai valutato"/>
    <m/>
    <n v="202505228002422"/>
    <n v="1873300102696"/>
    <n v="20250522"/>
    <x v="0"/>
    <m/>
    <x v="3"/>
    <s v="A     - Avere"/>
    <n v="5028.63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5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252"/>
    <s v="90"/>
    <s v="Operazioni con paese controparte ad altissimo rischio"/>
    <d v="2025-05-23T00:00:00"/>
    <n v="53850"/>
    <n v="129"/>
    <s v="053850_129"/>
    <s v="Discovery Day"/>
    <s v="Mai valutato"/>
    <m/>
    <s v="202505227343980L"/>
    <n v="1293300002811"/>
    <n v="20250522"/>
    <x v="0"/>
    <m/>
    <x v="0"/>
    <s v="A     - Avere"/>
    <n v="3000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247"/>
    <s v="90"/>
    <s v="Operazioni con paese controparte ad altissimo rischio"/>
    <d v="2025-05-23T00:00:00"/>
    <n v="53850"/>
    <n v="266"/>
    <s v="053850_266"/>
    <s v="Discovery Day"/>
    <s v="Mai valutato"/>
    <m/>
    <n v="202505228002722"/>
    <n v="2663300000387"/>
    <n v="20250522"/>
    <x v="0"/>
    <m/>
    <x v="3"/>
    <s v="A     - Avere"/>
    <n v="8000"/>
    <n v="0"/>
    <n v="1633798"/>
    <s v="RMOFNC71T10G722S"/>
    <s v="ROMEO FRANCESCO"/>
    <s v="600 - Famiglie consumatrici"/>
    <m/>
    <s v="086 - ITALIA"/>
    <n v="1799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242"/>
    <s v="90"/>
    <s v="Operazioni con paese controparte ad altissimo rischio"/>
    <d v="2025-05-23T00:00:00"/>
    <n v="53850"/>
    <n v="105"/>
    <s v="053850_105"/>
    <s v="Discovery Day"/>
    <s v="Mai valutato"/>
    <m/>
    <s v="202505227344015L"/>
    <n v="1053306295089"/>
    <n v="20250522"/>
    <x v="0"/>
    <m/>
    <x v="3"/>
    <s v="A     - Avere"/>
    <n v="1845.33"/>
    <n v="0"/>
    <n v="3716148"/>
    <n v="6264740728"/>
    <s v="ZEROTF S.R.L."/>
    <s v="430 - Imprese produttive"/>
    <s v="467 - COMMERCIO ALL'INGROSSO SPECIALIZZATO DI ALTRI PRODOTTI"/>
    <s v="086 - ITALIA"/>
    <n v="462"/>
    <m/>
    <m/>
    <m/>
    <m/>
    <m/>
    <m/>
    <m/>
    <n v="0"/>
    <n v="202505"/>
    <s v="IN CARICO AL GESTORE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38"/>
    <s v="90"/>
    <s v="Operazioni con paese controparte ad altissimo rischio"/>
    <d v="2025-05-23T00:00:00"/>
    <n v="53850"/>
    <n v="261"/>
    <s v="053850_261"/>
    <s v="Discovery Day"/>
    <s v="Mai valutato"/>
    <m/>
    <s v="202505227342260L"/>
    <n v="2613300010205"/>
    <n v="20250522"/>
    <x v="0"/>
    <m/>
    <x v="3"/>
    <s v="D     - Dare"/>
    <n v="1000"/>
    <n v="0"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5"/>
    <s v="ARCHIVIATA"/>
    <x v="0"/>
    <n v="1"/>
    <n v="4991786"/>
    <n v="1"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32"/>
    <s v="90"/>
    <s v="Operazioni con paese controparte ad altissimo rischio"/>
    <d v="2025-05-23T00:00:00"/>
    <n v="53850"/>
    <n v="261"/>
    <s v="053850_261"/>
    <s v="Discovery Day"/>
    <s v="Mai valutato"/>
    <m/>
    <s v="202505217341646L"/>
    <n v="2613300010205"/>
    <n v="20250521"/>
    <x v="0"/>
    <m/>
    <x v="3"/>
    <s v="D     - Dare"/>
    <n v="1000"/>
    <n v="0"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5"/>
    <s v="ARCHIVIATA"/>
    <x v="0"/>
    <n v="1"/>
    <n v="4991786"/>
    <n v="1"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12"/>
    <s v="90"/>
    <s v="Operazioni con paese controparte ad altissimo rischio"/>
    <d v="2025-05-22T00:00:00"/>
    <n v="53850"/>
    <n v="103"/>
    <s v="053850_103"/>
    <s v="Discovery Day"/>
    <s v="Mai valutato"/>
    <m/>
    <s v="202505217313268L"/>
    <n v="1033301641631"/>
    <n v="20250521"/>
    <x v="0"/>
    <m/>
    <x v="3"/>
    <s v="A     - Avere"/>
    <n v="1312.85"/>
    <n v="0"/>
    <n v="164163"/>
    <n v="3485840726"/>
    <s v="R.A.I. RICAMBI SRL"/>
    <s v="430 - Imprese produttive"/>
    <s v="453 - COMMERCIO DI PARTI E ACCESSORI DI AUTOVEICOLI"/>
    <s v="086 - ITALIA"/>
    <n v="1274"/>
    <m/>
    <m/>
    <m/>
    <m/>
    <m/>
    <m/>
    <m/>
    <n v="0"/>
    <n v="202505"/>
    <s v="IN VALUTAZIONE RPR"/>
    <x v="1"/>
    <n v="1"/>
    <m/>
    <m/>
    <n v="0"/>
    <n v="453"/>
    <n v="430"/>
    <n v="43045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202"/>
    <s v="90"/>
    <s v="Operazioni con paese controparte ad altissimo rischio"/>
    <d v="2025-05-21T00:00:00"/>
    <n v="53850"/>
    <n v="102"/>
    <s v="053850_102"/>
    <s v="Discovery Day"/>
    <s v="Mai valutato"/>
    <m/>
    <n v="202505207997832"/>
    <n v="1023308716491"/>
    <n v="20250520"/>
    <x v="0"/>
    <m/>
    <x v="1"/>
    <s v="D     - Dare"/>
    <n v="45000"/>
    <n v="0"/>
    <n v="3970"/>
    <s v="CRNRRT78A19A225Y"/>
    <s v="CORNACCHIA ROBERTO"/>
    <s v="600 - Famiglie consumatrici"/>
    <m/>
    <s v="086 - ITALIA"/>
    <n v="1431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201"/>
    <s v="90"/>
    <s v="Operazioni con paese controparte ad altissimo rischio"/>
    <d v="2025-05-21T00:00:00"/>
    <n v="53850"/>
    <n v="268"/>
    <s v="053850_268"/>
    <s v="Discovery Day"/>
    <s v="Mai valutato"/>
    <m/>
    <s v="202505207242755L"/>
    <n v="2683300006808"/>
    <n v="20250520"/>
    <x v="0"/>
    <m/>
    <x v="5"/>
    <s v="A     - Avere"/>
    <n v="1351.76"/>
    <n v="0"/>
    <n v="1705772"/>
    <n v="3489800791"/>
    <s v="L'ARTIGIANO DELLA NDUJA S.R.L."/>
    <s v="430 - Imprese produttive"/>
    <s v="101 - LAVORAZIONE E CONSERVAZIONE DI CARNE E PRODUZIONE DI PRODOTTI A BASE DI CARNE"/>
    <s v="086 - ITALIA"/>
    <n v="1891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93"/>
    <s v="90"/>
    <s v="Operazioni con paese controparte ad altissimo rischio"/>
    <d v="2025-05-21T00:00:00"/>
    <n v="53850"/>
    <n v="226"/>
    <s v="053850_226"/>
    <s v="Discovery Day"/>
    <s v="Mai valutato"/>
    <m/>
    <n v="202505207996357"/>
    <n v="1163307619285"/>
    <n v="20250520"/>
    <x v="0"/>
    <m/>
    <x v="3"/>
    <s v="A     - Avere"/>
    <n v="6500"/>
    <n v="0"/>
    <n v="4709685"/>
    <n v="6911480728"/>
    <s v="BELLUCCI S.A.S DI TUFARELLI MARIA PATRIZIA &amp;"/>
    <s v="482 - Quasi societa' non finanziarie artigiane - Unita' o societa' con meno di 20 addetti"/>
    <s v="292 - FABBRICAZIONE DI CARROZZERIE PER AUTOVEICOLI, RIMORCHI E SEMIRIMORCHI"/>
    <s v="086 - ITALIA"/>
    <n v="1932"/>
    <m/>
    <m/>
    <m/>
    <m/>
    <m/>
    <m/>
    <m/>
    <n v="0"/>
    <n v="202505"/>
    <s v="IN CARICO AL RESPONSABILE"/>
    <x v="1"/>
    <n v="1"/>
    <m/>
    <m/>
    <n v="0"/>
    <n v="999"/>
    <n v="482"/>
    <n v="48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192"/>
    <s v="90"/>
    <s v="Operazioni con paese controparte ad altissimo rischio"/>
    <d v="2025-05-21T00:00:00"/>
    <n v="53850"/>
    <n v="149"/>
    <s v="053850_149"/>
    <s v="Discovery Day"/>
    <s v="Mai valutato"/>
    <m/>
    <n v="202505207996979"/>
    <n v="1493300664731"/>
    <n v="20250520"/>
    <x v="0"/>
    <m/>
    <x v="1"/>
    <s v="D     - Dare"/>
    <n v="28000"/>
    <n v="0"/>
    <n v="4993188"/>
    <n v="10155501215"/>
    <s v="LOGIKOMNIA S.R.L."/>
    <s v="430 - Imprese produttive"/>
    <s v="900 - ATTIVITÀ CREATIVE, ARTISTICHE E DI INTRATTENIMENTO"/>
    <s v="086 - ITALIA"/>
    <n v="1910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188"/>
    <s v="90"/>
    <s v="Operazioni con paese controparte ad altissimo rischio"/>
    <d v="2025-05-21T00:00:00"/>
    <n v="53850"/>
    <n v="129"/>
    <s v="053850_129"/>
    <s v="Discovery Day"/>
    <s v="Mai valutato"/>
    <m/>
    <n v="202505207996930"/>
    <n v="1293300002811"/>
    <n v="20250520"/>
    <x v="0"/>
    <m/>
    <x v="0"/>
    <s v="A     - Avere"/>
    <n v="26002.57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185"/>
    <s v="90"/>
    <s v="Operazioni con paese controparte ad altissimo rischio"/>
    <d v="2025-05-21T00:00:00"/>
    <n v="53850"/>
    <n v="168"/>
    <s v="053850_168"/>
    <s v="Discovery Day"/>
    <s v="Mai valutato"/>
    <m/>
    <s v="202505207240311L"/>
    <n v="1683306274557"/>
    <n v="20250520"/>
    <x v="0"/>
    <m/>
    <x v="3"/>
    <s v="D     - Dare"/>
    <n v="3000"/>
    <n v="0"/>
    <n v="4091384"/>
    <n v="5530850725"/>
    <s v="CARONE GIACOMA S.R.L."/>
    <s v="430 - Imprese produttive"/>
    <s v="494 - TRASPORTO DI MERCI SU STRADA E SERVIZI DI TRASLOCO"/>
    <s v="086 - ITALIA"/>
    <n v="192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174"/>
    <s v="90"/>
    <s v="Operazioni con paese controparte ad altissimo rischio"/>
    <d v="2025-05-21T00:00:00"/>
    <n v="53850"/>
    <n v="114"/>
    <s v="053850_114"/>
    <s v="Discovery Day"/>
    <s v="Mai valutato"/>
    <m/>
    <s v="202505207237026L"/>
    <n v="1143300001238"/>
    <n v="20250520"/>
    <x v="0"/>
    <m/>
    <x v="3"/>
    <s v="A     - Avere"/>
    <n v="4000"/>
    <n v="0"/>
    <n v="4747564"/>
    <s v="BSSNTN69L21F104K"/>
    <s v="BASSO ANTONIO"/>
    <s v="600 - Famiglie consumatrici"/>
    <m/>
    <s v="086 - ITALIA"/>
    <n v="804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73"/>
    <s v="90"/>
    <s v="Operazioni con paese controparte ad altissimo rischio"/>
    <d v="2025-05-21T00:00:00"/>
    <n v="53850"/>
    <n v="171"/>
    <s v="053850_171"/>
    <s v="Discovery Day"/>
    <s v="Mai valutato"/>
    <m/>
    <s v="202505207242753L"/>
    <n v="1713302215492"/>
    <n v="20250520"/>
    <x v="0"/>
    <m/>
    <x v="4"/>
    <s v="A     - Avere"/>
    <n v="1370.82"/>
    <n v="0"/>
    <n v="4650898"/>
    <n v="7175960728"/>
    <s v="ENTERPRISE DIGITAL SOLUTIONS SRL"/>
    <s v="430 - Imprese produttive"/>
    <s v="332 - INSTALLAZIONE DI MACCHINE ED APPARECCHIATURE INDUSTRIALI"/>
    <s v="086 - ITALIA"/>
    <n v="1118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170"/>
    <s v="90"/>
    <s v="Operazioni con paese controparte ad altissimo rischio"/>
    <d v="2025-05-21T00:00:00"/>
    <n v="53850"/>
    <n v="147"/>
    <s v="053850_147"/>
    <s v="Discovery Day"/>
    <s v="Mai valutato"/>
    <m/>
    <n v="202505197995739"/>
    <n v="1473300005300"/>
    <n v="20250519"/>
    <x v="0"/>
    <m/>
    <x v="0"/>
    <s v="D     - Dare"/>
    <n v="9828"/>
    <n v="0"/>
    <n v="3735726"/>
    <n v="4803200619"/>
    <s v="PELMA SOCIETA' A RESPONSABILITA' LIMITATA SEMPLIFICATA"/>
    <s v="430 - Imprese produttive"/>
    <s v="467 - COMMERCIO ALL'INGROSSO SPECIALIZZATO DI ALTRI PRODOTTI"/>
    <s v="086 - ITALIA"/>
    <n v="1356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163"/>
    <s v="90"/>
    <s v="Operazioni con paese controparte ad altissimo rischio"/>
    <d v="2025-05-20T00:00:00"/>
    <n v="53850"/>
    <n v="168"/>
    <s v="053850_168"/>
    <s v="Discovery Day"/>
    <s v="Mai valutato"/>
    <m/>
    <s v="202505197175517L"/>
    <n v="1683306277308"/>
    <n v="20250519"/>
    <x v="0"/>
    <m/>
    <x v="3"/>
    <s v="D     - Dare"/>
    <n v="4300"/>
    <n v="0"/>
    <n v="4950606"/>
    <n v="7856760728"/>
    <s v="TRANSPORT 68 SOCIETA' A RESPONSABILITA' LIMI"/>
    <s v="430 - Imprese produttive"/>
    <s v="494 - TRASPORTO DI MERCI SU STRADA E SERVIZI DI TRASLOCO"/>
    <s v="086 - ITALIA"/>
    <n v="1926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55"/>
    <s v="90"/>
    <s v="Operazioni con paese controparte ad altissimo rischio"/>
    <d v="2025-05-20T00:00:00"/>
    <n v="53850"/>
    <n v="134"/>
    <s v="053850_134"/>
    <s v="Discovery Day"/>
    <s v="Mai valutato"/>
    <m/>
    <s v="202505197179782L"/>
    <n v="1303300000237"/>
    <n v="20250519"/>
    <x v="0"/>
    <m/>
    <x v="3"/>
    <s v="A     - Avere"/>
    <n v="4000"/>
    <n v="0"/>
    <n v="4005541"/>
    <s v="LMTPTR64P07A612G"/>
    <s v="LOMUTO PIETRO"/>
    <s v="600 - Famiglie consumatrici"/>
    <m/>
    <s v="086 - ITALIA"/>
    <n v="1659"/>
    <m/>
    <m/>
    <m/>
    <m/>
    <m/>
    <m/>
    <m/>
    <n v="0"/>
    <n v="202505"/>
    <s v="IN CARICO AL RESPONSABIL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152"/>
    <s v="90"/>
    <s v="Operazioni con paese controparte ad altissimo rischio"/>
    <d v="2025-05-20T00:00:00"/>
    <n v="53850"/>
    <n v="119"/>
    <s v="053850_119"/>
    <s v="Discovery Day"/>
    <s v="Mai valutato"/>
    <m/>
    <s v="202505197179785L"/>
    <n v="1193308875001"/>
    <n v="20250519"/>
    <x v="0"/>
    <m/>
    <x v="3"/>
    <s v="A     - Avere"/>
    <n v="2800"/>
    <n v="0"/>
    <n v="4926288"/>
    <s v="DLLLRT95P14A662V"/>
    <s v="DELLINO ALBERTO"/>
    <s v="615 - Altre famiglie produttrici"/>
    <s v="331 - RIPARAZIONE E MANUTENZIONE DI PRODOTTI IN METALLO, MACCHINE ED APPARECCHIATURE"/>
    <s v="086 - ITALIA"/>
    <n v="656"/>
    <m/>
    <m/>
    <m/>
    <m/>
    <m/>
    <m/>
    <m/>
    <n v="0"/>
    <n v="202505"/>
    <s v="ARCHIVIATA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48145"/>
    <s v="90"/>
    <s v="Operazioni con paese controparte ad altissimo rischio"/>
    <d v="2025-05-20T00:00:00"/>
    <n v="53850"/>
    <n v="261"/>
    <s v="053850_261"/>
    <s v="Discovery Day"/>
    <s v="Mai valutato"/>
    <m/>
    <s v="202505197178620L"/>
    <n v="2613300001265"/>
    <n v="20250519"/>
    <x v="0"/>
    <m/>
    <x v="1"/>
    <s v="A     - Avere"/>
    <n v="3500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135"/>
    <s v="90"/>
    <s v="Operazioni con paese controparte ad altissimo rischio"/>
    <d v="2025-05-20T00:00:00"/>
    <n v="53850"/>
    <n v="141"/>
    <s v="053850_141"/>
    <s v="Discovery Day"/>
    <s v="Mai valutato"/>
    <m/>
    <n v="202505197992873"/>
    <n v="1413300004310"/>
    <n v="20250519"/>
    <x v="0"/>
    <m/>
    <x v="1"/>
    <s v="A     - Avere"/>
    <n v="13200"/>
    <n v="0"/>
    <n v="3737453"/>
    <n v="4916910757"/>
    <s v="RSG PROPERTY MANAGEMENT SRLS"/>
    <s v="430 - Imprese produttive"/>
    <s v="551 - ALBERGHI E STRUTTURE SIMILI"/>
    <s v="086 - ITALIA"/>
    <m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48117"/>
    <s v="90"/>
    <s v="Operazioni con paese controparte ad altissimo rischio"/>
    <d v="2025-05-17T00:00:00"/>
    <n v="53850"/>
    <n v="105"/>
    <s v="053850_105"/>
    <s v="Discovery Day"/>
    <s v="Mai valutato"/>
    <m/>
    <n v="202505167985175"/>
    <n v="1053306286871"/>
    <n v="20250516"/>
    <x v="0"/>
    <m/>
    <x v="4"/>
    <s v="A     - Avere"/>
    <n v="5112"/>
    <n v="0"/>
    <n v="4269425"/>
    <n v="4938290725"/>
    <s v="SAN DOMENICO S.N.C. DI FILIPPO MANCINO &amp; C."/>
    <s v="482 - Quasi societa' non finanziarie artigiane - Unita' o societa' con meno di 20 addetti"/>
    <s v="104 - PRODUZIONE DI OLI E GRASSI VEGETALI E ANIMALI"/>
    <s v="086 - ITALIA"/>
    <n v="1947"/>
    <m/>
    <m/>
    <m/>
    <m/>
    <m/>
    <m/>
    <m/>
    <n v="0"/>
    <n v="202505"/>
    <s v="IN CARICO AL GESTORE"/>
    <x v="1"/>
    <n v="1"/>
    <m/>
    <m/>
    <n v="0"/>
    <n v="999"/>
    <n v="482"/>
    <n v="48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112"/>
    <s v="90"/>
    <s v="Operazioni con paese controparte ad altissimo rischio"/>
    <d v="2025-05-17T00:00:00"/>
    <n v="53850"/>
    <n v="103"/>
    <s v="053850_103"/>
    <s v="Discovery Day"/>
    <s v="Mai valutato"/>
    <m/>
    <n v="202505167985123"/>
    <n v="1033306976736"/>
    <n v="20250516"/>
    <x v="0"/>
    <m/>
    <x v="0"/>
    <s v="A     - Avere"/>
    <n v="18153.02"/>
    <n v="0"/>
    <n v="4127133"/>
    <n v="5762170727"/>
    <s v="FORM DESIGN S.R.L."/>
    <s v="430 - Imprese produttive"/>
    <s v="310 - FABBRICAZIONE DI MOBILI"/>
    <s v="086 - ITALIA"/>
    <n v="73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111"/>
    <s v="90"/>
    <s v="Operazioni con paese controparte ad altissimo rischio"/>
    <d v="2025-05-17T00:00:00"/>
    <n v="53850"/>
    <n v="103"/>
    <s v="053850_103"/>
    <s v="Discovery Day"/>
    <s v="Mai valutato"/>
    <m/>
    <n v="202505167984110"/>
    <n v="1033302886146"/>
    <n v="20250516"/>
    <x v="0"/>
    <m/>
    <x v="3"/>
    <s v="D     - Dare"/>
    <n v="7832.4"/>
    <n v="0"/>
    <n v="4503362"/>
    <n v="6800040724"/>
    <s v="AUTOTRASPORTI F.LLI LOMBARDI DI LOMBARDI VIN"/>
    <s v="482 - Quasi societa' non finanziarie artigiane - Unita' o societa' con meno di 20 addetti"/>
    <s v="494 - TRASPORTO DI MERCI SU STRADA E SERVIZI DI TRASLOCO"/>
    <s v="086 - ITALIA"/>
    <n v="1912"/>
    <m/>
    <m/>
    <m/>
    <m/>
    <m/>
    <m/>
    <m/>
    <n v="0"/>
    <n v="202505"/>
    <s v="IN VALUTAZIONE RPR"/>
    <x v="1"/>
    <n v="1"/>
    <m/>
    <m/>
    <n v="0"/>
    <n v="999"/>
    <n v="482"/>
    <n v="48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104"/>
    <s v="90"/>
    <s v="Operazioni con paese controparte ad altissimo rischio"/>
    <d v="2025-05-17T00:00:00"/>
    <n v="53850"/>
    <n v="178"/>
    <s v="053850_178"/>
    <s v="Discovery Day"/>
    <s v="Mai valutato"/>
    <m/>
    <n v="202505167985188"/>
    <n v="1783301004847"/>
    <n v="20250516"/>
    <x v="0"/>
    <m/>
    <x v="4"/>
    <s v="A     - Avere"/>
    <n v="5000"/>
    <n v="0"/>
    <n v="585288"/>
    <s v="SPRGLM56P01A669R"/>
    <s v="SPERA GIROLAMO"/>
    <s v="614 - Artigiani"/>
    <s v="452 - MANUTENZIONE E RIPARAZIONE DI AUTOVEICOLI"/>
    <s v="086 - ITALIA"/>
    <n v="685"/>
    <m/>
    <m/>
    <m/>
    <m/>
    <m/>
    <m/>
    <m/>
    <n v="0"/>
    <n v="202505"/>
    <s v="IN VALUTAZIONE RPR"/>
    <x v="1"/>
    <n v="1"/>
    <m/>
    <m/>
    <n v="0"/>
    <n v="999"/>
    <n v="614"/>
    <n v="614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093"/>
    <s v="90"/>
    <s v="Operazioni con paese controparte ad altissimo rischio"/>
    <d v="2025-05-17T00:00:00"/>
    <n v="53850"/>
    <n v="148"/>
    <s v="053850_148"/>
    <s v="Discovery Day"/>
    <s v="Mai valutato"/>
    <m/>
    <n v="202505167985199"/>
    <n v="1483300003872"/>
    <n v="20250516"/>
    <x v="0"/>
    <m/>
    <x v="2"/>
    <s v="D     - Dare"/>
    <n v="5033.28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48089"/>
    <s v="90"/>
    <s v="Operazioni con paese controparte ad altissimo rischio"/>
    <d v="2025-05-17T00:00:00"/>
    <n v="53850"/>
    <n v="118"/>
    <s v="053850_118"/>
    <s v="Discovery Day"/>
    <s v="Mai valutato"/>
    <m/>
    <n v="202505167983803"/>
    <n v="1183306279384"/>
    <n v="20250516"/>
    <x v="0"/>
    <m/>
    <x v="3"/>
    <s v="D     - Dare"/>
    <n v="9000"/>
    <n v="0"/>
    <n v="4896093"/>
    <n v="8070110724"/>
    <s v="ITALWOOD SOCIETA' A RESPONSABILITA' LIMITATA"/>
    <s v="430 - Imprese produttive"/>
    <s v="310 - FABBRICAZIONE DI MOBILI"/>
    <s v="086 - ITALIA"/>
    <n v="97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79"/>
    <s v="90"/>
    <s v="Operazioni con paese controparte ad altissimo rischio"/>
    <d v="2025-05-16T00:00:00"/>
    <n v="53850"/>
    <n v="102"/>
    <s v="053850_102"/>
    <s v="Discovery Day"/>
    <s v="Mai valutato"/>
    <m/>
    <s v="202505157069350L"/>
    <n v="1023308724471"/>
    <n v="20250515"/>
    <x v="0"/>
    <m/>
    <x v="4"/>
    <s v="A     - Avere"/>
    <n v="3000"/>
    <n v="0"/>
    <n v="4926972"/>
    <n v="8178330729"/>
    <s v="MPALQUADRATO SOCIETA' A RESPONSABILITA' LIMI"/>
    <s v="430 - Imprese produttive"/>
    <s v="477 - COMMERCIO AL DETTAGLIO DI ALTRI PRODOTTI IN ESERCIZI SPECIALIZZATI"/>
    <s v="086 - ITALIA"/>
    <n v="1443"/>
    <m/>
    <m/>
    <m/>
    <m/>
    <m/>
    <m/>
    <m/>
    <n v="0"/>
    <n v="202505"/>
    <s v="IN VALUTAZIONE RPR"/>
    <x v="1"/>
    <n v="1"/>
    <m/>
    <m/>
    <n v="0"/>
    <n v="477"/>
    <n v="430"/>
    <n v="430477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078"/>
    <s v="90"/>
    <s v="Operazioni con paese controparte ad altissimo rischio"/>
    <d v="2025-05-16T00:00:00"/>
    <n v="53850"/>
    <n v="198"/>
    <s v="053850_198"/>
    <s v="Discovery Day"/>
    <s v="Mai valutato"/>
    <m/>
    <s v="202505157058592L"/>
    <n v="1983309519925"/>
    <n v="20250515"/>
    <x v="0"/>
    <m/>
    <x v="6"/>
    <s v="A     - Avere"/>
    <n v="2477"/>
    <n v="0"/>
    <n v="4033412"/>
    <s v="MTTGUO63D10H501E"/>
    <s v="AMETTA UGO"/>
    <s v="615 - Altre famiglie produttrici"/>
    <s v="104 - PRODUZIONE DI OLI E GRASSI VEGETALI E ANIMALI"/>
    <s v="086 - ITALIA"/>
    <n v="1923"/>
    <m/>
    <m/>
    <m/>
    <m/>
    <m/>
    <m/>
    <m/>
    <n v="0"/>
    <n v="202505"/>
    <s v="ARCHIVIATA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071"/>
    <s v="90"/>
    <s v="Operazioni con paese controparte ad altissimo rischio"/>
    <d v="2025-05-16T00:00:00"/>
    <n v="53850"/>
    <n v="129"/>
    <s v="053850_129"/>
    <s v="Discovery Day"/>
    <s v="Mai valutato"/>
    <m/>
    <n v="202505157981969"/>
    <n v="1293300002811"/>
    <n v="20250515"/>
    <x v="0"/>
    <m/>
    <x v="0"/>
    <s v="A     - Avere"/>
    <n v="5644.91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062"/>
    <s v="90"/>
    <s v="Operazioni con paese controparte ad altissimo rischio"/>
    <d v="2025-05-16T00:00:00"/>
    <n v="53850"/>
    <n v="196"/>
    <s v="053850_196"/>
    <s v="Discovery Day"/>
    <s v="Mai valutato"/>
    <m/>
    <s v="202505157058591L"/>
    <n v="1963302354532"/>
    <n v="20250515"/>
    <x v="0"/>
    <m/>
    <x v="6"/>
    <s v="D     - Dare"/>
    <n v="1000"/>
    <n v="0"/>
    <n v="4962400"/>
    <s v="CTRGRL94T52C514B"/>
    <s v="CATERINA GABRIELLA"/>
    <s v="600 - Famiglie consumatrici"/>
    <m/>
    <s v="086 - ITALIA"/>
    <n v="796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50"/>
    <s v="90"/>
    <s v="Operazioni con paese controparte ad altissimo rischio"/>
    <d v="2025-05-16T00:00:00"/>
    <n v="53850"/>
    <n v="137"/>
    <s v="053850_137"/>
    <s v="Discovery Day"/>
    <s v="Mai valutato"/>
    <m/>
    <n v="202505157981080"/>
    <n v="1373300005994"/>
    <n v="20250515"/>
    <x v="0"/>
    <m/>
    <x v="0"/>
    <s v="D     - Dare"/>
    <n v="47483.7"/>
    <n v="0"/>
    <n v="3734872"/>
    <n v="1896670708"/>
    <s v="MOLISE SUINI SRL"/>
    <s v="430 - Imprese produttive"/>
    <s v="014 - ALLEVAMENTO DI ANIMALI"/>
    <s v="086 - ITALIA"/>
    <n v="1867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040"/>
    <s v="90"/>
    <s v="Operazioni con paese controparte ad altissimo rischio"/>
    <d v="2025-05-16T00:00:00"/>
    <n v="53850"/>
    <n v="187"/>
    <s v="053850_187"/>
    <s v="Discovery Day"/>
    <s v="Mai valutato"/>
    <m/>
    <s v="202505157056744L"/>
    <n v="1873300102696"/>
    <n v="20250515"/>
    <x v="0"/>
    <m/>
    <x v="3"/>
    <s v="A     - Avere"/>
    <n v="1574.15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5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33"/>
    <s v="90"/>
    <s v="Operazioni con paese controparte ad altissimo rischio"/>
    <d v="2025-05-15T00:00:00"/>
    <n v="53850"/>
    <n v="148"/>
    <s v="053850_148"/>
    <s v="Discovery Day"/>
    <s v="Mai valutato"/>
    <m/>
    <s v="202505147038544L"/>
    <n v="1483300003580"/>
    <n v="20250514"/>
    <x v="0"/>
    <m/>
    <x v="0"/>
    <s v="A     - Avere"/>
    <n v="1500"/>
    <n v="0"/>
    <n v="4771374"/>
    <s v="KRZJSP84S29Z149E"/>
    <s v="KRIZANIC JOSIP"/>
    <s v="600 - Famiglie consumatrici"/>
    <m/>
    <s v="086 - ITALIA"/>
    <n v="1064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10"/>
    <s v="90"/>
    <s v="Operazioni con paese controparte ad altissimo rischio"/>
    <d v="2025-05-15T00:00:00"/>
    <n v="53850"/>
    <n v="147"/>
    <s v="053850_147"/>
    <s v="Discovery Day"/>
    <s v="Mai valutato"/>
    <m/>
    <s v="202505147036040L"/>
    <n v="1473300005217"/>
    <n v="20250514"/>
    <x v="0"/>
    <m/>
    <x v="3"/>
    <s v="D     - Dare"/>
    <n v="1825"/>
    <n v="0"/>
    <n v="3724704"/>
    <n v="4306130610"/>
    <s v="SABATINO SRL"/>
    <s v="430 - Imprese produttive"/>
    <s v="494 - TRASPORTO DI MERCI SU STRADA E SERVIZI DI TRASLOCO"/>
    <s v="086 - ITALIA"/>
    <n v="1196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001"/>
    <s v="90"/>
    <s v="Operazioni con paese controparte ad altissimo rischio"/>
    <d v="2025-05-15T00:00:00"/>
    <n v="53850"/>
    <n v="271"/>
    <s v="053850_271"/>
    <s v="Discovery Day"/>
    <s v="Mai valutato"/>
    <m/>
    <n v="202505147979176"/>
    <n v="2713300010112"/>
    <n v="20250514"/>
    <x v="0"/>
    <m/>
    <x v="4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5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7998"/>
    <s v="90"/>
    <s v="Operazioni con paese controparte ad altissimo rischio"/>
    <d v="2025-05-15T00:00:00"/>
    <n v="53850"/>
    <n v="149"/>
    <s v="053850_149"/>
    <s v="Discovery Day"/>
    <s v="Mai valutato"/>
    <m/>
    <s v="202505147038756L"/>
    <n v="1493300663564"/>
    <n v="20250514"/>
    <x v="0"/>
    <m/>
    <x v="3"/>
    <s v="A     - Avere"/>
    <n v="3040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7995"/>
    <s v="90"/>
    <s v="Operazioni con paese controparte ad altissimo rischio"/>
    <d v="2025-05-15T00:00:00"/>
    <n v="53850"/>
    <n v="116"/>
    <s v="053850_116"/>
    <s v="Discovery Day"/>
    <s v="Mai valutato"/>
    <m/>
    <n v="202505147979166"/>
    <n v="1161208800014"/>
    <n v="20250514"/>
    <x v="0"/>
    <m/>
    <x v="3"/>
    <s v="D     - Dare"/>
    <n v="11840.06"/>
    <n v="0"/>
    <n v="4871871"/>
    <n v="2516140726"/>
    <s v="FREZZA LEGNAMI S.P.A."/>
    <s v="430 - Imprese produttive"/>
    <s v="467 - COMMERCIO ALL'INGROSSO SPECIALIZZATO DI ALTRI PRODOTTI"/>
    <s v="086 - ITALIA"/>
    <n v="1903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47951"/>
    <s v="90"/>
    <s v="Operazioni con paese controparte ad altissimo rischio"/>
    <d v="2025-05-14T00:00:00"/>
    <n v="53850"/>
    <n v="199"/>
    <s v="053850_199"/>
    <s v="Discovery Day"/>
    <s v="Mai valutato"/>
    <m/>
    <n v="202505137973901"/>
    <n v="1993300003021"/>
    <n v="20250513"/>
    <x v="0"/>
    <m/>
    <x v="3"/>
    <s v="D     - Dare"/>
    <n v="5000"/>
    <n v="0"/>
    <n v="4946318"/>
    <n v="2571200746"/>
    <s v="SARTY LTD"/>
    <s v="758 - Societa' non finanziarie dei paesi UE non membri dell'area dell'euro"/>
    <s v="141 - CONFEZIONE DI ARTICOLI DI ABBIGLIAMENTO (ESCLUSO ABBIGLIAMENTO IN PELLICCIA)"/>
    <s v="012 - BULGARIA"/>
    <n v="639"/>
    <m/>
    <m/>
    <m/>
    <m/>
    <m/>
    <m/>
    <m/>
    <n v="0"/>
    <n v="202505"/>
    <s v="ARCHIVIATA"/>
    <x v="0"/>
    <n v="1"/>
    <m/>
    <m/>
    <n v="0"/>
    <n v="999"/>
    <n v="758"/>
    <n v="758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7943"/>
    <s v="90"/>
    <s v="Operazioni con paese controparte ad altissimo rischio"/>
    <d v="2025-05-14T00:00:00"/>
    <n v="53850"/>
    <n v="226"/>
    <s v="053850_226"/>
    <s v="Discovery Day"/>
    <s v="Mai valutato"/>
    <m/>
    <s v="202505126963324L"/>
    <n v="2263300011652"/>
    <n v="20250512"/>
    <x v="0"/>
    <m/>
    <x v="0"/>
    <s v="D     - Dare"/>
    <n v="1000"/>
    <n v="0"/>
    <n v="4445772"/>
    <s v="DCMCMN64P15I907M"/>
    <s v="DE CAMELIS CARMINE"/>
    <s v="600 - Famiglie consumatrici"/>
    <m/>
    <s v="086 - ITALIA"/>
    <n v="1395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42"/>
    <s v="90"/>
    <s v="Operazioni con paese controparte ad altissimo rischio"/>
    <d v="2025-05-14T00:00:00"/>
    <n v="53850"/>
    <n v="226"/>
    <s v="053850_226"/>
    <s v="Discovery Day"/>
    <s v="Mai valutato"/>
    <m/>
    <s v="202505126963325L"/>
    <n v="2263300011719"/>
    <n v="20250512"/>
    <x v="0"/>
    <m/>
    <x v="0"/>
    <s v="D     - Dare"/>
    <n v="1000"/>
    <n v="0"/>
    <n v="4445784"/>
    <s v="DCMMHL62L06L328M"/>
    <s v="DE CAMELIS MICHELE"/>
    <s v="600 - Famiglie consumatrici"/>
    <m/>
    <s v="086 - ITALIA"/>
    <n v="1395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33"/>
    <s v="90"/>
    <s v="Operazioni con paese controparte ad altissimo rischio"/>
    <d v="2025-05-13T00:00:00"/>
    <n v="53850"/>
    <n v="187"/>
    <s v="053850_187"/>
    <s v="Discovery Day"/>
    <s v="Mai valutato"/>
    <m/>
    <s v="202505126907757L"/>
    <n v="1873300102696"/>
    <n v="20250512"/>
    <x v="0"/>
    <m/>
    <x v="3"/>
    <s v="A     - Avere"/>
    <n v="4670.97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5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7925"/>
    <s v="90"/>
    <s v="Operazioni con paese controparte ad altissimo rischio"/>
    <d v="2025-05-13T00:00:00"/>
    <n v="53850"/>
    <n v="187"/>
    <s v="053850_187"/>
    <s v="Discovery Day"/>
    <s v="Mai valutato"/>
    <m/>
    <s v="202505126908168L"/>
    <n v="1873300001435"/>
    <n v="20250512"/>
    <x v="0"/>
    <m/>
    <x v="4"/>
    <s v="A     - Avere"/>
    <n v="1000"/>
    <n v="0"/>
    <n v="3120377"/>
    <s v="MRTGPP53M15L049C"/>
    <s v="MARTURANO GIUSEPPE"/>
    <s v="600 - Famiglie consumatrici"/>
    <m/>
    <s v="086 - ITALIA"/>
    <n v="479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20"/>
    <s v="90"/>
    <s v="Operazioni con paese controparte ad altissimo rischio"/>
    <d v="2025-05-13T00:00:00"/>
    <n v="53850"/>
    <n v="149"/>
    <s v="053850_149"/>
    <s v="Discovery Day"/>
    <s v="Mai valutato"/>
    <m/>
    <n v="202505127970731"/>
    <n v="1493300663564"/>
    <n v="20250512"/>
    <x v="0"/>
    <m/>
    <x v="3"/>
    <s v="A     - Avere"/>
    <n v="30246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47912"/>
    <s v="90"/>
    <s v="Operazioni con paese controparte ad altissimo rischio"/>
    <d v="2025-05-13T00:00:00"/>
    <n v="53850"/>
    <n v="111"/>
    <s v="053850_111"/>
    <s v="Discovery Day"/>
    <s v="Mai valutato"/>
    <m/>
    <s v="202505126903098L"/>
    <n v="1113305626850"/>
    <n v="20250512"/>
    <x v="0"/>
    <m/>
    <x v="0"/>
    <s v="D     - Dare"/>
    <n v="1820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5"/>
    <s v="IN CARICO AL GESTOR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04"/>
    <s v="90"/>
    <s v="Operazioni con paese controparte ad altissimo rischio"/>
    <d v="2025-05-13T00:00:00"/>
    <n v="53850"/>
    <n v="187"/>
    <s v="053850_187"/>
    <s v="Discovery Day"/>
    <s v="Mai valutato"/>
    <m/>
    <s v="202505126908168L"/>
    <n v="1873300001435"/>
    <n v="20250512"/>
    <x v="0"/>
    <m/>
    <x v="4"/>
    <s v="A     - Avere"/>
    <n v="1000"/>
    <n v="0"/>
    <n v="3023756"/>
    <s v="LZZMNL53P63L049I"/>
    <s v="LAZZARETTI MARINELLA"/>
    <s v="600 - Famiglie consumatrici"/>
    <m/>
    <s v="086 - ITALIA"/>
    <n v="479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7900"/>
    <s v="90"/>
    <s v="Operazioni con paese controparte ad altissimo rischio"/>
    <d v="2025-05-13T00:00:00"/>
    <n v="53850"/>
    <n v="175"/>
    <s v="053850_175"/>
    <s v="Discovery Day"/>
    <s v="Mai valutato"/>
    <m/>
    <s v="202505096890610L"/>
    <n v="1753302201268"/>
    <n v="20250509"/>
    <x v="0"/>
    <m/>
    <x v="3"/>
    <s v="D     - Dare"/>
    <n v="3807.4"/>
    <n v="0"/>
    <n v="4162195"/>
    <s v="RNICRL83T29A225K"/>
    <s v="IUORNO CARLO"/>
    <s v="615 - Altre famiglie produttrici"/>
    <s v="900 - ATTIVITÀ CREATIVE, ARTISTICHE E DI INTRATTENIMENTO"/>
    <s v="086 - ITALIA"/>
    <n v="1110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38033"/>
    <s v="90"/>
    <s v="Operazioni con paese controparte ad altissimo rischio"/>
    <d v="2025-05-10T00:00:00"/>
    <n v="53850"/>
    <n v="132"/>
    <s v="053850_132"/>
    <s v="Discovery Day"/>
    <s v="Mai valutato"/>
    <m/>
    <n v="202505097963723"/>
    <n v="1323300003557"/>
    <n v="20250509"/>
    <x v="0"/>
    <m/>
    <x v="4"/>
    <s v="A     - Avere"/>
    <n v="30500"/>
    <n v="0"/>
    <n v="4995426"/>
    <n v="1316960770"/>
    <s v="THE CORNER SRLS"/>
    <s v="430 - Imprese produttive"/>
    <s v="477 - COMMERCIO AL DETTAGLIO DI ALTRI PRODOTTI IN ESERCIZI SPECIALIZZATI"/>
    <s v="086 - ITALIA"/>
    <n v="823"/>
    <m/>
    <m/>
    <m/>
    <m/>
    <m/>
    <m/>
    <m/>
    <n v="0"/>
    <n v="202505"/>
    <s v="IN CARICO AL GESTORE"/>
    <x v="1"/>
    <n v="1"/>
    <n v="4995426"/>
    <n v="1"/>
    <n v="0"/>
    <n v="477"/>
    <n v="430"/>
    <n v="430477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38017"/>
    <s v="90"/>
    <s v="Operazioni con paese controparte ad altissimo rischio"/>
    <d v="2025-05-10T00:00:00"/>
    <n v="53850"/>
    <n v="271"/>
    <s v="053850_271"/>
    <s v="Discovery Day"/>
    <s v="Mai valutato"/>
    <m/>
    <n v="202505097963731"/>
    <n v="2713300010112"/>
    <n v="20250509"/>
    <x v="0"/>
    <m/>
    <x v="4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5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38013"/>
    <s v="90"/>
    <s v="Operazioni con paese controparte ad altissimo rischio"/>
    <d v="2025-05-10T00:00:00"/>
    <n v="53850"/>
    <n v="116"/>
    <s v="053850_116"/>
    <s v="Discovery Day"/>
    <s v="Mai valutato"/>
    <m/>
    <n v="202505097963718"/>
    <n v="1163307620851"/>
    <n v="20250509"/>
    <x v="0"/>
    <m/>
    <x v="4"/>
    <s v="A     - Avere"/>
    <n v="13169"/>
    <n v="0"/>
    <n v="4984414"/>
    <s v="MSCNCL60D17A662G"/>
    <s v="MISCEO NICOLA"/>
    <s v="600 - Famiglie consumatrici"/>
    <m/>
    <s v="086 - ITALIA"/>
    <n v="535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999"/>
    <s v="90"/>
    <s v="Operazioni con paese controparte ad altissimo rischio"/>
    <d v="2025-05-10T00:00:00"/>
    <n v="53850"/>
    <n v="226"/>
    <s v="053850_226"/>
    <s v="Discovery Day"/>
    <s v="Mai valutato"/>
    <m/>
    <n v="202505097963676"/>
    <n v="1163307619285"/>
    <n v="20250509"/>
    <x v="0"/>
    <m/>
    <x v="3"/>
    <s v="A     - Avere"/>
    <n v="6500"/>
    <n v="0"/>
    <n v="4709685"/>
    <n v="6911480728"/>
    <s v="BELLUCCI S.A.S DI TUFARELLI MARIA PATRIZIA &amp;"/>
    <s v="482 - Quasi societa' non finanziarie artigiane - Unita' o societa' con meno di 20 addetti"/>
    <s v="292 - FABBRICAZIONE DI CARROZZERIE PER AUTOVEICOLI, RIMORCHI E SEMIRIMORCHI"/>
    <s v="086 - ITALIA"/>
    <n v="1932"/>
    <m/>
    <m/>
    <m/>
    <m/>
    <m/>
    <m/>
    <m/>
    <n v="0"/>
    <n v="202505"/>
    <s v="IN CARICO AL RESPONSABILE"/>
    <x v="1"/>
    <n v="1"/>
    <m/>
    <m/>
    <n v="0"/>
    <n v="999"/>
    <n v="482"/>
    <n v="48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980"/>
    <s v="90"/>
    <s v="Operazioni con paese controparte ad altissimo rischio"/>
    <d v="2025-05-10T00:00:00"/>
    <n v="53850"/>
    <n v="277"/>
    <s v="053850_277"/>
    <s v="Discovery Day"/>
    <s v="Mai valutato"/>
    <m/>
    <s v="202505086849794L"/>
    <n v="2773300001188"/>
    <n v="20250508"/>
    <x v="0"/>
    <m/>
    <x v="0"/>
    <s v="D     - Dare"/>
    <n v="3000"/>
    <n v="0"/>
    <n v="1679538"/>
    <s v="DCRGNN62B03D738S"/>
    <s v="DI CRISCI GIOVANNI BRUNO"/>
    <s v="600 - Famiglie consumatrici"/>
    <m/>
    <s v="086 - ITALIA"/>
    <n v="1791"/>
    <m/>
    <m/>
    <m/>
    <m/>
    <m/>
    <m/>
    <m/>
    <n v="0"/>
    <n v="202505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962"/>
    <s v="90"/>
    <s v="Operazioni con paese controparte ad altissimo rischio"/>
    <d v="2025-05-09T00:00:00"/>
    <n v="53850"/>
    <n v="118"/>
    <s v="053850_118"/>
    <s v="Discovery Day"/>
    <s v="Mai valutato"/>
    <m/>
    <s v="202505086818128L"/>
    <n v="1183306279722"/>
    <n v="20250508"/>
    <x v="0"/>
    <m/>
    <x v="3"/>
    <s v="D     - Dare"/>
    <n v="1515"/>
    <n v="0"/>
    <n v="4925538"/>
    <s v="SCHMCN95T47A662S"/>
    <s v="SCHIAVARIELLO MARIA CONCETTA"/>
    <s v="600 - Famiglie consumatrici"/>
    <m/>
    <s v="086 - ITALIA"/>
    <m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57"/>
    <s v="90"/>
    <s v="Operazioni con paese controparte ad altissimo rischio"/>
    <d v="2025-05-09T00:00:00"/>
    <n v="53850"/>
    <n v="267"/>
    <s v="053850_267"/>
    <s v="Discovery Day"/>
    <s v="Mai valutato"/>
    <m/>
    <s v="202505086816304L"/>
    <n v="2673300001756"/>
    <n v="20250508"/>
    <x v="0"/>
    <m/>
    <x v="4"/>
    <s v="A     - Avere"/>
    <n v="1775"/>
    <n v="0"/>
    <n v="1646323"/>
    <s v="VTRGPP85L17C710Y"/>
    <s v="VETRO' GIUSEPPE"/>
    <s v="615 - Altre famiglie produttrici"/>
    <s v="014 - ALLEVAMENTO DI ANIMALI"/>
    <s v="086 - ITALIA"/>
    <n v="1878"/>
    <m/>
    <m/>
    <m/>
    <m/>
    <m/>
    <m/>
    <m/>
    <n v="0"/>
    <n v="202505"/>
    <s v="IN CARICO AL GESTORE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53"/>
    <s v="90"/>
    <s v="Operazioni con paese controparte ad altissimo rischio"/>
    <d v="2025-05-09T00:00:00"/>
    <n v="53850"/>
    <n v="261"/>
    <s v="053850_261"/>
    <s v="Discovery Day"/>
    <s v="Mai valutato"/>
    <m/>
    <s v="202505086815320L"/>
    <n v="2613300001265"/>
    <n v="20250508"/>
    <x v="0"/>
    <m/>
    <x v="1"/>
    <s v="A     - Avere"/>
    <n v="1700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7"/>
    <s v="90"/>
    <s v="Operazioni con paese controparte ad altissimo rischio"/>
    <d v="2025-05-09T00:00:00"/>
    <n v="53850"/>
    <n v="192"/>
    <s v="053850_192"/>
    <s v="Discovery Day"/>
    <s v="Mai valutato"/>
    <m/>
    <n v="202505087960417"/>
    <n v="1923300185011"/>
    <n v="20250508"/>
    <x v="0"/>
    <m/>
    <x v="3"/>
    <s v="A     - Avere"/>
    <n v="5948"/>
    <n v="0"/>
    <n v="3710704"/>
    <s v="FSNMHL77R19H096V"/>
    <s v="FASANELLI MICHELE"/>
    <s v="615 - Altre famiglie produttrici"/>
    <s v="494 - TRASPORTO DI MERCI SU STRADA E SERVIZI DI TRASLOCO"/>
    <s v="086 - ITALIA"/>
    <n v="1907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942"/>
    <s v="90"/>
    <s v="Operazioni con paese controparte ad altissimo rischio"/>
    <d v="2025-05-09T00:00:00"/>
    <n v="53850"/>
    <n v="118"/>
    <s v="053850_118"/>
    <s v="Discovery Day"/>
    <s v="Mai valutato"/>
    <m/>
    <s v="202505086818128L"/>
    <n v="1183306279722"/>
    <n v="20250508"/>
    <x v="0"/>
    <m/>
    <x v="3"/>
    <s v="D     - Dare"/>
    <n v="1515"/>
    <n v="0"/>
    <n v="4925537"/>
    <s v="SCHFNC98H13A662I"/>
    <s v="SCHIAVARIELLO FRANCESCO ANTONIO"/>
    <s v="600 - Famiglie consumatrici"/>
    <m/>
    <s v="086 - ITALIA"/>
    <n v="63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41"/>
    <s v="90"/>
    <s v="Operazioni con paese controparte ad altissimo rischio"/>
    <d v="2025-05-09T00:00:00"/>
    <n v="53850"/>
    <n v="171"/>
    <s v="053850_171"/>
    <s v="Discovery Day"/>
    <s v="Mai valutato"/>
    <m/>
    <n v="202505087960444"/>
    <n v="1713302217392"/>
    <n v="20250508"/>
    <x v="0"/>
    <m/>
    <x v="3"/>
    <s v="A     - Avere"/>
    <n v="7000"/>
    <n v="0"/>
    <n v="4926340"/>
    <s v="GRFGPP83R23A893N"/>
    <s v="GAROFALO GIUSEPPE"/>
    <s v="615 - Altre famiglie produttrici"/>
    <s v="563 - BAR E ALTRI ESERCIZI SIMILI SENZA CUCINA"/>
    <s v="086 - ITALIA"/>
    <n v="732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917"/>
    <s v="90"/>
    <s v="Operazioni con paese controparte ad altissimo rischio"/>
    <d v="2025-05-09T00:00:00"/>
    <n v="53850"/>
    <n v="187"/>
    <s v="053850_187"/>
    <s v="Discovery Day"/>
    <s v="Mai valutato"/>
    <m/>
    <s v="202505086820514L"/>
    <n v="1873300102696"/>
    <n v="20250508"/>
    <x v="0"/>
    <m/>
    <x v="3"/>
    <s v="A     - Avere"/>
    <n v="4682.99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5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910"/>
    <s v="90"/>
    <s v="Operazioni con paese controparte ad altissimo rischio"/>
    <d v="2025-05-09T00:00:00"/>
    <n v="53850"/>
    <n v="118"/>
    <s v="053850_118"/>
    <s v="Discovery Day"/>
    <s v="Mai valutato"/>
    <m/>
    <s v="202505086818128L"/>
    <n v="1183306279722"/>
    <n v="20250508"/>
    <x v="0"/>
    <m/>
    <x v="3"/>
    <s v="D     - Dare"/>
    <n v="1515"/>
    <n v="0"/>
    <n v="4144657"/>
    <s v="NTLNTN65A46B619F"/>
    <s v="NATALE ANTONIA"/>
    <s v="600 - Famiglie consumatrici"/>
    <m/>
    <s v="086 - ITALIA"/>
    <n v="632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908"/>
    <s v="90"/>
    <s v="Operazioni con paese controparte ad altissimo rischio"/>
    <d v="2025-05-09T00:00:00"/>
    <n v="53850"/>
    <n v="104"/>
    <s v="053850_104"/>
    <s v="Discovery Day"/>
    <s v="Mai valutato"/>
    <m/>
    <s v="202505066789558L"/>
    <n v="1043309506207"/>
    <n v="20250506"/>
    <x v="0"/>
    <m/>
    <x v="3"/>
    <s v="D     - Dare"/>
    <n v="1583"/>
    <n v="0"/>
    <n v="420391"/>
    <s v="CSMCLD59H17C983P"/>
    <s v="CUSMAI CATALDO"/>
    <s v="615 - Altre famiglie produttrici"/>
    <s v="259 - FABBRICAZIONE DI ALTRI PRODOTTI IN METALLO"/>
    <s v="086 - ITALIA"/>
    <n v="1902"/>
    <m/>
    <m/>
    <m/>
    <m/>
    <m/>
    <m/>
    <m/>
    <n v="0"/>
    <n v="202505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99"/>
    <s v="90"/>
    <s v="Operazioni con paese controparte ad altissimo rischio"/>
    <d v="2025-05-08T00:00:00"/>
    <n v="53850"/>
    <n v="102"/>
    <s v="053850_102"/>
    <s v="Discovery Day"/>
    <s v="Mai valutato"/>
    <m/>
    <s v="202505076751292L"/>
    <n v="2583300001294"/>
    <n v="20250507"/>
    <x v="0"/>
    <m/>
    <x v="0"/>
    <s v="A     - Avere"/>
    <n v="3465"/>
    <n v="0"/>
    <n v="4923983"/>
    <n v="8254330726"/>
    <s v="FDESIGN ITALIA SOCIETA' A RESPONSABILITA' LIMITATA"/>
    <s v="430 - Imprese produttive"/>
    <s v="310 - FABBRICAZIONE DI MOBILI"/>
    <s v="086 - ITALIA"/>
    <n v="1949"/>
    <m/>
    <m/>
    <m/>
    <m/>
    <m/>
    <m/>
    <m/>
    <n v="0"/>
    <n v="202505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68"/>
    <s v="90"/>
    <s v="Operazioni con paese controparte ad altissimo rischio"/>
    <d v="2025-05-08T00:00:00"/>
    <n v="53850"/>
    <n v="136"/>
    <s v="053850_136"/>
    <s v="Discovery Day"/>
    <s v="Mai valutato"/>
    <m/>
    <n v="202505077957636"/>
    <n v="1361147800126"/>
    <n v="20250507"/>
    <x v="0"/>
    <m/>
    <x v="4"/>
    <s v="D     - Dare"/>
    <n v="716657.07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37858"/>
    <s v="90"/>
    <s v="Operazioni con paese controparte ad altissimo rischio"/>
    <d v="2025-05-07T00:00:00"/>
    <n v="53850"/>
    <n v="148"/>
    <s v="053850_148"/>
    <s v="Discovery Day"/>
    <s v="Mai valutato"/>
    <m/>
    <n v="202505067953863"/>
    <n v="1483300003872"/>
    <n v="20250506"/>
    <x v="0"/>
    <m/>
    <x v="0"/>
    <s v="A     - Avere"/>
    <n v="28963.49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828"/>
    <s v="90"/>
    <s v="Operazioni con paese controparte ad altissimo rischio"/>
    <d v="2025-05-07T00:00:00"/>
    <n v="53850"/>
    <n v="153"/>
    <s v="053850_153"/>
    <s v="Discovery Day"/>
    <s v="Mai valutato"/>
    <m/>
    <s v="202505066712154L"/>
    <n v="1533300662357"/>
    <n v="20250506"/>
    <x v="0"/>
    <m/>
    <x v="9"/>
    <s v="D     - Dare"/>
    <n v="1965"/>
    <n v="0"/>
    <n v="4735568"/>
    <n v="92086070643"/>
    <s v="TOTALIFE"/>
    <s v="501 - Istituzioni ed enti con finalita' di assistenza, beneficenza, istruzione, culturali, sindacali, politiche, sportive, ricreative e simili"/>
    <s v="949 - ATTIVITÀ DI ALTRE ORGANIZZAZIONI ASSOCIATIVE "/>
    <s v="086 - ITALIA"/>
    <n v="1055"/>
    <m/>
    <m/>
    <m/>
    <m/>
    <m/>
    <m/>
    <m/>
    <n v="0"/>
    <n v="202505"/>
    <s v="ARCHIVIATA DA RPR"/>
    <x v="0"/>
    <n v="1"/>
    <m/>
    <m/>
    <n v="0"/>
    <n v="999"/>
    <n v="501"/>
    <n v="501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15"/>
    <s v="90"/>
    <s v="Operazioni con paese controparte ad altissimo rischio"/>
    <d v="2025-05-07T00:00:00"/>
    <n v="53850"/>
    <n v="153"/>
    <s v="053850_153"/>
    <s v="Discovery Day"/>
    <s v="Mai valutato"/>
    <m/>
    <s v="202505066712153L"/>
    <n v="1533300662357"/>
    <n v="20250506"/>
    <x v="0"/>
    <m/>
    <x v="9"/>
    <s v="D     - Dare"/>
    <n v="1379"/>
    <n v="0"/>
    <n v="4735568"/>
    <n v="92086070643"/>
    <s v="TOTALIFE"/>
    <s v="501 - Istituzioni ed enti con finalita' di assistenza, beneficenza, istruzione, culturali, sindacali, politiche, sportive, ricreative e simili"/>
    <s v="949 - ATTIVITÀ DI ALTRE ORGANIZZAZIONI ASSOCIATIVE "/>
    <s v="086 - ITALIA"/>
    <n v="1055"/>
    <m/>
    <m/>
    <m/>
    <m/>
    <m/>
    <m/>
    <m/>
    <n v="0"/>
    <n v="202505"/>
    <s v="ARCHIVIATA DA RPR"/>
    <x v="0"/>
    <n v="1"/>
    <m/>
    <m/>
    <n v="0"/>
    <n v="999"/>
    <n v="501"/>
    <n v="501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814"/>
    <s v="90"/>
    <s v="Operazioni con paese controparte ad altissimo rischio"/>
    <d v="2025-05-07T00:00:00"/>
    <n v="53850"/>
    <n v="102"/>
    <s v="053850_102"/>
    <s v="Discovery Day"/>
    <s v="Mai valutato"/>
    <m/>
    <s v="202505066712166L"/>
    <n v="1023308724471"/>
    <n v="20250506"/>
    <x v="0"/>
    <m/>
    <x v="4"/>
    <s v="A     - Avere"/>
    <n v="3000"/>
    <n v="0"/>
    <n v="4926972"/>
    <n v="8178330729"/>
    <s v="MPALQUADRATO SOCIETA' A RESPONSABILITA' LIMITATA"/>
    <s v="430 - Imprese produttive"/>
    <s v="477 - COMMERCIO AL DETTAGLIO DI ALTRI PRODOTTI IN ESERCIZI SPECIALIZZATI"/>
    <s v="086 - ITALIA"/>
    <n v="1443"/>
    <m/>
    <m/>
    <m/>
    <m/>
    <m/>
    <m/>
    <m/>
    <n v="0"/>
    <n v="202505"/>
    <s v="IN VALUTAZIONE RPR"/>
    <x v="1"/>
    <n v="1"/>
    <m/>
    <m/>
    <n v="0"/>
    <n v="477"/>
    <n v="430"/>
    <n v="430477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808"/>
    <s v="90"/>
    <s v="Operazioni con paese controparte ad altissimo rischio"/>
    <d v="2025-05-06T00:00:00"/>
    <n v="53850"/>
    <n v="170"/>
    <s v="053850_170"/>
    <s v="Discovery Day"/>
    <s v="Mai valutato"/>
    <m/>
    <s v="202505056640737L"/>
    <n v="1703306287258"/>
    <n v="20250505"/>
    <x v="0"/>
    <m/>
    <x v="10"/>
    <s v="D     - Dare"/>
    <n v="4193.34"/>
    <n v="0"/>
    <n v="4209961"/>
    <s v="CTGNLF73M22A285C"/>
    <s v="COTUGNO NICOLA FABIO"/>
    <s v="600 - Famiglie consumatrici"/>
    <m/>
    <s v="086 - ITALIA"/>
    <n v="1954"/>
    <m/>
    <m/>
    <m/>
    <m/>
    <m/>
    <m/>
    <m/>
    <n v="0"/>
    <n v="202505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37783"/>
    <s v="90"/>
    <s v="Operazioni con paese controparte ad altissimo rischio"/>
    <d v="2025-05-06T00:00:00"/>
    <n v="53850"/>
    <n v="129"/>
    <s v="053850_129"/>
    <s v="Discovery Day"/>
    <s v="Mai valutato"/>
    <m/>
    <n v="202505057950167"/>
    <n v="1293300002811"/>
    <n v="20250505"/>
    <x v="0"/>
    <m/>
    <x v="0"/>
    <s v="A     - Avere"/>
    <n v="13836.71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37780"/>
    <s v="90"/>
    <s v="Operazioni con paese controparte ad altissimo rischio"/>
    <d v="2025-05-06T00:00:00"/>
    <n v="53850"/>
    <n v="154"/>
    <s v="053850_154"/>
    <s v="Discovery Day"/>
    <s v="Mai valutato"/>
    <m/>
    <n v="202505057950614"/>
    <n v="1543300004605"/>
    <n v="20250505"/>
    <x v="0"/>
    <m/>
    <x v="6"/>
    <s v="A     - Avere"/>
    <n v="8112"/>
    <n v="0"/>
    <n v="4973543"/>
    <s v="RMNRCC81E18Z347K"/>
    <s v="ROMANO ROCCO"/>
    <s v="615 - Altre famiglie produttrici"/>
    <s v="661 - ATTIVITÀ AUSILIARIE DEI SERVIZI FINANZIARI (ESCLUSE LE ASSICURAZIONI E I FONDI PENSIONE)"/>
    <s v="086 - ITALIA"/>
    <n v="741"/>
    <m/>
    <m/>
    <m/>
    <m/>
    <m/>
    <m/>
    <m/>
    <n v="0"/>
    <n v="202505"/>
    <s v="IN CARICO AL GESTORE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37776"/>
    <s v="90"/>
    <s v="Operazioni con paese controparte ad altissimo rischio"/>
    <d v="2025-05-06T00:00:00"/>
    <n v="53850"/>
    <n v="170"/>
    <s v="053850_170"/>
    <s v="Discovery Day"/>
    <s v="Mai valutato"/>
    <m/>
    <s v="202505056635192L"/>
    <n v="1703306289399"/>
    <n v="20250505"/>
    <x v="0"/>
    <m/>
    <x v="1"/>
    <s v="A     - Avere"/>
    <n v="2900"/>
    <n v="0"/>
    <n v="4926611"/>
    <s v="QRCSVT78A08A285Q"/>
    <s v="QUERCIA SALVATORE"/>
    <s v="615 - Altre famiglie produttrici"/>
    <s v="433 - COMPLETAMENTO E FINITURA DI EDIFICI"/>
    <s v="086 - ITALIA"/>
    <n v="1330"/>
    <m/>
    <m/>
    <m/>
    <m/>
    <m/>
    <m/>
    <m/>
    <n v="0"/>
    <n v="202505"/>
    <s v="IN VALUTAZIONE RPR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37766"/>
    <s v="90"/>
    <s v="Operazioni con paese controparte ad altissimo rischio"/>
    <d v="2025-05-06T00:00:00"/>
    <n v="53850"/>
    <n v="103"/>
    <s v="053850_103"/>
    <s v="Discovery Day"/>
    <s v="Mai valutato"/>
    <m/>
    <s v="202505056634797L"/>
    <n v="1033304289290"/>
    <n v="20250505"/>
    <x v="0"/>
    <m/>
    <x v="3"/>
    <s v="D     - Dare"/>
    <n v="3000"/>
    <n v="0"/>
    <n v="428929"/>
    <n v="3895840720"/>
    <s v="CAM2 SOCIETA' A RESPONSABILITA' LIMITATA"/>
    <s v="450 - Associazioni fra imprese non finanziarie"/>
    <s v="494 - TRASPORTO DI MERCI SU STRADA E SERVIZI DI TRASLOCO"/>
    <s v="086 - ITALIA"/>
    <n v="1274"/>
    <m/>
    <m/>
    <m/>
    <m/>
    <m/>
    <m/>
    <m/>
    <n v="0"/>
    <n v="202505"/>
    <s v="IN VALUTAZIONE RPR"/>
    <x v="1"/>
    <n v="1"/>
    <m/>
    <m/>
    <n v="0"/>
    <n v="999"/>
    <n v="450"/>
    <n v="45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37763"/>
    <s v="90"/>
    <s v="Operazioni con paese controparte ad altissimo rischio"/>
    <d v="2025-05-06T00:00:00"/>
    <n v="53850"/>
    <n v="114"/>
    <s v="053850_114"/>
    <s v="Discovery Day"/>
    <s v="Mai valutato"/>
    <m/>
    <s v="202505026619980L"/>
    <n v="1143306281139"/>
    <n v="20250502"/>
    <x v="0"/>
    <m/>
    <x v="3"/>
    <s v="D     - Dare"/>
    <n v="1000"/>
    <n v="0"/>
    <n v="4269365"/>
    <s v="DLCGPP59H14F052I"/>
    <s v="DI LECCE GIUSEPPE"/>
    <s v="600 - Famiglie consumatrici"/>
    <m/>
    <s v="086 - ITALIA"/>
    <n v="642"/>
    <m/>
    <m/>
    <m/>
    <m/>
    <m/>
    <m/>
    <m/>
    <n v="0"/>
    <n v="202505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37753"/>
    <s v="90"/>
    <s v="Operazioni con paese controparte ad altissimo rischio"/>
    <d v="2025-05-03T00:00:00"/>
    <n v="53850"/>
    <n v="129"/>
    <s v="053850_129"/>
    <s v="Discovery Day"/>
    <s v="Mai valutato"/>
    <m/>
    <n v="202505027942484"/>
    <n v="1293300002811"/>
    <n v="20250502"/>
    <x v="0"/>
    <m/>
    <x v="0"/>
    <s v="A     - Avere"/>
    <n v="20412.22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5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737"/>
    <s v="90"/>
    <s v="Operazioni con paese controparte ad altissimo rischio"/>
    <d v="2025-05-03T00:00:00"/>
    <n v="53850"/>
    <n v="164"/>
    <s v="053850_164"/>
    <s v="Discovery Day"/>
    <s v="Mai valutato"/>
    <m/>
    <n v="202505027942312"/>
    <n v="1643300370610"/>
    <n v="20250502"/>
    <x v="0"/>
    <m/>
    <x v="1"/>
    <s v="A     - Avere"/>
    <n v="27633.15"/>
    <n v="0"/>
    <n v="3700118"/>
    <n v="4318090711"/>
    <s v="TENUTA BIANCHI SOCIETA' COOPERATIVA AGRICOLA"/>
    <s v="430 - Imprese produttive"/>
    <s v="103 - LAVORAZIONE E CONSERVAZIONE DI FRUTTA E ORTAGGI"/>
    <s v="086 - ITALIA"/>
    <n v="677"/>
    <m/>
    <m/>
    <m/>
    <m/>
    <m/>
    <m/>
    <m/>
    <n v="0"/>
    <n v="202505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37729"/>
    <s v="90"/>
    <s v="Operazioni con paese controparte ad altissimo rischio"/>
    <d v="2025-05-03T00:00:00"/>
    <n v="53850"/>
    <n v="105"/>
    <s v="053850_105"/>
    <s v="Discovery Day"/>
    <s v="Mai valutato"/>
    <m/>
    <s v="202505026512605L"/>
    <n v="1053306295089"/>
    <n v="20250502"/>
    <x v="0"/>
    <m/>
    <x v="3"/>
    <s v="A     - Avere"/>
    <n v="1312.01"/>
    <n v="0"/>
    <n v="3716148"/>
    <n v="6264740728"/>
    <s v="ZEROTF S.R.L."/>
    <s v="430 - Imprese produttive"/>
    <s v="467 - COMMERCIO ALL'INGROSSO SPECIALIZZATO DI ALTRI PRODOTTI"/>
    <s v="086 - ITALIA"/>
    <n v="462"/>
    <m/>
    <m/>
    <m/>
    <m/>
    <m/>
    <m/>
    <m/>
    <n v="0"/>
    <n v="202505"/>
    <s v="IN CARICO AL GESTORE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666"/>
    <s v="90"/>
    <s v="Operazioni con paese controparte ad altissimo rischio"/>
    <d v="2025-07-01T00:00:00"/>
    <n v="53850"/>
    <n v="116"/>
    <s v="053850_116"/>
    <s v="Discovery Day"/>
    <s v="Mai valutato"/>
    <m/>
    <s v="202506308836996L"/>
    <n v="1423300308824"/>
    <n v="20250630"/>
    <x v="0"/>
    <m/>
    <x v="11"/>
    <s v="A     - Avere"/>
    <n v="2500"/>
    <n v="0"/>
    <n v="526336"/>
    <s v="NDRFLV63D42A662R"/>
    <s v="INDRIO FLAVIA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60661"/>
    <s v="90"/>
    <s v="Operazioni con paese controparte ad altissimo rischio"/>
    <d v="2025-07-01T00:00:00"/>
    <n v="53850"/>
    <n v="282"/>
    <s v="053850_282"/>
    <s v="Discovery Day"/>
    <s v="Mai valutato"/>
    <m/>
    <s v="202506308831918L"/>
    <n v="2823300001773"/>
    <n v="20250630"/>
    <x v="0"/>
    <m/>
    <x v="4"/>
    <s v="A     - Avere"/>
    <n v="3000"/>
    <n v="0"/>
    <n v="1669726"/>
    <s v="CPRDNL87M08E435Y"/>
    <s v="CAPORALE DANILO"/>
    <s v="600 - Famiglie consumatrici"/>
    <m/>
    <s v="086 - ITALIA"/>
    <n v="180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651"/>
    <s v="90"/>
    <s v="Operazioni con paese controparte ad altissimo rischio"/>
    <d v="2025-07-01T00:00:00"/>
    <n v="53850"/>
    <n v="170"/>
    <s v="053850_170"/>
    <s v="Discovery Day"/>
    <s v="Mai valutato"/>
    <m/>
    <n v="202506308138265"/>
    <n v="1701200589881"/>
    <n v="20250630"/>
    <x v="0"/>
    <m/>
    <x v="0"/>
    <s v="D     - Dare"/>
    <n v="10441.91"/>
    <n v="0"/>
    <n v="589881"/>
    <n v="2615270721"/>
    <s v="BELLAVEDUTA SRL INDUSTRIA DEL MARMO E DEL GR"/>
    <s v="430 - Imprese produttive"/>
    <s v="237 - TAGLIO, MODELLATURA E FINITURA DI PIETRE"/>
    <s v="086 - ITALIA"/>
    <n v="1920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641"/>
    <s v="90"/>
    <s v="Operazioni con paese controparte ad altissimo rischio"/>
    <d v="2025-07-01T00:00:00"/>
    <n v="53850"/>
    <n v="261"/>
    <s v="053850_261"/>
    <s v="Discovery Day"/>
    <s v="Mai valutato"/>
    <m/>
    <n v="202506308136404"/>
    <n v="2613300010205"/>
    <n v="20250630"/>
    <x v="0"/>
    <m/>
    <x v="3"/>
    <s v="D     - Dare"/>
    <n v="20000"/>
    <n v="0"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6"/>
    <s v="ARCHIVIATA"/>
    <x v="0"/>
    <n v="1"/>
    <n v="4991786"/>
    <n v="1"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60621"/>
    <s v="90"/>
    <s v="Operazioni con paese controparte ad altissimo rischio"/>
    <d v="2025-07-01T00:00:00"/>
    <n v="53850"/>
    <n v="261"/>
    <s v="053850_261"/>
    <s v="Discovery Day"/>
    <s v="Mai valutato"/>
    <m/>
    <s v="202506308826459L"/>
    <n v="2613300010205"/>
    <n v="20250630"/>
    <x v="0"/>
    <m/>
    <x v="3"/>
    <s v="D     - Dare"/>
    <n v="2069.75"/>
    <n v="0"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6"/>
    <s v="ARCHIVIATA"/>
    <x v="0"/>
    <n v="1"/>
    <n v="4991786"/>
    <n v="1"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620"/>
    <s v="90"/>
    <s v="Operazioni con paese controparte ad altissimo rischio"/>
    <d v="2025-07-01T00:00:00"/>
    <n v="53850"/>
    <n v="270"/>
    <s v="053850_270"/>
    <s v="Discovery Day"/>
    <s v="Mai valutato"/>
    <m/>
    <n v="202506308138274"/>
    <n v="2703300010883"/>
    <n v="20250630"/>
    <x v="0"/>
    <m/>
    <x v="2"/>
    <s v="A     - Avere"/>
    <n v="14490.42"/>
    <n v="0"/>
    <n v="3741718"/>
    <n v="2347470680"/>
    <s v="BEPINK SRLS"/>
    <s v="430 - Imprese produttive"/>
    <s v="479 - COMMERCIO AL DETTAGLIO AL DI FUORI DI NEGOZI, BANCHI E MERCATI"/>
    <s v="086 - ITALIA"/>
    <n v="1560"/>
    <m/>
    <m/>
    <m/>
    <m/>
    <m/>
    <m/>
    <m/>
    <n v="0"/>
    <n v="202506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619"/>
    <s v="90"/>
    <s v="Operazioni con paese controparte ad altissimo rischio"/>
    <d v="2025-07-01T00:00:00"/>
    <n v="53850"/>
    <n v="129"/>
    <s v="053850_129"/>
    <s v="Discovery Day"/>
    <s v="Mai valutato"/>
    <m/>
    <n v="202506308136591"/>
    <n v="1293300002811"/>
    <n v="20250630"/>
    <x v="0"/>
    <m/>
    <x v="0"/>
    <s v="A     - Avere"/>
    <n v="9234.65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611"/>
    <s v="90"/>
    <s v="Operazioni con paese controparte ad altissimo rischio"/>
    <d v="2025-07-01T00:00:00"/>
    <n v="53850"/>
    <n v="282"/>
    <s v="053850_282"/>
    <s v="Discovery Day"/>
    <s v="Mai valutato"/>
    <m/>
    <s v="202506308831919L"/>
    <n v="2823300001773"/>
    <n v="20250630"/>
    <x v="0"/>
    <m/>
    <x v="4"/>
    <s v="A     - Avere"/>
    <n v="3000"/>
    <n v="0"/>
    <n v="1669726"/>
    <s v="CPRDNL87M08E435Y"/>
    <s v="CAPORALE DANILO"/>
    <s v="600 - Famiglie consumatrici"/>
    <m/>
    <s v="086 - ITALIA"/>
    <n v="180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60605"/>
    <s v="90"/>
    <s v="Operazioni con paese controparte ad altissimo rischio"/>
    <d v="2025-07-01T00:00:00"/>
    <n v="53850"/>
    <n v="170"/>
    <s v="053850_170"/>
    <s v="Discovery Day"/>
    <s v="Mai valutato"/>
    <m/>
    <n v="202506308138263"/>
    <n v="1701200589881"/>
    <n v="20250630"/>
    <x v="0"/>
    <m/>
    <x v="0"/>
    <s v="D     - Dare"/>
    <n v="27167"/>
    <n v="0"/>
    <n v="589881"/>
    <n v="2615270721"/>
    <s v="BELLAVEDUTA SRL INDUSTRIA DEL MARMO E DEL GR"/>
    <s v="430 - Imprese produttive"/>
    <s v="237 - TAGLIO, MODELLATURA E FINITURA DI PIETRE"/>
    <s v="086 - ITALIA"/>
    <n v="1920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95"/>
    <s v="90"/>
    <s v="Operazioni con paese controparte ad altissimo rischio"/>
    <d v="2025-07-01T00:00:00"/>
    <n v="53850"/>
    <n v="149"/>
    <s v="053850_149"/>
    <s v="Discovery Day"/>
    <s v="Mai valutato"/>
    <m/>
    <s v="202506308829276L"/>
    <n v="1493300663564"/>
    <n v="20250630"/>
    <x v="0"/>
    <m/>
    <x v="3"/>
    <s v="A     - Avere"/>
    <n v="1920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85"/>
    <s v="90"/>
    <s v="Operazioni con paese controparte ad altissimo rischio"/>
    <d v="2025-06-28T00:00:00"/>
    <n v="53850"/>
    <n v="137"/>
    <s v="053850_137"/>
    <s v="Discovery Day"/>
    <s v="Mai valutato"/>
    <m/>
    <n v="202506278128569"/>
    <n v="1373300005994"/>
    <n v="20250627"/>
    <x v="0"/>
    <m/>
    <x v="0"/>
    <s v="D     - Dare"/>
    <n v="47690.76"/>
    <n v="0"/>
    <n v="3734872"/>
    <n v="1896670708"/>
    <s v="MOLISE SUINI SRL"/>
    <s v="430 - Imprese produttive"/>
    <s v="014 - ALLEVAMENTO DI ANIMALI"/>
    <s v="086 - ITALIA"/>
    <n v="1867"/>
    <m/>
    <m/>
    <m/>
    <m/>
    <m/>
    <m/>
    <m/>
    <n v="0"/>
    <n v="202506"/>
    <s v="IN VALUTAZIONE RPR"/>
    <x v="1"/>
    <n v="1"/>
    <n v="3734872"/>
    <n v="1"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60569"/>
    <s v="90"/>
    <s v="Operazioni con paese controparte ad altissimo rischio"/>
    <d v="2025-06-28T00:00:00"/>
    <n v="53850"/>
    <n v="129"/>
    <s v="053850_129"/>
    <s v="Discovery Day"/>
    <s v="Mai valutato"/>
    <m/>
    <n v="202506278129838"/>
    <n v="1293300002811"/>
    <n v="20250627"/>
    <x v="0"/>
    <m/>
    <x v="0"/>
    <s v="A     - Avere"/>
    <n v="5066.41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561"/>
    <s v="90"/>
    <s v="Operazioni con paese controparte ad altissimo rischio"/>
    <d v="2025-06-28T00:00:00"/>
    <n v="53850"/>
    <n v="131"/>
    <s v="053850_131"/>
    <s v="Discovery Day"/>
    <s v="Mai valutato"/>
    <m/>
    <n v="202506278130293"/>
    <n v="1313300003506"/>
    <n v="20250627"/>
    <x v="0"/>
    <m/>
    <x v="8"/>
    <s v="D     - Dare"/>
    <n v="5000"/>
    <n v="0"/>
    <n v="4052665"/>
    <s v="PTRMHL66P25H831I"/>
    <s v="PETRINO MICHELINO"/>
    <s v="615 - Altre famiglie produttrici"/>
    <s v="011 - COLTIVAZIONE DI COLTURE AGRICOLE NON PERMANENTI"/>
    <s v="086 - ITALIA"/>
    <n v="827"/>
    <m/>
    <m/>
    <m/>
    <m/>
    <m/>
    <m/>
    <m/>
    <n v="0"/>
    <n v="202506"/>
    <s v="IN CARICO AL GESTORE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545"/>
    <s v="90"/>
    <s v="Operazioni con paese controparte ad altissimo rischio"/>
    <d v="2025-06-27T00:00:00"/>
    <n v="53850"/>
    <n v="266"/>
    <s v="053850_266"/>
    <s v="Discovery Day"/>
    <s v="Mai valutato"/>
    <m/>
    <s v="202506268705257L"/>
    <n v="2663300010537"/>
    <n v="20250626"/>
    <x v="0"/>
    <m/>
    <x v="3"/>
    <s v="A     - Avere"/>
    <n v="2300"/>
    <n v="0"/>
    <n v="1637486"/>
    <s v="TTEMCN62T42G722M"/>
    <s v="TETI MARIA CONCETTA"/>
    <s v="600 - Famiglie consumatrici"/>
    <m/>
    <s v="086 - ITALIA"/>
    <n v="178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537"/>
    <s v="90"/>
    <s v="Operazioni con paese controparte ad altissimo rischio"/>
    <d v="2025-06-27T00:00:00"/>
    <n v="53850"/>
    <n v="171"/>
    <s v="053850_171"/>
    <s v="Discovery Day"/>
    <s v="Mai valutato"/>
    <m/>
    <s v="202506268705488L"/>
    <n v="1713302217392"/>
    <n v="20250626"/>
    <x v="0"/>
    <m/>
    <x v="3"/>
    <s v="A     - Avere"/>
    <n v="1300"/>
    <n v="0"/>
    <n v="4926340"/>
    <s v="GRFGPP83R23A893N"/>
    <s v="GAROFALO GIUSEPPE"/>
    <s v="615 - Altre famiglie produttrici"/>
    <s v="563 - BAR E ALTRI ESERCIZI SIMILI SENZA CUCINA"/>
    <s v="086 - ITALIA"/>
    <n v="732"/>
    <m/>
    <m/>
    <m/>
    <m/>
    <m/>
    <m/>
    <m/>
    <n v="0"/>
    <n v="202506"/>
    <s v="IN VALUTAZIONE RPR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536"/>
    <s v="90"/>
    <s v="Operazioni con paese controparte ad altissimo rischio"/>
    <d v="2025-06-27T00:00:00"/>
    <n v="53850"/>
    <n v="261"/>
    <s v="053850_261"/>
    <s v="Discovery Day"/>
    <s v="Mai valutato"/>
    <m/>
    <n v="202506268125555"/>
    <n v="2613300010205"/>
    <n v="20250626"/>
    <x v="0"/>
    <m/>
    <x v="3"/>
    <s v="D     - Dare"/>
    <n v="25000"/>
    <n v="0"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6"/>
    <s v="ARCHIVIATA"/>
    <x v="0"/>
    <n v="1"/>
    <n v="4991786"/>
    <n v="1"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535"/>
    <s v="90"/>
    <s v="Operazioni con paese controparte ad altissimo rischio"/>
    <d v="2025-06-27T00:00:00"/>
    <n v="53850"/>
    <n v="266"/>
    <s v="053850_266"/>
    <s v="Discovery Day"/>
    <s v="Mai valutato"/>
    <m/>
    <s v="202506268705259L"/>
    <n v="2663300000131"/>
    <n v="20250626"/>
    <x v="0"/>
    <m/>
    <x v="3"/>
    <s v="A     - Avere"/>
    <n v="2300"/>
    <n v="0"/>
    <n v="1614579"/>
    <s v="TTEGPP68S12G722H"/>
    <s v="TETI GIUSEPPE"/>
    <s v="600 - Famiglie consumatrici"/>
    <m/>
    <s v="086 - ITALIA"/>
    <n v="178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526"/>
    <s v="90"/>
    <s v="Operazioni con paese controparte ad altissimo rischio"/>
    <d v="2025-06-27T00:00:00"/>
    <n v="53850"/>
    <n v="266"/>
    <s v="053850_266"/>
    <s v="Discovery Day"/>
    <s v="Mai valutato"/>
    <m/>
    <s v="202506268705258L"/>
    <n v="2663300001473"/>
    <n v="20250626"/>
    <x v="0"/>
    <m/>
    <x v="3"/>
    <s v="A     - Avere"/>
    <n v="2300"/>
    <n v="0"/>
    <n v="1613112"/>
    <s v="TTERCC73L29G722N"/>
    <s v="TETI ROCCO"/>
    <s v="600 - Famiglie consumatrici"/>
    <m/>
    <s v="086 - ITALIA"/>
    <n v="181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524"/>
    <s v="90"/>
    <s v="Operazioni con paese controparte ad altissimo rischio"/>
    <d v="2025-06-27T00:00:00"/>
    <n v="53850"/>
    <n v="266"/>
    <s v="053850_266"/>
    <s v="Discovery Day"/>
    <s v="Mai valutato"/>
    <m/>
    <s v="202506268705258L"/>
    <n v="2663300001473"/>
    <n v="20250626"/>
    <x v="0"/>
    <m/>
    <x v="3"/>
    <s v="A     - Avere"/>
    <n v="2300"/>
    <n v="0"/>
    <n v="1627249"/>
    <s v="VLLRRT79B57F537Z"/>
    <s v="VALLONE ROBERTA"/>
    <s v="600 - Famiglie consumatrici"/>
    <m/>
    <s v="086 - ITALIA"/>
    <n v="1811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518"/>
    <s v="90"/>
    <s v="Operazioni con paese controparte ad altissimo rischio"/>
    <d v="2025-06-27T00:00:00"/>
    <n v="53850"/>
    <n v="129"/>
    <s v="053850_129"/>
    <s v="Discovery Day"/>
    <s v="Mai valutato"/>
    <m/>
    <s v="202506268706065L"/>
    <n v="1293300002811"/>
    <n v="20250626"/>
    <x v="0"/>
    <m/>
    <x v="0"/>
    <s v="A     - Avere"/>
    <n v="4554.57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512"/>
    <s v="90"/>
    <s v="Operazioni con paese controparte ad altissimo rischio"/>
    <d v="2025-06-27T00:00:00"/>
    <n v="53850"/>
    <n v="193"/>
    <s v="053850_193"/>
    <s v="Discovery Day"/>
    <s v="Mai valutato"/>
    <m/>
    <n v="202506268126823"/>
    <n v="1943300006197"/>
    <n v="20250626"/>
    <x v="0"/>
    <m/>
    <x v="2"/>
    <s v="A     - Avere"/>
    <n v="7985"/>
    <n v="0"/>
    <n v="4859366"/>
    <n v="2744530730"/>
    <s v="LE FERRE S.R.L."/>
    <s v="430 - Imprese produttive"/>
    <s v="463 - COMMERCIO ALL'INGROSSO DI PRODOTTI ALIMENTARI, BEVANDE E PRODOTTI DEL TABACCO"/>
    <s v="086 - ITALIA"/>
    <n v="1361"/>
    <m/>
    <m/>
    <m/>
    <m/>
    <m/>
    <m/>
    <m/>
    <n v="0"/>
    <n v="202506"/>
    <s v="IN VALUTAZIONE RPR"/>
    <x v="1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504"/>
    <s v="90"/>
    <s v="Operazioni con paese controparte ad altissimo rischio"/>
    <d v="2025-06-27T00:00:00"/>
    <n v="53850"/>
    <n v="119"/>
    <s v="053850_119"/>
    <s v="Discovery Day"/>
    <s v="Mai valutato"/>
    <m/>
    <s v="202506248700398L"/>
    <n v="1193305851980"/>
    <n v="20250624"/>
    <x v="0"/>
    <m/>
    <x v="3"/>
    <s v="D     - Dare"/>
    <n v="1137"/>
    <n v="0"/>
    <n v="585198"/>
    <s v="VLPNNA59C69A662H"/>
    <s v="VOLPE ANNA"/>
    <s v="600 - Famiglie consumatrici"/>
    <m/>
    <s v="086 - ITALIA"/>
    <n v="669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499"/>
    <s v="90"/>
    <s v="Operazioni con paese controparte ad altissimo rischio"/>
    <d v="2025-06-26T00:00:00"/>
    <n v="53850"/>
    <n v="131"/>
    <s v="053850_131"/>
    <s v="Discovery Day"/>
    <s v="Mai valutato"/>
    <m/>
    <n v="202506258123930"/>
    <n v="1313300001588"/>
    <n v="20250625"/>
    <x v="0"/>
    <m/>
    <x v="4"/>
    <s v="A     - Avere"/>
    <n v="8900"/>
    <n v="0"/>
    <n v="4121868"/>
    <n v="5913290630"/>
    <s v="C.M.D. COSTRUZIONI MOTORI DIESEL S.P.A."/>
    <s v="430 - Imprese produttive"/>
    <s v="256 - TRATTAMENTO E RIVESTIMENTO DEI METALLI, LAVORI DI MECCANICA GENERALE"/>
    <s v="086 - ITALIA"/>
    <n v="739"/>
    <m/>
    <m/>
    <m/>
    <m/>
    <m/>
    <m/>
    <m/>
    <n v="0"/>
    <n v="202506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97"/>
    <s v="90"/>
    <s v="Operazioni con paese controparte ad altissimo rischio"/>
    <d v="2025-06-26T00:00:00"/>
    <n v="53850"/>
    <n v="118"/>
    <s v="053850_118"/>
    <s v="Discovery Day"/>
    <s v="Mai valutato"/>
    <m/>
    <n v="202506258123751"/>
    <n v="1183306277717"/>
    <n v="20250625"/>
    <x v="0"/>
    <m/>
    <x v="3"/>
    <s v="A     - Avere"/>
    <n v="11882"/>
    <n v="0"/>
    <n v="4237439"/>
    <n v="5982410721"/>
    <s v="LINEA PELLE S.R.L."/>
    <s v="430 - Imprese produttive"/>
    <s v="462 - COMMERCIO ALL'INGROSSO DI MATERIE PRIME AGRICOLE E DI ANIMALI VIVI"/>
    <s v="086 - ITALIA"/>
    <n v="1203"/>
    <m/>
    <m/>
    <m/>
    <m/>
    <m/>
    <m/>
    <m/>
    <n v="0"/>
    <n v="202506"/>
    <s v="IN VALUTAZIONE RPR"/>
    <x v="1"/>
    <n v="1"/>
    <m/>
    <m/>
    <n v="0"/>
    <n v="462"/>
    <n v="430"/>
    <n v="430462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493"/>
    <s v="90"/>
    <s v="Operazioni con paese controparte ad altissimo rischio"/>
    <d v="2025-06-26T00:00:00"/>
    <n v="53850"/>
    <n v="171"/>
    <s v="053850_171"/>
    <s v="Discovery Day"/>
    <s v="Mai valutato"/>
    <m/>
    <s v="202506258686214L"/>
    <n v="1713302217392"/>
    <n v="20250625"/>
    <x v="0"/>
    <m/>
    <x v="3"/>
    <s v="A     - Avere"/>
    <n v="2300"/>
    <n v="0"/>
    <n v="4926340"/>
    <s v="GRFGPP83R23A893N"/>
    <s v="GAROFALO GIUSEPPE"/>
    <s v="615 - Altre famiglie produttrici"/>
    <s v="563 - BAR E ALTRI ESERCIZI SIMILI SENZA CUCINA"/>
    <s v="086 - ITALIA"/>
    <n v="732"/>
    <m/>
    <m/>
    <m/>
    <m/>
    <m/>
    <m/>
    <m/>
    <n v="0"/>
    <n v="202506"/>
    <s v="IN VALUTAZIONE RPR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464"/>
    <s v="90"/>
    <s v="Operazioni con paese controparte ad altissimo rischio"/>
    <d v="2025-06-26T00:00:00"/>
    <n v="53850"/>
    <n v="111"/>
    <s v="053850_111"/>
    <s v="Discovery Day"/>
    <s v="Mai valutato"/>
    <m/>
    <n v="202506248122915"/>
    <n v="1113305626850"/>
    <n v="20250624"/>
    <x v="0"/>
    <m/>
    <x v="0"/>
    <s v="D     - Dare"/>
    <n v="5000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435"/>
    <s v="90"/>
    <s v="Operazioni con paese controparte ad altissimo rischio"/>
    <d v="2025-06-25T00:00:00"/>
    <n v="53850"/>
    <n v="169"/>
    <s v="053850_169"/>
    <s v="Discovery Day"/>
    <s v="Mai valutato"/>
    <m/>
    <n v="202506248121006"/>
    <n v="1693302225120"/>
    <n v="20250624"/>
    <x v="0"/>
    <m/>
    <x v="4"/>
    <s v="A     - Avere"/>
    <n v="7855"/>
    <n v="0"/>
    <n v="4535489"/>
    <s v="DMRNTN63C15L328N"/>
    <s v="DI MARTINO ANTONIO"/>
    <s v="615 - Altre famiglie produttrici"/>
    <s v="467 - COMMERCIO ALL'INGROSSO SPECIALIZZATO DI ALTRI PRODOTTI"/>
    <s v="086 - ITALIA"/>
    <n v="905"/>
    <m/>
    <m/>
    <m/>
    <m/>
    <m/>
    <m/>
    <m/>
    <n v="0"/>
    <n v="202506"/>
    <s v="IN VALUTAZIONE RPR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418"/>
    <s v="90"/>
    <s v="Operazioni con paese controparte ad altissimo rischio"/>
    <d v="2025-06-24T00:00:00"/>
    <n v="53850"/>
    <n v="274"/>
    <s v="053850_274"/>
    <s v="Discovery Day"/>
    <s v="Mai valutato"/>
    <m/>
    <s v="202506238558595L"/>
    <n v="2743300000272"/>
    <n v="20250623"/>
    <x v="0"/>
    <m/>
    <x v="3"/>
    <s v="A     - Avere"/>
    <n v="2739.39"/>
    <n v="0"/>
    <n v="1622875"/>
    <n v="1689300695"/>
    <s v="MANIFATTURE MONACO DOMENICO S.R.L."/>
    <s v="430 - Imprese produttive"/>
    <s v="222 - FABBRICAZIONE DI ARTICOLI IN MATERIE PLASTICHE"/>
    <s v="086 - ITALIA"/>
    <n v="1413"/>
    <m/>
    <m/>
    <m/>
    <m/>
    <m/>
    <m/>
    <m/>
    <n v="0"/>
    <n v="202506"/>
    <s v="ARCHIVIATA DA RPR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409"/>
    <s v="90"/>
    <s v="Operazioni con paese controparte ad altissimo rischio"/>
    <d v="2025-06-24T00:00:00"/>
    <n v="53850"/>
    <n v="192"/>
    <s v="053850_192"/>
    <s v="Discovery Day"/>
    <s v="Mai valutato"/>
    <m/>
    <n v="202506238117145"/>
    <n v="1923300181730"/>
    <n v="20250623"/>
    <x v="0"/>
    <m/>
    <x v="1"/>
    <s v="A     - Avere"/>
    <n v="10930"/>
    <n v="0"/>
    <n v="4728790"/>
    <n v="7892320966"/>
    <s v="VAT ITALIA S.R.L."/>
    <s v="430 - Imprese produttive"/>
    <s v="702 - ATTIVITÀ DI CONSULENZA GESTIONALE"/>
    <s v="086 - ITALIA"/>
    <n v="190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407"/>
    <s v="90"/>
    <s v="Operazioni con paese controparte ad altissimo rischio"/>
    <d v="2025-06-24T00:00:00"/>
    <n v="53850"/>
    <n v="149"/>
    <s v="053850_149"/>
    <s v="Discovery Day"/>
    <s v="Mai valutato"/>
    <m/>
    <n v="202506238117440"/>
    <n v="1493300663564"/>
    <n v="20250623"/>
    <x v="0"/>
    <m/>
    <x v="3"/>
    <s v="A     - Avere"/>
    <n v="16286.5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406"/>
    <s v="90"/>
    <s v="Operazioni con paese controparte ad altissimo rischio"/>
    <d v="2025-06-24T00:00:00"/>
    <n v="53850"/>
    <n v="175"/>
    <s v="053850_175"/>
    <s v="Discovery Day"/>
    <s v="Mai valutato"/>
    <m/>
    <s v="202506238559257L"/>
    <n v="1753302204249"/>
    <n v="20250623"/>
    <x v="0"/>
    <m/>
    <x v="3"/>
    <s v="A     - Avere"/>
    <n v="1000"/>
    <n v="0"/>
    <n v="4971678"/>
    <s v="VZZLNB73R01F052E"/>
    <s v="VIZZIELLO LUCIANO BRUNO"/>
    <s v="614 - Artigiani"/>
    <s v="331 - RIPARAZIONE E MANUTENZIONE DI PRODOTTI IN METALLO, MACCHINE ED APPARECCHIATURE"/>
    <s v="086 - ITALIA"/>
    <n v="1093"/>
    <m/>
    <m/>
    <m/>
    <m/>
    <m/>
    <m/>
    <m/>
    <n v="0"/>
    <n v="202506"/>
    <s v="IN VALUTAZIONE RPR"/>
    <x v="1"/>
    <n v="1"/>
    <m/>
    <m/>
    <n v="0"/>
    <n v="999"/>
    <n v="614"/>
    <n v="614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95"/>
    <s v="90"/>
    <s v="Operazioni con paese controparte ad altissimo rischio"/>
    <d v="2025-06-24T00:00:00"/>
    <n v="53850"/>
    <n v="111"/>
    <s v="053850_111"/>
    <s v="Discovery Day"/>
    <s v="Mai valutato"/>
    <m/>
    <s v="202506238546057L"/>
    <n v="1113302815423"/>
    <n v="20250623"/>
    <x v="0"/>
    <m/>
    <x v="0"/>
    <s v="D     - Dare"/>
    <n v="2150"/>
    <n v="0"/>
    <n v="4943888"/>
    <s v="BRJNCL95S01F052R"/>
    <s v="BRAJKO NICOLA"/>
    <s v="600 - Famiglie consumatrici"/>
    <m/>
    <s v="086 - ITALIA"/>
    <n v="5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82"/>
    <s v="90"/>
    <s v="Operazioni con paese controparte ad altissimo rischio"/>
    <d v="2025-06-24T00:00:00"/>
    <n v="53850"/>
    <n v="261"/>
    <s v="053850_261"/>
    <s v="Discovery Day"/>
    <s v="Mai valutato"/>
    <m/>
    <s v="202506238546200L"/>
    <n v="2613300010205"/>
    <n v="20250623"/>
    <x v="0"/>
    <m/>
    <x v="3"/>
    <s v="D     - Dare"/>
    <n v="1130"/>
    <n v="0"/>
    <n v="4991786"/>
    <n v="993400944"/>
    <s v="OVERLAND TARTUFI SRL"/>
    <s v="430 - Imprese produttive"/>
    <s v="103 - LAVORAZIONE E CONSERVAZIONE DI FRUTTA E ORTAGGI"/>
    <s v="086 - ITALIA"/>
    <n v="1782"/>
    <m/>
    <m/>
    <m/>
    <m/>
    <m/>
    <m/>
    <m/>
    <n v="0"/>
    <n v="202506"/>
    <s v="ARCHIVIATA"/>
    <x v="0"/>
    <n v="1"/>
    <n v="4991786"/>
    <n v="1"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70"/>
    <s v="90"/>
    <s v="Operazioni con paese controparte ad altissimo rischio"/>
    <d v="2025-06-24T00:00:00"/>
    <n v="53850"/>
    <n v="168"/>
    <s v="053850_168"/>
    <s v="Discovery Day"/>
    <s v="Mai valutato"/>
    <m/>
    <s v="202506238546327L"/>
    <n v="1683306277308"/>
    <n v="20250623"/>
    <x v="0"/>
    <m/>
    <x v="3"/>
    <s v="D     - Dare"/>
    <n v="3950"/>
    <n v="0"/>
    <n v="4950606"/>
    <n v="7856760728"/>
    <s v="TRANSPORT 68 SOCIETA' A RESPONSABILITA' LIMI"/>
    <s v="430 - Imprese produttive"/>
    <s v="494 - TRASPORTO DI MERCI SU STRADA E SERVIZI DI TRASLOCO"/>
    <s v="086 - ITALIA"/>
    <n v="192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367"/>
    <s v="90"/>
    <s v="Operazioni con paese controparte ad altissimo rischio"/>
    <d v="2025-06-24T00:00:00"/>
    <n v="53850"/>
    <n v="187"/>
    <s v="053850_187"/>
    <s v="Discovery Day"/>
    <s v="Mai valutato"/>
    <m/>
    <s v="202506238554441L"/>
    <n v="1873300102696"/>
    <n v="20250623"/>
    <x v="0"/>
    <m/>
    <x v="3"/>
    <s v="A     - Avere"/>
    <n v="1667.31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6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341"/>
    <s v="90"/>
    <s v="Operazioni con paese controparte ad altissimo rischio"/>
    <d v="2025-06-21T00:00:00"/>
    <n v="53850"/>
    <n v="104"/>
    <s v="053850_104"/>
    <s v="Discovery Day"/>
    <s v="Mai valutato"/>
    <m/>
    <s v="202506208497555L"/>
    <n v="1043301449295"/>
    <n v="20250620"/>
    <x v="0"/>
    <m/>
    <x v="3"/>
    <s v="A     - Avere"/>
    <n v="2399.31"/>
    <n v="0"/>
    <n v="4627975"/>
    <n v="7107300720"/>
    <s v="LEONE S.R.L."/>
    <s v="430 - Imprese produttive"/>
    <s v="452 - MANUTENZIONE E RIPARAZIONE DI AUTOVEICOLI"/>
    <s v="086 - ITALIA"/>
    <n v="72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322"/>
    <s v="90"/>
    <s v="Operazioni con paese controparte ad altissimo rischio"/>
    <d v="2025-06-21T00:00:00"/>
    <n v="53850"/>
    <n v="103"/>
    <s v="053850_103"/>
    <s v="Discovery Day"/>
    <s v="Mai valutato"/>
    <m/>
    <n v="202506208086850"/>
    <n v="1033302886146"/>
    <n v="20250620"/>
    <x v="0"/>
    <m/>
    <x v="3"/>
    <s v="D     - Dare"/>
    <n v="11259.38"/>
    <n v="0"/>
    <n v="4503362"/>
    <n v="6800040724"/>
    <s v="AUTOTRASPORTI F.LLI LOMBARDI DI LOMBARDI VIN"/>
    <s v="482 - Quasi societa' non finanziarie artigiane - Unita' o societa' con meno di 20 addetti"/>
    <s v="494 - TRASPORTO DI MERCI SU STRADA E SERVIZI DI TRASLOCO"/>
    <s v="086 - ITALIA"/>
    <n v="1912"/>
    <m/>
    <m/>
    <m/>
    <m/>
    <m/>
    <m/>
    <m/>
    <n v="0"/>
    <n v="202506"/>
    <s v="IN VALUTAZIONE RPR"/>
    <x v="1"/>
    <n v="1"/>
    <m/>
    <m/>
    <n v="0"/>
    <n v="999"/>
    <n v="482"/>
    <n v="48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308"/>
    <s v="90"/>
    <s v="Operazioni con paese controparte ad altissimo rischio"/>
    <d v="2025-06-21T00:00:00"/>
    <n v="53850"/>
    <n v="104"/>
    <s v="053850_104"/>
    <s v="Discovery Day"/>
    <s v="Mai valutato"/>
    <m/>
    <n v="202506198086477"/>
    <n v="1043309503913"/>
    <n v="20250619"/>
    <x v="0"/>
    <m/>
    <x v="1"/>
    <s v="D     - Dare"/>
    <n v="9173.81"/>
    <n v="0"/>
    <n v="424944"/>
    <n v="3454860721"/>
    <s v="CO.BE.CA. S.R.L."/>
    <s v="430 - Imprese produttive"/>
    <s v="463 - COMMERCIO ALL'INGROSSO DI PRODOTTI ALIMENTARI, BEVANDE E PRODOTTI DEL TABACCO"/>
    <s v="086 - ITALIA"/>
    <n v="1696"/>
    <m/>
    <m/>
    <m/>
    <m/>
    <m/>
    <m/>
    <m/>
    <n v="0"/>
    <n v="202506"/>
    <s v="IN VALUTAZIONE RPR"/>
    <x v="1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304"/>
    <s v="90"/>
    <s v="Operazioni con paese controparte ad altissimo rischio"/>
    <d v="2025-06-20T00:00:00"/>
    <n v="53850"/>
    <n v="116"/>
    <s v="053850_116"/>
    <s v="Discovery Day"/>
    <s v="Mai valutato"/>
    <m/>
    <n v="202506198085278"/>
    <n v="1163307620827"/>
    <n v="20250619"/>
    <x v="0"/>
    <m/>
    <x v="4"/>
    <s v="D     - Dare"/>
    <n v="25668.65"/>
    <n v="0"/>
    <n v="4871871"/>
    <n v="2516140726"/>
    <s v="FREZZA LEGNAMI S.P.A."/>
    <s v="430 - Imprese produttive"/>
    <s v="467 - COMMERCIO ALL'INGROSSO SPECIALIZZATO DI ALTRI PRODOTTI"/>
    <s v="086 - ITALIA"/>
    <n v="1903"/>
    <m/>
    <m/>
    <m/>
    <m/>
    <m/>
    <m/>
    <m/>
    <n v="0"/>
    <n v="202506"/>
    <s v="IN CARICO AL RESPONSABILE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301"/>
    <s v="90"/>
    <s v="Operazioni con paese controparte ad altissimo rischio"/>
    <d v="2025-06-20T00:00:00"/>
    <n v="53850"/>
    <n v="109"/>
    <s v="053850_109"/>
    <s v="Discovery Day"/>
    <s v="Mai valutato"/>
    <m/>
    <n v="202506198085264"/>
    <n v="1093306675116"/>
    <n v="20250619"/>
    <x v="0"/>
    <m/>
    <x v="4"/>
    <s v="A     - Avere"/>
    <n v="7800"/>
    <n v="0"/>
    <n v="4889439"/>
    <s v="LBRGDU73A02A662U"/>
    <s v="LABRIOLA GUIDO"/>
    <s v="600 - Famiglie consumatrici"/>
    <m/>
    <s v="086 - ITALIA"/>
    <n v="507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60280"/>
    <s v="90"/>
    <s v="Operazioni con paese controparte ad altissimo rischio"/>
    <d v="2025-06-20T00:00:00"/>
    <n v="53850"/>
    <n v="134"/>
    <s v="053850_134"/>
    <s v="Discovery Day"/>
    <s v="Mai valutato"/>
    <m/>
    <s v="202506198457957L"/>
    <n v="1303300000237"/>
    <n v="20250619"/>
    <x v="0"/>
    <m/>
    <x v="3"/>
    <s v="A     - Avere"/>
    <n v="4000"/>
    <n v="0"/>
    <n v="4005541"/>
    <s v="LMTPTR64P07A612G"/>
    <s v="LOMUTO PIETRO"/>
    <s v="600 - Famiglie consumatrici"/>
    <m/>
    <s v="086 - ITALIA"/>
    <n v="1659"/>
    <m/>
    <m/>
    <m/>
    <m/>
    <m/>
    <m/>
    <m/>
    <n v="0"/>
    <n v="202506"/>
    <s v="IN CARICO AL GESTOR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258"/>
    <s v="90"/>
    <s v="Operazioni con paese controparte ad altissimo rischio"/>
    <d v="2025-06-19T00:00:00"/>
    <n v="53850"/>
    <n v="102"/>
    <s v="053850_102"/>
    <s v="Discovery Day"/>
    <s v="Mai valutato"/>
    <m/>
    <n v="202506188082025"/>
    <n v="2583300001294"/>
    <n v="20250618"/>
    <x v="0"/>
    <m/>
    <x v="11"/>
    <s v="A     - Avere"/>
    <n v="28511.85"/>
    <n v="0"/>
    <n v="4923983"/>
    <n v="8254330726"/>
    <s v="FDESIGN ITALIA SOCIETA' A RESPONSABILITA' LI"/>
    <s v="430 - Imprese produttive"/>
    <s v="310 - FABBRICAZIONE DI MOBILI"/>
    <s v="086 - ITALIA"/>
    <n v="194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256"/>
    <s v="90"/>
    <s v="Operazioni con paese controparte ad altissimo rischio"/>
    <d v="2025-06-19T00:00:00"/>
    <n v="53850"/>
    <n v="270"/>
    <s v="053850_270"/>
    <s v="Discovery Day"/>
    <s v="Mai valutato"/>
    <m/>
    <s v="202506188421928L"/>
    <n v="2703300010699"/>
    <n v="20250618"/>
    <x v="0"/>
    <m/>
    <x v="3"/>
    <s v="D     - Dare"/>
    <n v="4000"/>
    <n v="0"/>
    <n v="3728961"/>
    <s v="LVTNLY65L50Z104O"/>
    <s v="ILIEVA ITSKOVA ANELIYA"/>
    <s v="600 - Famiglie consumatrici"/>
    <m/>
    <s v="086 - ITALIA"/>
    <n v="1809"/>
    <m/>
    <m/>
    <m/>
    <m/>
    <m/>
    <m/>
    <m/>
    <n v="0"/>
    <n v="202506"/>
    <s v="IN CARICO AL GESTOR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254"/>
    <s v="90"/>
    <s v="Operazioni con paese controparte ad altissimo rischio"/>
    <d v="2025-06-19T00:00:00"/>
    <n v="53850"/>
    <n v="129"/>
    <s v="053850_129"/>
    <s v="Discovery Day"/>
    <s v="Mai valutato"/>
    <m/>
    <n v="202506188081995"/>
    <n v="1293300002811"/>
    <n v="20250618"/>
    <x v="0"/>
    <m/>
    <x v="0"/>
    <s v="A     - Avere"/>
    <n v="39222.199999999997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</r>
  <r>
    <n v="360251"/>
    <s v="90"/>
    <s v="Operazioni con paese controparte ad altissimo rischio"/>
    <d v="2025-06-19T00:00:00"/>
    <n v="53850"/>
    <n v="271"/>
    <s v="053850_271"/>
    <s v="Discovery Day"/>
    <s v="Mai valutato"/>
    <m/>
    <n v="202506188082049"/>
    <n v="2713300010112"/>
    <n v="20250618"/>
    <x v="0"/>
    <m/>
    <x v="4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6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60235"/>
    <s v="90"/>
    <s v="Operazioni con paese controparte ad altissimo rischio"/>
    <d v="2025-06-18T00:00:00"/>
    <n v="53850"/>
    <n v="148"/>
    <s v="053850_148"/>
    <s v="Discovery Day"/>
    <s v="Mai valutato"/>
    <m/>
    <s v="202506178347291L"/>
    <n v="1483300003580"/>
    <n v="20250617"/>
    <x v="0"/>
    <m/>
    <x v="0"/>
    <s v="A     - Avere"/>
    <n v="1500"/>
    <n v="0"/>
    <n v="4771374"/>
    <s v="KRZJSP84S29Z149E"/>
    <s v="KRIZANIC JOSIP"/>
    <s v="600 - Famiglie consumatrici"/>
    <m/>
    <s v="086 - ITALIA"/>
    <n v="1064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32"/>
    <s v="90"/>
    <s v="Operazioni con paese controparte ad altissimo rischio"/>
    <d v="2025-06-18T00:00:00"/>
    <n v="53850"/>
    <n v="187"/>
    <s v="053850_187"/>
    <s v="Discovery Day"/>
    <s v="Mai valutato"/>
    <m/>
    <n v="202506178078563"/>
    <n v="1873300102696"/>
    <n v="20250617"/>
    <x v="0"/>
    <m/>
    <x v="3"/>
    <s v="A     - Avere"/>
    <n v="5492.42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6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</r>
  <r>
    <n v="360231"/>
    <s v="90"/>
    <s v="Operazioni con paese controparte ad altissimo rischio"/>
    <d v="2025-06-18T00:00:00"/>
    <n v="53850"/>
    <n v="114"/>
    <s v="053850_114"/>
    <s v="Discovery Day"/>
    <s v="Mai valutato"/>
    <m/>
    <s v="202506178346673L"/>
    <n v="1143300001238"/>
    <n v="20250617"/>
    <x v="0"/>
    <m/>
    <x v="3"/>
    <s v="A     - Avere"/>
    <n v="4000"/>
    <n v="0"/>
    <n v="4747564"/>
    <s v="BSSNTN69L21F104K"/>
    <s v="BASSO ANTONIO"/>
    <s v="600 - Famiglie consumatrici"/>
    <m/>
    <s v="086 - ITALIA"/>
    <n v="804"/>
    <m/>
    <m/>
    <m/>
    <m/>
    <m/>
    <m/>
    <m/>
    <n v="0"/>
    <n v="202506"/>
    <s v="ARCHIVIATA DA RPR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225"/>
    <s v="90"/>
    <s v="Operazioni con paese controparte ad altissimo rischio"/>
    <d v="2025-06-18T00:00:00"/>
    <n v="53850"/>
    <n v="187"/>
    <s v="053850_187"/>
    <s v="Discovery Day"/>
    <s v="Mai valutato"/>
    <m/>
    <s v="202506178347002L"/>
    <n v="1873300102696"/>
    <n v="20250617"/>
    <x v="0"/>
    <m/>
    <x v="3"/>
    <s v="A     - Avere"/>
    <n v="3651.1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6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222"/>
    <s v="90"/>
    <s v="Operazioni con paese controparte ad altissimo rischio"/>
    <d v="2025-06-18T00:00:00"/>
    <n v="53850"/>
    <n v="147"/>
    <s v="053850_147"/>
    <s v="Discovery Day"/>
    <s v="Mai valutato"/>
    <m/>
    <s v="202506178351482L"/>
    <n v="1473300005217"/>
    <n v="20250617"/>
    <x v="0"/>
    <m/>
    <x v="3"/>
    <s v="D     - Dare"/>
    <n v="1770"/>
    <n v="0"/>
    <n v="3724704"/>
    <n v="4306130610"/>
    <s v="SABATINO SRL"/>
    <s v="430 - Imprese produttive"/>
    <s v="494 - TRASPORTO DI MERCI SU STRADA E SERVIZI DI TRASLOCO"/>
    <s v="086 - ITALIA"/>
    <n v="119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219"/>
    <s v="90"/>
    <s v="Operazioni con paese controparte ad altissimo rischio"/>
    <d v="2025-06-18T00:00:00"/>
    <n v="53850"/>
    <n v="176"/>
    <s v="053850_176"/>
    <s v="Discovery Day"/>
    <s v="Mai valutato"/>
    <m/>
    <s v="202506178346406L"/>
    <n v="1763300019661"/>
    <n v="20250617"/>
    <x v="0"/>
    <m/>
    <x v="1"/>
    <s v="A     - Avere"/>
    <n v="4000"/>
    <n v="0"/>
    <n v="4875036"/>
    <n v="1291610770"/>
    <s v="ID SUPERLATIVE DI CARMEN INCARNATO E DOMENICO DONADIO S.N.C."/>
    <s v="492 - Quasi societa' non finanziarie altre - Unita' o societa' con meno di 20 addetti"/>
    <s v="742 - ATTIVITÀ FOTOGRAFICHE"/>
    <s v="086 - ITALIA"/>
    <n v="440"/>
    <m/>
    <m/>
    <m/>
    <m/>
    <m/>
    <m/>
    <m/>
    <n v="0"/>
    <n v="202506"/>
    <s v="IN VALUTAZIONE RPR"/>
    <x v="1"/>
    <n v="1"/>
    <m/>
    <m/>
    <n v="0"/>
    <n v="999"/>
    <n v="492"/>
    <n v="49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204"/>
    <s v="90"/>
    <s v="Operazioni con paese controparte ad altissimo rischio"/>
    <d v="2025-06-18T00:00:00"/>
    <n v="53850"/>
    <n v="129"/>
    <s v="053850_129"/>
    <s v="Discovery Day"/>
    <s v="Mai valutato"/>
    <m/>
    <s v="202506178348245L"/>
    <n v="1293300002811"/>
    <n v="20250617"/>
    <x v="0"/>
    <m/>
    <x v="0"/>
    <s v="A     - Avere"/>
    <n v="1489.94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64"/>
    <s v="90"/>
    <s v="Operazioni con paese controparte ad altissimo rischio"/>
    <d v="2025-06-18T00:00:00"/>
    <n v="53850"/>
    <n v="149"/>
    <s v="053850_149"/>
    <s v="Discovery Day"/>
    <s v="Mai valutato"/>
    <m/>
    <n v="202506168073240"/>
    <n v="1493300663564"/>
    <n v="20250616"/>
    <x v="0"/>
    <m/>
    <x v="3"/>
    <s v="A     - Avere"/>
    <n v="11200"/>
    <n v="0"/>
    <n v="4851736"/>
    <n v="8243781211"/>
    <s v="VITTORIA CAPPELLI SOCIETA' A RESPONSABILITA'"/>
    <s v="430 - Imprese produttive"/>
    <s v="791 - ATTIVITÀ DELLE AGENZIE DI VIAGGIO E DEI TOUR OPERATOR"/>
    <s v="086 - ITALIA"/>
    <n v="12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</r>
  <r>
    <n v="360157"/>
    <s v="90"/>
    <s v="Operazioni con paese controparte ad altissimo rischio"/>
    <d v="2025-06-18T00:00:00"/>
    <n v="53850"/>
    <n v="164"/>
    <s v="053850_164"/>
    <s v="Discovery Day"/>
    <s v="Mai valutato"/>
    <m/>
    <n v="202506168072667"/>
    <n v="1643300370785"/>
    <n v="20250616"/>
    <x v="0"/>
    <m/>
    <x v="3"/>
    <s v="D     - Dare"/>
    <n v="12685.04"/>
    <n v="0"/>
    <n v="3732249"/>
    <n v="4127610717"/>
    <s v="SOCIETA' AGRICOLA GREEN ALMOND S.R.L."/>
    <s v="430 - Imprese produttive"/>
    <s v="011 - COLTIVAZIONE DI COLTURE AGRICOLE NON PERMANENTI"/>
    <s v="086 - ITALIA"/>
    <n v="677"/>
    <m/>
    <m/>
    <m/>
    <m/>
    <m/>
    <m/>
    <m/>
    <n v="0"/>
    <n v="202506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</r>
  <r>
    <n v="360152"/>
    <s v="90"/>
    <s v="Operazioni con paese controparte ad altissimo rischio"/>
    <d v="2025-06-18T00:00:00"/>
    <n v="53850"/>
    <n v="141"/>
    <s v="053850_141"/>
    <s v="Discovery Day"/>
    <s v="Mai valutato"/>
    <m/>
    <n v="202506138072430"/>
    <n v="1413300004416"/>
    <n v="20250613"/>
    <x v="0"/>
    <m/>
    <x v="1"/>
    <s v="D     - Dare"/>
    <n v="27973.52"/>
    <n v="0"/>
    <n v="3731116"/>
    <n v="4522200759"/>
    <s v="LEVEL PROJECT S.R.L."/>
    <s v="430 - Imprese produttive"/>
    <s v="433 - COMPLETAMENTO E FINITURA DI EDIFICI"/>
    <s v="086 - ITALIA"/>
    <n v="1627"/>
    <m/>
    <m/>
    <m/>
    <m/>
    <m/>
    <m/>
    <m/>
    <n v="0"/>
    <n v="202506"/>
    <s v="IN VALUTAZIONE RPR"/>
    <x v="1"/>
    <n v="1"/>
    <m/>
    <m/>
    <n v="0"/>
    <n v="433"/>
    <n v="430"/>
    <n v="43043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60151"/>
    <s v="90"/>
    <s v="Operazioni con paese controparte ad altissimo rischio"/>
    <d v="2025-06-17T00:00:00"/>
    <n v="53850"/>
    <n v="168"/>
    <s v="053850_168"/>
    <s v="Discovery Day"/>
    <s v="Mai valutato"/>
    <m/>
    <s v="202506168268029L"/>
    <n v="1683306277308"/>
    <n v="20250616"/>
    <x v="0"/>
    <m/>
    <x v="3"/>
    <s v="D     - Dare"/>
    <n v="2150"/>
    <n v="0"/>
    <n v="4950606"/>
    <n v="7856760728"/>
    <s v="TRANSPORT 68 SOCIETA' A RESPONSABILITA' LIMI"/>
    <s v="430 - Imprese produttive"/>
    <s v="494 - TRASPORTO DI MERCI SU STRADA E SERVIZI DI TRASLOCO"/>
    <s v="086 - ITALIA"/>
    <n v="192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60150"/>
    <s v="90"/>
    <s v="Operazioni con paese controparte ad altissimo rischio"/>
    <d v="2025-06-17T00:00:00"/>
    <n v="53850"/>
    <n v="270"/>
    <s v="053850_270"/>
    <s v="Discovery Day"/>
    <s v="Mai valutato"/>
    <m/>
    <s v="202506168271245L"/>
    <n v="2703300010699"/>
    <n v="20250616"/>
    <x v="0"/>
    <m/>
    <x v="3"/>
    <s v="D     - Dare"/>
    <n v="4000"/>
    <n v="0"/>
    <n v="3728961"/>
    <s v="LVTNLY65L50Z104O"/>
    <s v="ILIEVA ITSKOVA ANELIYA"/>
    <s v="600 - Famiglie consumatrici"/>
    <m/>
    <s v="086 - ITALIA"/>
    <n v="1809"/>
    <m/>
    <m/>
    <m/>
    <m/>
    <m/>
    <m/>
    <m/>
    <n v="0"/>
    <n v="202506"/>
    <s v="IN CARICO AL GESTOR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60149"/>
    <s v="90"/>
    <s v="Operazioni con paese controparte ad altissimo rischio"/>
    <d v="2025-06-17T00:00:00"/>
    <n v="53850"/>
    <n v="119"/>
    <s v="053850_119"/>
    <s v="Discovery Day"/>
    <s v="Mai valutato"/>
    <m/>
    <s v="202506168274852L"/>
    <n v="1193308875001"/>
    <n v="20250616"/>
    <x v="0"/>
    <m/>
    <x v="3"/>
    <s v="A     - Avere"/>
    <n v="2800"/>
    <n v="0"/>
    <n v="4926288"/>
    <s v="DLLLRT95P14A662V"/>
    <s v="DELLINO ALBERTO"/>
    <s v="615 - Altre famiglie produttrici"/>
    <s v="331 - RIPARAZIONE E MANUTENZIONE DI PRODOTTI IN METALLO, MACCHINE ED APPARECCHIATURE"/>
    <s v="086 - ITALIA"/>
    <n v="656"/>
    <m/>
    <m/>
    <m/>
    <m/>
    <m/>
    <m/>
    <m/>
    <n v="0"/>
    <n v="202506"/>
    <s v="IN VALUTAZIONE RPR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n v="360148"/>
    <s v="90"/>
    <s v="Operazioni con paese controparte ad altissimo rischio"/>
    <d v="2025-06-17T00:00:00"/>
    <n v="53850"/>
    <n v="187"/>
    <s v="053850_187"/>
    <s v="Discovery Day"/>
    <s v="Mai valutato"/>
    <m/>
    <s v="202506168274343L"/>
    <n v="1873300102696"/>
    <n v="20250616"/>
    <x v="0"/>
    <m/>
    <x v="3"/>
    <s v="A     - Avere"/>
    <n v="1386.68"/>
    <n v="0"/>
    <n v="4000559"/>
    <n v="2099160737"/>
    <s v="SUPERCENTRO S.P.A."/>
    <s v="430 - Imprese produttive"/>
    <s v="463 - COMMERCIO ALL'INGROSSO DI PRODOTTI ALIMENTARI, BEVANDE E PRODOTTI DEL TABACCO"/>
    <s v="086 - ITALIA"/>
    <n v="1627"/>
    <m/>
    <m/>
    <m/>
    <m/>
    <m/>
    <m/>
    <m/>
    <n v="0"/>
    <n v="202506"/>
    <s v="ARCHIVIATA"/>
    <x v="0"/>
    <n v="1"/>
    <m/>
    <m/>
    <n v="0"/>
    <n v="463"/>
    <n v="430"/>
    <n v="43046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0147"/>
    <s v="90"/>
    <s v="Operazioni con paese controparte ad altissimo rischio"/>
    <d v="2025-06-17T00:00:00"/>
    <n v="53850"/>
    <n v="261"/>
    <s v="053850_261"/>
    <s v="Discovery Day"/>
    <s v="Mai valutato"/>
    <m/>
    <s v="202506168270100L"/>
    <n v="2613300001265"/>
    <n v="20250616"/>
    <x v="0"/>
    <m/>
    <x v="1"/>
    <s v="A     - Avere"/>
    <n v="3500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60146"/>
    <s v="90"/>
    <s v="Operazioni con paese controparte ad altissimo rischio"/>
    <d v="2025-06-17T00:00:00"/>
    <n v="53850"/>
    <n v="167"/>
    <s v="053850_167"/>
    <s v="Discovery Day"/>
    <s v="Mai valutato"/>
    <m/>
    <s v="202506168272167L"/>
    <n v="1673301672632"/>
    <n v="20250616"/>
    <x v="0"/>
    <m/>
    <x v="1"/>
    <s v="A     - Avere"/>
    <n v="4500"/>
    <n v="0"/>
    <n v="4662729"/>
    <n v="7212610724"/>
    <s v="EUROSUD CATALDI SOCIETA' A RESPONSABILITA' L"/>
    <s v="430 - Imprese produttive"/>
    <s v="439 - ALTRI LAVORI SPECIALIZZATI DI COSTRUZIONE"/>
    <s v="086 - ITALIA"/>
    <n v="1175"/>
    <m/>
    <m/>
    <m/>
    <m/>
    <m/>
    <m/>
    <m/>
    <n v="0"/>
    <n v="202506"/>
    <s v="IN VALUTAZIONE RPR"/>
    <x v="1"/>
    <n v="1"/>
    <m/>
    <m/>
    <n v="0"/>
    <n v="439"/>
    <n v="430"/>
    <n v="430439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972"/>
    <s v="90"/>
    <s v="Operazioni con paese controparte ad altissimo rischio"/>
    <d v="2025-06-14T00:00:00"/>
    <n v="53850"/>
    <n v="120"/>
    <s v="053850_120"/>
    <s v="Discovery Day"/>
    <s v="Mai valutato"/>
    <m/>
    <s v="202506138218303L"/>
    <n v="1203300002401"/>
    <n v="20250613"/>
    <x v="0"/>
    <m/>
    <x v="8"/>
    <s v="A     - Avere"/>
    <n v="3967"/>
    <n v="0"/>
    <n v="613876"/>
    <n v="574290722"/>
    <s v="OSPEDALE GENERALE REGIONALE - MIULLI -"/>
    <s v="500 - Istituzioni ed enti ecclesiastici e religiosi"/>
    <s v="861 - SERVIZI OSPEDALIERI"/>
    <s v="086 - ITALIA"/>
    <n v="1058"/>
    <m/>
    <m/>
    <m/>
    <m/>
    <m/>
    <m/>
    <m/>
    <n v="0"/>
    <n v="202506"/>
    <s v="IN CARICO AL GESTORE"/>
    <x v="1"/>
    <n v="1"/>
    <n v="613876"/>
    <n v="1"/>
    <n v="0"/>
    <n v="999"/>
    <n v="500"/>
    <n v="500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954"/>
    <s v="90"/>
    <s v="Operazioni con paese controparte ad altissimo rischio"/>
    <d v="2025-06-14T00:00:00"/>
    <n v="53850"/>
    <n v="270"/>
    <s v="053850_270"/>
    <s v="Discovery Day"/>
    <s v="Mai valutato"/>
    <m/>
    <n v="202506138067072"/>
    <n v="2703300001237"/>
    <n v="20250613"/>
    <x v="0"/>
    <m/>
    <x v="3"/>
    <s v="A     - Avere"/>
    <n v="6000"/>
    <n v="0"/>
    <n v="1634558"/>
    <n v="2513350690"/>
    <s v="CIVITARESE AUTO S.R.L.S."/>
    <s v="430 - Imprese produttive"/>
    <s v="451 - COMMERCIO DI AUTOVEICOLI"/>
    <s v="086 - ITALIA"/>
    <n v="1935"/>
    <m/>
    <m/>
    <m/>
    <m/>
    <m/>
    <m/>
    <m/>
    <n v="0"/>
    <n v="202506"/>
    <s v="IN CARICO AL GESTORE"/>
    <x v="1"/>
    <n v="1"/>
    <m/>
    <m/>
    <n v="0"/>
    <n v="451"/>
    <n v="430"/>
    <n v="430451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52"/>
    <s v="90"/>
    <s v="Operazioni con paese controparte ad altissimo rischio"/>
    <d v="2025-06-13T00:00:00"/>
    <n v="53850"/>
    <n v="129"/>
    <s v="053850_129"/>
    <s v="Discovery Day"/>
    <s v="Mai valutato"/>
    <m/>
    <n v="202506128063913"/>
    <n v="1293300002811"/>
    <n v="20250612"/>
    <x v="0"/>
    <m/>
    <x v="0"/>
    <s v="A     - Avere"/>
    <n v="21192.92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951"/>
    <s v="90"/>
    <s v="Operazioni con paese controparte ad altissimo rischio"/>
    <d v="2025-06-13T00:00:00"/>
    <n v="53850"/>
    <n v="273"/>
    <s v="053850_273"/>
    <s v="Discovery Day"/>
    <s v="Mai valutato"/>
    <m/>
    <n v="202506128062656"/>
    <n v="2733300011179"/>
    <n v="20250612"/>
    <x v="0"/>
    <m/>
    <x v="3"/>
    <s v="D     - Dare"/>
    <n v="25000"/>
    <n v="0"/>
    <n v="4973829"/>
    <n v="11952460969"/>
    <s v="NEXT -EG SRL"/>
    <s v="430 - Imprese produttive"/>
    <s v="284 - FABBRICAZIONE DI MACCHINE PER LA FORMATURA DEI METALLI E DI ALTRE MACCHINE UTENSILI"/>
    <s v="086 - ITALIA"/>
    <n v="1805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947"/>
    <s v="90"/>
    <s v="Operazioni con paese controparte ad altissimo rischio"/>
    <d v="2025-06-13T00:00:00"/>
    <n v="53850"/>
    <n v="271"/>
    <s v="053850_271"/>
    <s v="Discovery Day"/>
    <s v="Mai valutato"/>
    <m/>
    <n v="202506128064052"/>
    <n v="2713300010112"/>
    <n v="20250612"/>
    <x v="0"/>
    <m/>
    <x v="4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6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945"/>
    <s v="90"/>
    <s v="Operazioni con paese controparte ad altissimo rischio"/>
    <d v="2025-06-13T00:00:00"/>
    <n v="53850"/>
    <n v="168"/>
    <s v="053850_168"/>
    <s v="Discovery Day"/>
    <s v="Mai valutato"/>
    <m/>
    <s v="202506128145634L"/>
    <n v="1683306274557"/>
    <n v="20250612"/>
    <x v="0"/>
    <m/>
    <x v="3"/>
    <s v="D     - Dare"/>
    <n v="1450"/>
    <n v="0"/>
    <n v="4091384"/>
    <n v="5530850725"/>
    <s v="CARONE GIACOMA S.R.L."/>
    <s v="430 - Imprese produttive"/>
    <s v="494 - TRASPORTO DI MERCI SU STRADA E SERVIZI DI TRASLOCO"/>
    <s v="086 - ITALIA"/>
    <n v="192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36"/>
    <s v="90"/>
    <s v="Operazioni con paese controparte ad altissimo rischio"/>
    <d v="2025-06-13T00:00:00"/>
    <n v="53850"/>
    <n v="273"/>
    <s v="053850_273"/>
    <s v="Discovery Day"/>
    <s v="Mai valutato"/>
    <m/>
    <n v="202506128062655"/>
    <n v="2733300011179"/>
    <n v="20250612"/>
    <x v="0"/>
    <m/>
    <x v="3"/>
    <s v="D     - Dare"/>
    <n v="20000"/>
    <n v="0"/>
    <n v="4973829"/>
    <n v="11952460969"/>
    <s v="NEXT -EG SRL"/>
    <s v="430 - Imprese produttive"/>
    <s v="284 - FABBRICAZIONE DI MACCHINE PER LA FORMATURA DEI METALLI E DI ALTRE MACCHINE UTENSILI"/>
    <s v="086 - ITALIA"/>
    <n v="1805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933"/>
    <s v="90"/>
    <s v="Operazioni con paese controparte ad altissimo rischio"/>
    <d v="2025-06-13T00:00:00"/>
    <n v="53850"/>
    <n v="103"/>
    <s v="053850_103"/>
    <s v="Discovery Day"/>
    <s v="Mai valutato"/>
    <m/>
    <s v="202506128150298L"/>
    <n v="1033301641631"/>
    <n v="20250612"/>
    <x v="0"/>
    <m/>
    <x v="3"/>
    <s v="A     - Avere"/>
    <n v="1455.42"/>
    <n v="0"/>
    <n v="164163"/>
    <n v="3485840726"/>
    <s v="R.A.I. RICAMBI SRL"/>
    <s v="430 - Imprese produttive"/>
    <s v="453 - COMMERCIO DI PARTI E ACCESSORI DI AUTOVEICOLI"/>
    <s v="086 - ITALIA"/>
    <n v="1274"/>
    <m/>
    <m/>
    <m/>
    <m/>
    <m/>
    <m/>
    <m/>
    <n v="0"/>
    <n v="202506"/>
    <s v="IN VALUTAZIONE RPR"/>
    <x v="1"/>
    <n v="1"/>
    <m/>
    <m/>
    <n v="0"/>
    <n v="453"/>
    <n v="430"/>
    <n v="430453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931"/>
    <s v="90"/>
    <s v="Operazioni con paese controparte ad altissimo rischio"/>
    <d v="2025-06-13T00:00:00"/>
    <n v="53850"/>
    <n v="226"/>
    <s v="053850_226"/>
    <s v="Discovery Day"/>
    <s v="Mai valutato"/>
    <m/>
    <n v="202506128062263"/>
    <n v="2263300011983"/>
    <n v="20250612"/>
    <x v="0"/>
    <m/>
    <x v="0"/>
    <s v="D     - Dare"/>
    <n v="27910.38"/>
    <n v="0"/>
    <n v="4877514"/>
    <n v="1149290726"/>
    <s v="MEGAHOLDING S.R.L."/>
    <s v="290 - Società di partecipazione (holding) di gruppi finanziari e non finanziari"/>
    <s v="642 - ATTIVITÀ DELLE SOCIETÀ DI PARTECIPAZIONE (HOLDING)"/>
    <s v="086 - ITALIA"/>
    <n v="1696"/>
    <m/>
    <m/>
    <m/>
    <m/>
    <m/>
    <m/>
    <m/>
    <n v="0"/>
    <n v="202506"/>
    <s v="IN VALUTAZIONE RPR"/>
    <x v="1"/>
    <n v="1"/>
    <m/>
    <m/>
    <n v="0"/>
    <n v="999"/>
    <n v="290"/>
    <n v="290999"/>
    <m/>
    <n v="1"/>
    <x v="4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929"/>
    <s v="90"/>
    <s v="Operazioni con paese controparte ad altissimo rischio"/>
    <d v="2025-06-13T00:00:00"/>
    <n v="53850"/>
    <n v="129"/>
    <s v="053850_129"/>
    <s v="Discovery Day"/>
    <s v="Mai valutato"/>
    <m/>
    <s v="202506128151402L"/>
    <n v="1293300002811"/>
    <n v="20250612"/>
    <x v="0"/>
    <m/>
    <x v="0"/>
    <s v="A     - Avere"/>
    <n v="3171.75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924"/>
    <s v="90"/>
    <s v="Operazioni con paese controparte ad altissimo rischio"/>
    <d v="2025-06-13T00:00:00"/>
    <n v="53850"/>
    <n v="118"/>
    <s v="053850_118"/>
    <s v="Discovery Day"/>
    <s v="Mai valutato"/>
    <m/>
    <n v="202506128064045"/>
    <n v="1183306280497"/>
    <n v="20250612"/>
    <x v="0"/>
    <m/>
    <x v="12"/>
    <s v="A     - Avere"/>
    <n v="6299.37"/>
    <n v="0"/>
    <n v="4992180"/>
    <n v="8763070722"/>
    <s v="FERRI 1956 SOCIETA' A RESPONSABILITA' LIMITATA"/>
    <s v="430 - Imprese produttive"/>
    <s v="310 - FABBRICAZIONE DI MOBILI"/>
    <s v="086 - ITALIA"/>
    <n v="164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907"/>
    <s v="90"/>
    <s v="Operazioni con paese controparte ad altissimo rischio"/>
    <d v="2025-06-12T00:00:00"/>
    <n v="53850"/>
    <n v="192"/>
    <s v="053850_192"/>
    <s v="Discovery Day"/>
    <s v="Mai valutato"/>
    <m/>
    <n v="202506118060766"/>
    <n v="1923300181730"/>
    <n v="20250611"/>
    <x v="0"/>
    <m/>
    <x v="1"/>
    <s v="A     - Avere"/>
    <n v="7180"/>
    <n v="0"/>
    <n v="4728790"/>
    <n v="7892320966"/>
    <s v="VAT ITALIA S.R.L."/>
    <s v="430 - Imprese produttive"/>
    <s v="702 - ATTIVITÀ DI CONSULENZA GESTIONALE"/>
    <s v="086 - ITALIA"/>
    <n v="1907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894"/>
    <s v="90"/>
    <s v="Operazioni con paese controparte ad altissimo rischio"/>
    <d v="2025-06-12T00:00:00"/>
    <n v="53850"/>
    <n v="129"/>
    <s v="053850_129"/>
    <s v="Discovery Day"/>
    <s v="Mai valutato"/>
    <m/>
    <s v="202506118126151L"/>
    <n v="1293300002811"/>
    <n v="20250611"/>
    <x v="0"/>
    <m/>
    <x v="0"/>
    <s v="A     - Avere"/>
    <n v="4732.6000000000004"/>
    <n v="0"/>
    <n v="4972184"/>
    <n v="7780290727"/>
    <s v="MASTER ITALY S.R.L."/>
    <s v="430 - Imprese produttive"/>
    <s v="255 - FUCINATURA, IMBUTITURA, STAMPAGGIO E PROFILATURA DEI METALLI, METALLURGIA DELLE POLVERI"/>
    <s v="086 - ITALIA"/>
    <n v="1058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882"/>
    <s v="90"/>
    <s v="Operazioni con paese controparte ad altissimo rischio"/>
    <d v="2025-06-12T00:00:00"/>
    <n v="53850"/>
    <n v="136"/>
    <s v="053850_136"/>
    <s v="Discovery Day"/>
    <s v="Mai valutato"/>
    <m/>
    <n v="202506118060772"/>
    <n v="1361147800126"/>
    <n v="20250611"/>
    <x v="0"/>
    <m/>
    <x v="4"/>
    <s v="D     - Dare"/>
    <n v="1149602.8999999999"/>
    <n v="0"/>
    <n v="4395683"/>
    <n v="2036760037"/>
    <s v="IPEM INDUSTRIA PETROLI MERIDIONALE S.P.A."/>
    <s v="430 - Imprese produttive"/>
    <s v="192 - FABBRICAZIONE DI PRODOTTI DERIVANTI DALLA RAFFINAZIONE DEL PETROLIO"/>
    <s v="086 - ITALIA"/>
    <n v="1627"/>
    <m/>
    <m/>
    <m/>
    <m/>
    <m/>
    <m/>
    <m/>
    <n v="0"/>
    <n v="202506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</r>
  <r>
    <n v="348880"/>
    <s v="90"/>
    <s v="Operazioni con paese controparte ad altissimo rischio"/>
    <d v="2025-06-12T00:00:00"/>
    <n v="53850"/>
    <n v="104"/>
    <s v="053850_104"/>
    <s v="Discovery Day"/>
    <s v="Mai valutato"/>
    <m/>
    <n v="202506098058847"/>
    <n v="1043301449156"/>
    <n v="20250609"/>
    <x v="0"/>
    <m/>
    <x v="0"/>
    <s v="D     - Dare"/>
    <n v="56115"/>
    <n v="0"/>
    <n v="15014"/>
    <n v="252860721"/>
    <s v="CASILLO SOCIETA' PER AZIONI"/>
    <s v="430 - Imprese produttive"/>
    <s v="106 - LAVORAZIONE DELLE GRANAGLIE, PRODUZIONE DI AMIDI E DI PRODOTTI AMIDACEI"/>
    <s v="086 - ITALIA"/>
    <n v="1696"/>
    <m/>
    <m/>
    <m/>
    <m/>
    <m/>
    <m/>
    <m/>
    <n v="0"/>
    <n v="202506"/>
    <s v="IN CARICO AL RESPONSABILE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829"/>
    <s v="90"/>
    <s v="Operazioni con paese controparte ad altissimo rischio"/>
    <d v="2025-06-11T00:00:00"/>
    <n v="53850"/>
    <n v="156"/>
    <s v="053850_156"/>
    <s v="Discovery Day"/>
    <s v="Mai valutato"/>
    <m/>
    <s v="202506098053206L"/>
    <n v="1563300003383"/>
    <n v="20250609"/>
    <x v="0"/>
    <m/>
    <x v="3"/>
    <s v="D     - Dare"/>
    <n v="2381"/>
    <n v="0"/>
    <n v="4933160"/>
    <n v="3217170731"/>
    <s v="GRUPPO EVENTI LOVE SOCIETA' A RESPONSABILITA' LIMITATA SEMPLIFICATA"/>
    <s v="430 - Imprese produttive"/>
    <s v="773 - NOLEGGIO DI ALTRE MACCHINE, ATTREZZATURE E BENI MATERIALI"/>
    <s v="086 - ITALIA"/>
    <n v="60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828"/>
    <s v="90"/>
    <s v="Operazioni con paese controparte ad altissimo rischio"/>
    <d v="2025-06-10T00:00:00"/>
    <n v="53850"/>
    <n v="148"/>
    <s v="053850_148"/>
    <s v="Discovery Day"/>
    <s v="Mai valutato"/>
    <m/>
    <n v="202506098053349"/>
    <n v="1483300003872"/>
    <n v="20250609"/>
    <x v="0"/>
    <m/>
    <x v="0"/>
    <s v="A     - Avere"/>
    <n v="20456.400000000001"/>
    <n v="0"/>
    <n v="4602337"/>
    <n v="1418030621"/>
    <s v="RUMMO S.P.A. - SOCIETA' PER AZIONI"/>
    <s v="430 - Imprese produttive"/>
    <s v="107 - PRODUZIONE DI PRODOTTI DA FORNO E FARINACEI"/>
    <s v="086 - ITALIA"/>
    <n v="982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825"/>
    <s v="90"/>
    <s v="Operazioni con paese controparte ad altissimo rischio"/>
    <d v="2025-06-10T00:00:00"/>
    <n v="53850"/>
    <n v="102"/>
    <s v="053850_102"/>
    <s v="Discovery Day"/>
    <s v="Mai valutato"/>
    <m/>
    <n v="202506098053220"/>
    <n v="1023308716491"/>
    <n v="20250609"/>
    <x v="0"/>
    <m/>
    <x v="1"/>
    <s v="A     - Avere"/>
    <n v="45000"/>
    <n v="0"/>
    <n v="3970"/>
    <s v="CRNRRT78A19A225Y"/>
    <s v="CORNACCHIA ROBERTO"/>
    <s v="600 - Famiglie consumatrici"/>
    <m/>
    <s v="086 - ITALIA"/>
    <n v="1431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</r>
  <r>
    <n v="348799"/>
    <s v="90"/>
    <s v="Operazioni con paese controparte ad altissimo rischio"/>
    <d v="2025-06-10T00:00:00"/>
    <n v="53850"/>
    <n v="259"/>
    <s v="053850_259"/>
    <s v="Discovery Day"/>
    <s v="Mai valutato"/>
    <m/>
    <s v="202506097975965L"/>
    <n v="2593300000091"/>
    <n v="20250609"/>
    <x v="0"/>
    <m/>
    <x v="3"/>
    <s v="D     - Dare"/>
    <n v="2500"/>
    <n v="0"/>
    <n v="4731214"/>
    <n v="5978380722"/>
    <s v="AUTOEMME S.N.C. - DI DIMAGGIO MICHELE &amp; C."/>
    <s v="482 - Quasi societa' non finanziarie artigiane - Unita' o societa' con meno di 20 addetti"/>
    <s v="452 - MANUTENZIONE E RIPARAZIONE DI AUTOVEICOLI"/>
    <s v="086 - ITALIA"/>
    <n v="1530"/>
    <m/>
    <m/>
    <m/>
    <m/>
    <m/>
    <m/>
    <m/>
    <n v="0"/>
    <n v="202506"/>
    <s v="IN VALUTAZIONE RPR"/>
    <x v="1"/>
    <n v="1"/>
    <m/>
    <m/>
    <n v="0"/>
    <n v="999"/>
    <n v="482"/>
    <n v="48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796"/>
    <s v="90"/>
    <s v="Operazioni con paese controparte ad altissimo rischio"/>
    <d v="2025-06-10T00:00:00"/>
    <n v="53850"/>
    <n v="109"/>
    <s v="053850_109"/>
    <s v="Discovery Day"/>
    <s v="Mai valutato"/>
    <m/>
    <s v="202506097973937L"/>
    <n v="1093307073406"/>
    <n v="20250609"/>
    <x v="0"/>
    <m/>
    <x v="3"/>
    <s v="A     - Avere"/>
    <n v="2500"/>
    <n v="0"/>
    <n v="4831184"/>
    <n v="7770790728"/>
    <s v="AR.T. S.R.L."/>
    <s v="430 - Imprese produttive"/>
    <s v="494 - TRASPORTO DI MERCI SU STRADA E SERVIZI DI TRASLOCO"/>
    <s v="086 - ITALIA"/>
    <n v="1107"/>
    <m/>
    <m/>
    <m/>
    <m/>
    <m/>
    <m/>
    <m/>
    <n v="0"/>
    <n v="202506"/>
    <s v="ARCHIVIATA"/>
    <x v="0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793"/>
    <s v="90"/>
    <s v="Operazioni con paese controparte ad altissimo rischio"/>
    <d v="2025-06-10T00:00:00"/>
    <n v="53850"/>
    <n v="121"/>
    <s v="053850_121"/>
    <s v="Discovery Day"/>
    <s v="Mai valutato"/>
    <m/>
    <s v="202506097975139L"/>
    <n v="1213300001913"/>
    <n v="20250609"/>
    <x v="0"/>
    <m/>
    <x v="0"/>
    <s v="A     - Avere"/>
    <n v="2420"/>
    <n v="0"/>
    <n v="4794759"/>
    <n v="7627090728"/>
    <s v="BSQ CERT S.R.L."/>
    <s v="430 - Imprese produttive"/>
    <s v="620 - PRODUZIONE DI SOFTWARE, CONSULENZA INFORMATICA E ATTIVITÀ CONNESSE"/>
    <s v="086 - ITALIA"/>
    <n v="928"/>
    <m/>
    <m/>
    <m/>
    <m/>
    <m/>
    <m/>
    <m/>
    <n v="0"/>
    <n v="202506"/>
    <s v="IN VALUTAZIONE RPR"/>
    <x v="1"/>
    <n v="1"/>
    <m/>
    <m/>
    <n v="0"/>
    <n v="620"/>
    <n v="430"/>
    <n v="430620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788"/>
    <s v="90"/>
    <s v="Operazioni con paese controparte ad altissimo rischio"/>
    <d v="2025-06-10T00:00:00"/>
    <n v="53850"/>
    <n v="149"/>
    <s v="053850_149"/>
    <s v="Discovery Day"/>
    <s v="Mai valutato"/>
    <m/>
    <n v="202506098053351"/>
    <n v="1493300663564"/>
    <n v="20250609"/>
    <x v="0"/>
    <m/>
    <x v="3"/>
    <s v="A     - Avere"/>
    <n v="22973"/>
    <n v="0"/>
    <n v="4851736"/>
    <n v="8243781211"/>
    <s v="VITTORIA CAPPELLI SOCIETA' A RESPONSABILITA' LIMITATA SEMPLIFICAT"/>
    <s v="430 - Imprese produttive"/>
    <s v="791 - ATTIVITÀ DELLE AGENZIE DI VIAGGIO E DEI TOUR OPERATOR"/>
    <s v="086 - ITALIA"/>
    <n v="1256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</r>
  <r>
    <n v="348780"/>
    <s v="90"/>
    <s v="Operazioni con paese controparte ad altissimo rischio"/>
    <d v="2025-06-10T00:00:00"/>
    <n v="53850"/>
    <n v="271"/>
    <s v="053850_271"/>
    <s v="Discovery Day"/>
    <s v="Mai valutato"/>
    <m/>
    <n v="202506098053686"/>
    <n v="2713300010112"/>
    <n v="20250609"/>
    <x v="0"/>
    <m/>
    <x v="4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6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759"/>
    <s v="90"/>
    <s v="Operazioni con paese controparte ad altissimo rischio"/>
    <d v="2025-06-10T00:00:00"/>
    <n v="53850"/>
    <n v="109"/>
    <s v="053850_109"/>
    <s v="Discovery Day"/>
    <s v="Mai valutato"/>
    <m/>
    <s v="202506067958058L"/>
    <n v="1093306672844"/>
    <n v="20250606"/>
    <x v="0"/>
    <m/>
    <x v="3"/>
    <s v="D     - Dare"/>
    <n v="4200"/>
    <n v="0"/>
    <n v="440311"/>
    <n v="3550290724"/>
    <s v="ZENTRUM BARI S.R.L."/>
    <s v="430 - Imprese produttive"/>
    <s v="451 - COMMERCIO DI AUTOVEICOLI"/>
    <s v="086 - ITALIA"/>
    <n v="1903"/>
    <m/>
    <m/>
    <m/>
    <m/>
    <m/>
    <m/>
    <m/>
    <n v="0"/>
    <n v="202506"/>
    <s v="IN CARICO AL GESTORE"/>
    <x v="1"/>
    <n v="1"/>
    <n v="440311"/>
    <n v="1"/>
    <n v="0"/>
    <n v="451"/>
    <n v="430"/>
    <n v="430451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</r>
  <r>
    <n v="348747"/>
    <s v="90"/>
    <s v="Operazioni con paese controparte ad altissimo rischio"/>
    <d v="2025-06-07T00:00:00"/>
    <n v="53850"/>
    <n v="261"/>
    <s v="053850_261"/>
    <s v="Discovery Day"/>
    <s v="Mai valutato"/>
    <m/>
    <s v="202506067919553L"/>
    <n v="2613300001265"/>
    <n v="20250606"/>
    <x v="0"/>
    <m/>
    <x v="1"/>
    <s v="A     - Avere"/>
    <n v="2500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746"/>
    <s v="90"/>
    <s v="Operazioni con paese controparte ad altissimo rischio"/>
    <d v="2025-06-07T00:00:00"/>
    <n v="53850"/>
    <n v="174"/>
    <s v="053850_174"/>
    <s v="Discovery Day"/>
    <s v="Mai valutato"/>
    <m/>
    <s v="202506067917832L"/>
    <n v="1743302879664"/>
    <n v="20250606"/>
    <x v="0"/>
    <m/>
    <x v="0"/>
    <s v="D     - Dare"/>
    <n v="2500"/>
    <n v="0"/>
    <n v="4885492"/>
    <s v="CPTVTR63H18F376T"/>
    <s v="CAPITANIO VITTORIO"/>
    <s v="615 - Altre famiglie produttrici"/>
    <s v="011 - COLTIVAZIONE DI COLTURE AGRICOLE NON PERMANENTI"/>
    <s v="086 - ITALIA"/>
    <n v="720"/>
    <m/>
    <m/>
    <m/>
    <m/>
    <m/>
    <m/>
    <m/>
    <n v="0"/>
    <n v="202506"/>
    <s v="IN VALUTAZIONE RPR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732"/>
    <s v="90"/>
    <s v="Operazioni con paese controparte ad altissimo rischio"/>
    <d v="2025-06-07T00:00:00"/>
    <n v="53850"/>
    <n v="111"/>
    <s v="053850_111"/>
    <s v="Discovery Day"/>
    <s v="Mai valutato"/>
    <m/>
    <n v="202506068045588"/>
    <n v="1113305626850"/>
    <n v="20250606"/>
    <x v="0"/>
    <m/>
    <x v="0"/>
    <s v="D     - Dare"/>
    <n v="5000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709"/>
    <s v="90"/>
    <s v="Operazioni con paese controparte ad altissimo rischio"/>
    <d v="2025-06-06T00:00:00"/>
    <n v="53850"/>
    <n v="273"/>
    <s v="053850_273"/>
    <s v="Discovery Day"/>
    <s v="Mai valutato"/>
    <m/>
    <s v="202506057873226L"/>
    <n v="2733300000307"/>
    <n v="20250605"/>
    <x v="0"/>
    <m/>
    <x v="0"/>
    <s v="A     - Avere"/>
    <n v="1590"/>
    <n v="0"/>
    <n v="1610982"/>
    <s v="ZZTGPP65R19I158M"/>
    <s v="IZZOTTI GIUSEPPE"/>
    <s v="600 - Famiglie consumatrici"/>
    <m/>
    <s v="086 - ITALIA"/>
    <n v="1295"/>
    <m/>
    <m/>
    <m/>
    <m/>
    <m/>
    <m/>
    <m/>
    <n v="0"/>
    <n v="202506"/>
    <s v="IN CARICO AL GESTORE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700"/>
    <s v="90"/>
    <s v="Operazioni con paese controparte ad altissimo rischio"/>
    <d v="2025-06-06T00:00:00"/>
    <n v="53850"/>
    <n v="174"/>
    <s v="053850_174"/>
    <s v="Discovery Day"/>
    <s v="Mai valutato"/>
    <m/>
    <s v="202506057877520L"/>
    <n v="1743302877913"/>
    <n v="20250605"/>
    <x v="0"/>
    <m/>
    <x v="0"/>
    <s v="A     - Avere"/>
    <n v="2584.3000000000002"/>
    <n v="0"/>
    <n v="4180010"/>
    <n v="5953650727"/>
    <s v="BARRACUDA S.A.S. DI DIROMA LEONARDO &amp; C."/>
    <s v="492 - Quasi societa' non finanziarie altre - Unita' o societa' con meno di 20 addetti"/>
    <s v="476 - COMMERCIO AL DETTAGLIO DI ARTICOLI CULTURALI E RICREATIVI IN ESERCIZI SPECIALIZZATI"/>
    <s v="086 - ITALIA"/>
    <n v="720"/>
    <m/>
    <m/>
    <m/>
    <m/>
    <m/>
    <m/>
    <m/>
    <n v="0"/>
    <n v="202506"/>
    <s v="IN VALUTAZIONE RPR"/>
    <x v="1"/>
    <n v="1"/>
    <m/>
    <m/>
    <n v="0"/>
    <n v="999"/>
    <n v="492"/>
    <n v="492999"/>
    <m/>
    <n v="1"/>
    <x v="3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96"/>
    <s v="90"/>
    <s v="Operazioni con paese controparte ad altissimo rischio"/>
    <d v="2025-06-06T00:00:00"/>
    <n v="53850"/>
    <n v="261"/>
    <s v="053850_261"/>
    <s v="Discovery Day"/>
    <s v="Mai valutato"/>
    <m/>
    <s v="202506057873203L"/>
    <n v="2613300001265"/>
    <n v="20250605"/>
    <x v="0"/>
    <m/>
    <x v="1"/>
    <s v="A     - Avere"/>
    <n v="3511.9"/>
    <n v="0"/>
    <n v="1625403"/>
    <s v="RCCGRM83H07C034I"/>
    <s v="RICCI GEREMIA"/>
    <s v="600 - Famiglie consumatrici"/>
    <m/>
    <s v="086 - ITALIA"/>
    <n v="1755"/>
    <m/>
    <m/>
    <m/>
    <m/>
    <m/>
    <m/>
    <m/>
    <n v="0"/>
    <n v="202506"/>
    <s v="ARCHIVIATA"/>
    <x v="0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n v="348685"/>
    <s v="90"/>
    <s v="Operazioni con paese controparte ad altissimo rischio"/>
    <d v="2025-06-06T00:00:00"/>
    <n v="53850"/>
    <n v="103"/>
    <s v="053850_103"/>
    <s v="Discovery Day"/>
    <s v="Mai valutato"/>
    <m/>
    <s v="202506057871571L"/>
    <n v="1033304289290"/>
    <n v="20250605"/>
    <x v="0"/>
    <m/>
    <x v="3"/>
    <s v="D     - Dare"/>
    <n v="3000"/>
    <n v="0"/>
    <n v="428929"/>
    <n v="3895840720"/>
    <s v="CAM2 SOCIETA' A RESPONSABILITA' LIMITATA"/>
    <s v="450 - Associazioni fra imprese non finanziarie"/>
    <s v="494 - TRASPORTO DI MERCI SU STRADA E SERVIZI DI TRASLOCO"/>
    <s v="086 - ITALIA"/>
    <n v="1274"/>
    <m/>
    <m/>
    <m/>
    <m/>
    <m/>
    <m/>
    <m/>
    <n v="0"/>
    <n v="202506"/>
    <s v="IN VALUTAZIONE RPR"/>
    <x v="1"/>
    <n v="1"/>
    <m/>
    <m/>
    <n v="0"/>
    <n v="999"/>
    <n v="450"/>
    <n v="45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674"/>
    <s v="90"/>
    <s v="Operazioni con paese controparte ad altissimo rischio"/>
    <d v="2025-06-05T00:00:00"/>
    <n v="53850"/>
    <n v="105"/>
    <s v="053850_105"/>
    <s v="Discovery Day"/>
    <s v="Mai valutato"/>
    <m/>
    <s v="202506047828790L"/>
    <n v="1053306295089"/>
    <n v="20250604"/>
    <x v="0"/>
    <m/>
    <x v="0"/>
    <s v="A     - Avere"/>
    <n v="1220"/>
    <n v="0"/>
    <n v="3716148"/>
    <n v="6264740728"/>
    <s v="ZEROTF S.R.L."/>
    <s v="430 - Imprese produttive"/>
    <s v="467 - COMMERCIO ALL'INGROSSO SPECIALIZZATO DI ALTRI PRODOTTI"/>
    <s v="086 - ITALIA"/>
    <n v="462"/>
    <m/>
    <m/>
    <m/>
    <m/>
    <m/>
    <m/>
    <m/>
    <n v="0"/>
    <n v="202506"/>
    <s v="IN CARICO AL GESTORE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67"/>
    <s v="90"/>
    <s v="Operazioni con paese controparte ad altissimo rischio"/>
    <d v="2025-06-05T00:00:00"/>
    <n v="53850"/>
    <n v="116"/>
    <s v="053850_116"/>
    <s v="Discovery Day"/>
    <s v="Mai valutato"/>
    <m/>
    <n v="202506048040448"/>
    <n v="1163307620851"/>
    <n v="20250604"/>
    <x v="0"/>
    <m/>
    <x v="4"/>
    <s v="A     - Avere"/>
    <n v="5800"/>
    <n v="0"/>
    <n v="4984414"/>
    <s v="MSCNCL60D17A662G"/>
    <s v="MISCEO NICOLA"/>
    <s v="600 - Famiglie consumatrici"/>
    <m/>
    <s v="086 - ITALIA"/>
    <n v="535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665"/>
    <s v="90"/>
    <s v="Operazioni con paese controparte ad altissimo rischio"/>
    <d v="2025-06-05T00:00:00"/>
    <n v="53850"/>
    <n v="102"/>
    <s v="053850_102"/>
    <s v="Discovery Day"/>
    <s v="Mai valutato"/>
    <m/>
    <s v="202506047831177L"/>
    <n v="1023308724471"/>
    <n v="20250604"/>
    <x v="0"/>
    <m/>
    <x v="4"/>
    <s v="A     - Avere"/>
    <n v="2000"/>
    <n v="0"/>
    <n v="4926972"/>
    <n v="8178330729"/>
    <s v="MPALQUADRATO SOCIETA' A RESPONSABILITA' LIMI"/>
    <s v="430 - Imprese produttive"/>
    <s v="477 - COMMERCIO AL DETTAGLIO DI ALTRI PRODOTTI IN ESERCIZI SPECIALIZZATI"/>
    <s v="086 - ITALIA"/>
    <n v="1443"/>
    <m/>
    <m/>
    <m/>
    <m/>
    <m/>
    <m/>
    <m/>
    <n v="0"/>
    <n v="202506"/>
    <s v="IN VALUTAZIONE RPR"/>
    <x v="1"/>
    <n v="1"/>
    <m/>
    <m/>
    <n v="0"/>
    <n v="477"/>
    <n v="430"/>
    <n v="430477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663"/>
    <s v="90"/>
    <s v="Operazioni con paese controparte ad altissimo rischio"/>
    <d v="2025-06-05T00:00:00"/>
    <n v="53850"/>
    <n v="192"/>
    <s v="053850_192"/>
    <s v="Discovery Day"/>
    <s v="Mai valutato"/>
    <m/>
    <n v="202506048039563"/>
    <n v="1923300185011"/>
    <n v="20250604"/>
    <x v="0"/>
    <m/>
    <x v="3"/>
    <s v="A     - Avere"/>
    <n v="6698.5"/>
    <n v="0"/>
    <n v="3710704"/>
    <s v="FSNMHL77R19H096V"/>
    <s v="FASANELLI MICHELE"/>
    <s v="615 - Altre famiglie produttrici"/>
    <s v="494 - TRASPORTO DI MERCI SU STRADA E SERVIZI DI TRASLOCO"/>
    <s v="086 - ITALIA"/>
    <n v="1907"/>
    <m/>
    <m/>
    <m/>
    <m/>
    <m/>
    <m/>
    <m/>
    <n v="0"/>
    <n v="202506"/>
    <s v="IN VALUTAZIONE RPR"/>
    <x v="1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</r>
  <r>
    <n v="348662"/>
    <s v="90"/>
    <s v="Operazioni con paese controparte ad altissimo rischio"/>
    <d v="2025-06-05T00:00:00"/>
    <n v="53850"/>
    <n v="157"/>
    <s v="053850_157"/>
    <s v="Discovery Day"/>
    <s v="Mai valutato"/>
    <m/>
    <s v="202506047828948L"/>
    <n v="1573300000971"/>
    <n v="20250604"/>
    <x v="0"/>
    <m/>
    <x v="1"/>
    <s v="A     - Avere"/>
    <n v="2560.67"/>
    <n v="0"/>
    <n v="4254771"/>
    <s v="PTRSFN74P21A854D"/>
    <s v="PETRUCCELLI STEFANO"/>
    <s v="600 - Famiglie consumatrici"/>
    <m/>
    <s v="086 - ITALIA"/>
    <n v="1116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55"/>
    <s v="90"/>
    <s v="Operazioni con paese controparte ad altissimo rischio"/>
    <d v="2025-06-05T00:00:00"/>
    <n v="53850"/>
    <n v="111"/>
    <s v="053850_111"/>
    <s v="Discovery Day"/>
    <s v="Mai valutato"/>
    <m/>
    <s v="202506047828398L"/>
    <n v="1113305626850"/>
    <n v="20250604"/>
    <x v="0"/>
    <m/>
    <x v="0"/>
    <s v="D     - Dare"/>
    <n v="1341.63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8654"/>
    <s v="90"/>
    <s v="Operazioni con paese controparte ad altissimo rischio"/>
    <d v="2025-06-05T00:00:00"/>
    <n v="53850"/>
    <n v="118"/>
    <s v="053850_118"/>
    <s v="Discovery Day"/>
    <s v="Mai valutato"/>
    <m/>
    <s v="202506047828859L"/>
    <n v="1183306277717"/>
    <n v="20250604"/>
    <x v="0"/>
    <m/>
    <x v="3"/>
    <s v="A     - Avere"/>
    <n v="2000"/>
    <n v="0"/>
    <n v="4237439"/>
    <n v="5982410721"/>
    <s v="LINEA PELLE S.R.L."/>
    <s v="430 - Imprese produttive"/>
    <s v="462 - COMMERCIO ALL'INGROSSO DI MATERIE PRIME AGRICOLE E DI ANIMALI VIVI"/>
    <s v="086 - ITALIA"/>
    <n v="1203"/>
    <m/>
    <m/>
    <m/>
    <m/>
    <m/>
    <m/>
    <m/>
    <n v="0"/>
    <n v="202506"/>
    <s v="IN VALUTAZIONE RPR"/>
    <x v="1"/>
    <n v="1"/>
    <m/>
    <m/>
    <n v="0"/>
    <n v="462"/>
    <n v="430"/>
    <n v="430462"/>
    <s v="Classe di rischio 3"/>
    <m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649"/>
    <s v="90"/>
    <s v="Operazioni con paese controparte ad altissimo rischio"/>
    <d v="2025-06-05T00:00:00"/>
    <n v="53850"/>
    <n v="118"/>
    <s v="053850_118"/>
    <s v="Discovery Day"/>
    <s v="Mai valutato"/>
    <m/>
    <n v="202506048038971"/>
    <n v="1183306279384"/>
    <n v="20250604"/>
    <x v="0"/>
    <m/>
    <x v="3"/>
    <s v="D     - Dare"/>
    <n v="20000"/>
    <n v="0"/>
    <n v="4896093"/>
    <n v="8070110724"/>
    <s v="ITALWOOD SOCIETA' A RESPONSABILITA' LIMITATA"/>
    <s v="430 - Imprese produttive"/>
    <s v="310 - FABBRICAZIONE DI MOBILI"/>
    <s v="086 - ITALIA"/>
    <n v="979"/>
    <m/>
    <m/>
    <m/>
    <m/>
    <m/>
    <m/>
    <m/>
    <n v="0"/>
    <n v="202506"/>
    <s v="IN VALUTAZIONE RPR"/>
    <x v="1"/>
    <n v="1"/>
    <m/>
    <m/>
    <n v="0"/>
    <n v="999"/>
    <n v="430"/>
    <n v="430999"/>
    <m/>
    <n v="1"/>
    <x v="0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</r>
  <r>
    <n v="348645"/>
    <s v="90"/>
    <s v="Operazioni con paese controparte ad altissimo rischio"/>
    <d v="2025-06-05T00:00:00"/>
    <n v="53850"/>
    <n v="157"/>
    <s v="053850_157"/>
    <s v="Discovery Day"/>
    <s v="Mai valutato"/>
    <m/>
    <s v="202506047828948L"/>
    <n v="1573300000971"/>
    <n v="20250604"/>
    <x v="0"/>
    <m/>
    <x v="1"/>
    <s v="A     - Avere"/>
    <n v="2560.67"/>
    <n v="0"/>
    <n v="4254772"/>
    <s v="PTRFNC43S02A854P"/>
    <s v="PETRUCCELLI FRANCESCO"/>
    <s v="600 - Famiglie consumatrici"/>
    <m/>
    <s v="086 - ITALIA"/>
    <m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348634"/>
    <s v="90"/>
    <s v="Operazioni con paese controparte ad altissimo rischio"/>
    <d v="2025-06-05T00:00:00"/>
    <n v="53850"/>
    <n v="171"/>
    <s v="053850_171"/>
    <s v="Discovery Day"/>
    <s v="Mai valutato"/>
    <m/>
    <s v="202506047826895L"/>
    <n v="1713302217768"/>
    <n v="20250604"/>
    <x v="0"/>
    <m/>
    <x v="0"/>
    <s v="D     - Dare"/>
    <n v="2000"/>
    <n v="0"/>
    <n v="4955332"/>
    <s v="MLLNMR84M65A893U"/>
    <s v="MILILLO ANNA MARIA"/>
    <s v="600 - Famiglie consumatrici"/>
    <m/>
    <s v="086 - ITALIA"/>
    <n v="662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n v="348593"/>
    <s v="90"/>
    <s v="Operazioni con paese controparte ad altissimo rischio"/>
    <d v="2025-06-04T00:00:00"/>
    <n v="53850"/>
    <n v="109"/>
    <s v="053850_109"/>
    <s v="Discovery Day"/>
    <s v="Mai valutato"/>
    <m/>
    <s v="202506037706376L"/>
    <n v="1093306671099"/>
    <n v="20250603"/>
    <x v="0"/>
    <m/>
    <x v="0"/>
    <s v="D     - Dare"/>
    <n v="3000"/>
    <n v="0"/>
    <n v="627869"/>
    <s v="RKVRZC44C50Z118J"/>
    <s v="RUKAVINA RUZICA"/>
    <s v="600 - Famiglie consumatrici"/>
    <m/>
    <s v="086 - ITALIA"/>
    <n v="74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n v="348581"/>
    <s v="90"/>
    <s v="Operazioni con paese controparte ad altissimo rischio"/>
    <d v="2025-06-04T00:00:00"/>
    <n v="53850"/>
    <n v="111"/>
    <s v="053850_111"/>
    <s v="Discovery Day"/>
    <s v="Mai valutato"/>
    <m/>
    <n v="202506038032551"/>
    <n v="1113305626850"/>
    <n v="20250603"/>
    <x v="0"/>
    <m/>
    <x v="0"/>
    <s v="D     - Dare"/>
    <n v="5000"/>
    <n v="0"/>
    <n v="562685"/>
    <s v="BRLCRN59L50F052O"/>
    <s v="BARILE CATERINA"/>
    <s v="600 - Famiglie consumatrici"/>
    <m/>
    <s v="086 - ITALIA"/>
    <n v="593"/>
    <m/>
    <m/>
    <m/>
    <m/>
    <m/>
    <m/>
    <m/>
    <n v="0"/>
    <n v="202506"/>
    <s v="IN VALUTAZIONE RPR"/>
    <x v="1"/>
    <n v="1"/>
    <m/>
    <m/>
    <n v="0"/>
    <n v="999"/>
    <n v="600"/>
    <n v="600999"/>
    <s v="Classe di rischio 7"/>
    <m/>
    <x v="1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n v="348568"/>
    <s v="90"/>
    <s v="Operazioni con paese controparte ad altissimo rischio"/>
    <d v="2025-06-04T00:00:00"/>
    <n v="53850"/>
    <n v="271"/>
    <s v="053850_271"/>
    <s v="Discovery Day"/>
    <s v="Mai valutato"/>
    <m/>
    <n v="202506038034206"/>
    <n v="2713300010112"/>
    <n v="20250603"/>
    <x v="0"/>
    <m/>
    <x v="4"/>
    <s v="A     - Avere"/>
    <n v="5000"/>
    <n v="0"/>
    <n v="1611557"/>
    <s v="MNDLSN67P26D643P"/>
    <s v="MENDUNO ALESSANDRO MATTEO"/>
    <s v="615 - Altre famiglie produttrici"/>
    <s v="749 - ALTRE ATTIVITÀ PROFESSIONALI, SCIENTIFICHE E TECNICHE NCA"/>
    <s v="086 - ITALIA"/>
    <n v="1850"/>
    <m/>
    <m/>
    <m/>
    <m/>
    <m/>
    <m/>
    <m/>
    <n v="0"/>
    <n v="202506"/>
    <s v="ARCHIVIATA DA RPR"/>
    <x v="0"/>
    <n v="1"/>
    <m/>
    <m/>
    <n v="0"/>
    <n v="999"/>
    <n v="615"/>
    <n v="615999"/>
    <m/>
    <n v="1"/>
    <x v="2"/>
    <n v="1000"/>
    <n v="1186.4000000000001"/>
    <n v="1500"/>
    <n v="1680.386"/>
    <n v="1992.48"/>
    <n v="2399.98"/>
    <n v="2739.2040000000002"/>
    <n v="3000"/>
    <n v="3500"/>
    <n v="4000"/>
    <n v="4800"/>
    <n v="5000"/>
    <n v="5024.4139999999998"/>
    <n v="5617.9639999999999"/>
    <n v="9836.84"/>
    <n v="12377.16"/>
    <n v="16956.52800000002"/>
    <n v="20247.331999999999"/>
    <n v="29364.69400000001"/>
    <n v="45000"/>
    <n v="1149602.899999999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CEBC0-FD5A-4D42-B3CF-26EFD0ECA8E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F22" firstHeaderRow="0" firstDataRow="1" firstDataCol="1" rowPageCount="1" colPageCount="1"/>
  <pivotFields count="89">
    <pivotField dataField="1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3"/>
        <item x="5"/>
        <item x="7"/>
        <item x="12"/>
        <item x="10"/>
        <item x="6"/>
        <item x="1"/>
        <item x="11"/>
        <item x="9"/>
        <item x="8"/>
        <item x="4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36" hier="-1"/>
  </pageFields>
  <dataFields count="4">
    <dataField name="# POSIZIONE" fld="0" subtotal="count" baseField="15" baseItem="0"/>
    <dataField name="% POSIZIONE" fld="0" subtotal="count" showDataAs="percentOfCol" baseField="15" baseItem="0" numFmtId="10"/>
    <dataField name="IMPORTO Min" fld="17" subtotal="min" baseField="15" baseItem="0" numFmtId="44"/>
    <dataField name="IMPORTO Medio" fld="17" subtotal="average" baseField="15" baseItem="0" numFmtId="44"/>
  </dataFields>
  <formats count="1">
    <format dxfId="14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43008-991F-4A52-872A-7C61FB048F46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X13" firstHeaderRow="0" firstDataRow="1" firstDataCol="2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4"/>
        <item h="1" x="0"/>
        <item h="1" x="3"/>
        <item h="1" x="2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36"/>
  </rowFields>
  <rowItems count="3">
    <i>
      <x/>
      <x/>
    </i>
    <i r="1">
      <x v="1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Count of flag_stato" fld="36" subtotal="count" baseField="36" baseItem="0"/>
    <dataField name="Sum of flag_Percentile_00" fld="68" baseField="0" baseItem="0"/>
    <dataField name="Sum of flag_Percentile_05" fld="69" baseField="0" baseItem="0"/>
    <dataField name="Sum of flag_Percentile_10" fld="70" baseField="0" baseItem="0"/>
    <dataField name="Sum of flag_Percentile_15" fld="71" baseField="0" baseItem="0"/>
    <dataField name="Sum of flag_Percentile_20" fld="72" baseField="0" baseItem="0"/>
    <dataField name="Sum of flag_Percentile_25" fld="73" baseField="0" baseItem="0"/>
    <dataField name="Sum of flag_Percentile_30" fld="74" baseField="0" baseItem="0"/>
    <dataField name="Sum of flag_Percentile_35" fld="75" baseField="0" baseItem="0"/>
    <dataField name="Sum of flag_Percentile_40" fld="76" baseField="0" baseItem="0"/>
    <dataField name="Sum of flag_Percentile_45" fld="77" baseField="0" baseItem="0"/>
    <dataField name="Sum of flag_Percentile_50" fld="78" baseField="0" baseItem="0"/>
    <dataField name="Sum of flag_Percentile_55" fld="79" baseField="0" baseItem="0"/>
    <dataField name="Sum of flag_Percentile_60" fld="80" baseField="0" baseItem="0"/>
    <dataField name="Sum of flag_Percentile_65" fld="81" baseField="0" baseItem="0"/>
    <dataField name="Sum of flag_Percentile_70" fld="82" baseField="0" baseItem="0"/>
    <dataField name="Sum of flag_Percentile_75" fld="83" baseField="0" baseItem="0"/>
    <dataField name="Sum of flag_Percentile_80" fld="84" baseField="0" baseItem="0"/>
    <dataField name="Sum of flag_Percentile_85" fld="85" baseField="0" baseItem="0"/>
    <dataField name="Sum of flag_Percentile_90" fld="86" baseField="0" baseItem="0"/>
    <dataField name="Sum of flag_Percentile_95" fld="87" baseField="0" baseItem="0"/>
    <dataField name="Sum of flag_Percentile_100" fld="88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3" type="button" dataOnly="0" labelOnly="1" outline="0" axis="axisRow" fieldPosition="0"/>
    </format>
    <format dxfId="2">
      <pivotArea field="46" type="button" dataOnly="0" labelOnly="1" outline="0"/>
    </format>
    <format dxfId="1">
      <pivotArea dataOnly="0" labelOnly="1" outline="0" fieldPosition="0">
        <references count="1">
          <reference field="13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97412-3E7A-4B36-8318-70675213C660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V7" firstHeaderRow="0" firstDataRow="1" firstDataCol="1"/>
  <pivotFields count="8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4"/>
        <item h="1" x="0"/>
        <item h="1" x="3"/>
        <item h="1" x="2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2">
    <i>
      <x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Min of Percentile_00" fld="47" subtotal="min" baseField="46" baseItem="1"/>
    <dataField name="Min of Percentile_05" fld="48" subtotal="min" baseField="46" baseItem="1"/>
    <dataField name="Min of Percentile_10" fld="49" subtotal="min" baseField="46" baseItem="1"/>
    <dataField name="Min of Percentile_15" fld="50" subtotal="min" baseField="46" baseItem="1"/>
    <dataField name="Min of Percentile_20" fld="51" subtotal="min" baseField="46" baseItem="1"/>
    <dataField name="Min of Percentile_25" fld="52" subtotal="min" baseField="46" baseItem="1"/>
    <dataField name="Min of Percentile_30" fld="53" subtotal="min" baseField="46" baseItem="1"/>
    <dataField name="Min of Percentile_35" fld="54" subtotal="min" baseField="46" baseItem="1"/>
    <dataField name="Min of Percentile_40" fld="55" subtotal="min" baseField="46" baseItem="1"/>
    <dataField name="Min of Percentile_45" fld="56" subtotal="min" baseField="46" baseItem="1"/>
    <dataField name="Min of Percentile_50" fld="57" subtotal="min" baseField="46" baseItem="1"/>
    <dataField name="Min of Percentile_55" fld="58" subtotal="min" baseField="46" baseItem="1"/>
    <dataField name="Min of Percentile_60" fld="59" subtotal="min" baseField="46" baseItem="1"/>
    <dataField name="Min of Percentile_65" fld="60" subtotal="min" baseField="46" baseItem="1"/>
    <dataField name="Min of Percentile_70" fld="61" subtotal="min" baseField="46" baseItem="0"/>
    <dataField name="Min of Percentile_75" fld="62" subtotal="min" baseField="46" baseItem="1"/>
    <dataField name="Min of Percentile_80" fld="63" subtotal="min" baseField="46" baseItem="1"/>
    <dataField name="Min of Percentile_85" fld="64" subtotal="min" baseField="46" baseItem="1"/>
    <dataField name="Min of Percentile_90" fld="65" subtotal="min" baseField="46" baseItem="1"/>
    <dataField name="Min of Percentile_95" fld="66" subtotal="min" baseField="46" baseItem="1"/>
    <dataField name="Min of Percentile_100" fld="67" subtotal="min" baseField="46" baseItem="1"/>
  </dataFields>
  <formats count="8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3" type="button" dataOnly="0" labelOnly="1" outline="0" axis="axisRow" fieldPosition="0"/>
    </format>
    <format dxfId="10">
      <pivotArea field="46" type="button" dataOnly="0" labelOnly="1" outline="0"/>
    </format>
    <format dxfId="9">
      <pivotArea dataOnly="0" labelOnly="1" outline="0" fieldPosition="0">
        <references count="1">
          <reference field="13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</reference>
        </references>
      </pivotArea>
    </format>
    <format dxfId="6">
      <pivotArea outline="0" fieldPosition="0">
        <references count="1">
          <reference field="13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EBEC-C982-4088-8EE9-51FC0F20EE5F}">
  <sheetPr>
    <tabColor theme="6" tint="0.59999389629810485"/>
  </sheetPr>
  <dimension ref="B1:Q29"/>
  <sheetViews>
    <sheetView showGridLines="0" tabSelected="1" zoomScale="62" zoomScaleNormal="85" workbookViewId="0">
      <selection activeCell="E30" sqref="E30"/>
    </sheetView>
  </sheetViews>
  <sheetFormatPr defaultRowHeight="14.5" x14ac:dyDescent="0.35"/>
  <cols>
    <col min="2" max="2" width="6.08984375" hidden="1" customWidth="1"/>
    <col min="3" max="3" width="8.7265625" customWidth="1"/>
    <col min="4" max="4" width="16.54296875" customWidth="1"/>
    <col min="5" max="5" width="24.7265625" bestFit="1" customWidth="1"/>
    <col min="6" max="6" width="10.81640625" bestFit="1" customWidth="1"/>
    <col min="7" max="7" width="12.7265625" bestFit="1" customWidth="1"/>
    <col min="8" max="8" width="4.81640625" bestFit="1" customWidth="1"/>
    <col min="9" max="9" width="8.453125" customWidth="1"/>
    <col min="10" max="10" width="10.08984375" bestFit="1" customWidth="1"/>
    <col min="11" max="11" width="13.90625" bestFit="1" customWidth="1"/>
    <col min="12" max="12" width="9.36328125" bestFit="1" customWidth="1"/>
    <col min="13" max="13" width="12" customWidth="1"/>
    <col min="14" max="14" width="18.7265625" bestFit="1" customWidth="1"/>
    <col min="15" max="15" width="14.26953125" bestFit="1" customWidth="1"/>
    <col min="16" max="16" width="17.81640625" bestFit="1" customWidth="1"/>
    <col min="19" max="19" width="15.08984375" bestFit="1" customWidth="1"/>
  </cols>
  <sheetData>
    <row r="1" spans="2:17" ht="15" thickBot="1" x14ac:dyDescent="0.4"/>
    <row r="2" spans="2:17" ht="14.5" customHeight="1" x14ac:dyDescent="0.35">
      <c r="D2" s="34" t="s">
        <v>686</v>
      </c>
      <c r="E2" s="35"/>
      <c r="F2" s="35"/>
      <c r="G2" s="35"/>
      <c r="H2" s="35"/>
      <c r="I2" s="35"/>
      <c r="J2" s="35"/>
      <c r="K2" s="35"/>
      <c r="L2" s="36"/>
    </row>
    <row r="3" spans="2:17" x14ac:dyDescent="0.35">
      <c r="D3" s="37"/>
      <c r="E3" s="38"/>
      <c r="F3" s="38"/>
      <c r="G3" s="38"/>
      <c r="H3" s="38"/>
      <c r="I3" s="38"/>
      <c r="J3" s="38"/>
      <c r="K3" s="38"/>
      <c r="L3" s="39"/>
    </row>
    <row r="4" spans="2:17" x14ac:dyDescent="0.35">
      <c r="D4" s="37"/>
      <c r="E4" s="38"/>
      <c r="F4" s="38"/>
      <c r="G4" s="38"/>
      <c r="H4" s="38"/>
      <c r="I4" s="38"/>
      <c r="J4" s="38"/>
      <c r="K4" s="38"/>
      <c r="L4" s="39"/>
    </row>
    <row r="5" spans="2:17" x14ac:dyDescent="0.35">
      <c r="D5" s="37"/>
      <c r="E5" s="38"/>
      <c r="F5" s="38"/>
      <c r="G5" s="38"/>
      <c r="H5" s="38"/>
      <c r="I5" s="38"/>
      <c r="J5" s="38"/>
      <c r="K5" s="38"/>
      <c r="L5" s="39"/>
    </row>
    <row r="6" spans="2:17" x14ac:dyDescent="0.35">
      <c r="D6" s="37"/>
      <c r="E6" s="38"/>
      <c r="F6" s="38"/>
      <c r="G6" s="38"/>
      <c r="H6" s="38"/>
      <c r="I6" s="38"/>
      <c r="J6" s="38"/>
      <c r="K6" s="38"/>
      <c r="L6" s="39"/>
    </row>
    <row r="7" spans="2:17" ht="15" thickBot="1" x14ac:dyDescent="0.4">
      <c r="D7" s="40"/>
      <c r="E7" s="41"/>
      <c r="F7" s="41"/>
      <c r="G7" s="41"/>
      <c r="H7" s="41"/>
      <c r="I7" s="41"/>
      <c r="J7" s="41"/>
      <c r="K7" s="41"/>
      <c r="L7" s="42"/>
    </row>
    <row r="9" spans="2:17" x14ac:dyDescent="0.35">
      <c r="E9" s="5"/>
      <c r="F9" s="29" t="s">
        <v>722</v>
      </c>
      <c r="G9" s="29"/>
      <c r="H9" s="29" t="s">
        <v>723</v>
      </c>
      <c r="I9" s="29"/>
      <c r="J9" s="5"/>
      <c r="K9" s="5"/>
      <c r="L9" s="5"/>
    </row>
    <row r="10" spans="2:17" x14ac:dyDescent="0.35">
      <c r="B10" s="8" t="s">
        <v>284</v>
      </c>
      <c r="F10" s="9" t="s">
        <v>282</v>
      </c>
      <c r="G10" s="9" t="s">
        <v>684</v>
      </c>
      <c r="H10" s="9" t="s">
        <v>282</v>
      </c>
      <c r="I10" s="9" t="s">
        <v>684</v>
      </c>
      <c r="J10" s="9" t="s">
        <v>283</v>
      </c>
      <c r="K10" s="9" t="s">
        <v>685</v>
      </c>
      <c r="L10" s="9" t="s">
        <v>160</v>
      </c>
      <c r="N10" s="9" t="s">
        <v>709</v>
      </c>
      <c r="O10" s="9" t="s">
        <v>710</v>
      </c>
      <c r="P10" s="20" t="s">
        <v>711</v>
      </c>
    </row>
    <row r="11" spans="2:17" ht="14.5" customHeight="1" x14ac:dyDescent="0.35">
      <c r="B11" s="11" t="s">
        <v>683</v>
      </c>
      <c r="E11" s="7" t="s">
        <v>222</v>
      </c>
      <c r="F11" s="15">
        <f>COUNTA(INDEX(Data!$1:$1048576,0,MATCH("flag_stato",Data!1:1,0)))-1</f>
        <v>304</v>
      </c>
      <c r="G11" s="15">
        <f ca="1">IF(L11="","",INDEX(INDIRECT("'"&amp;B11&amp;"'!B17:Y26"),MATCH("Totale",INDIRECT("'"&amp;B11&amp;"'!A17:A26"),0),MATCH(L11,INDIRECT("'"&amp;B11&amp;"'!B17:Y17"),0)))</f>
        <v>139</v>
      </c>
      <c r="H11" s="15">
        <f>COUNTIF(INDEX(Data!$1:$1048576,0,MATCH("flag_stato",Data!1:1,0)),0)</f>
        <v>137</v>
      </c>
      <c r="I11" s="15">
        <f ca="1">IF(L11="","",INDEX(INDIRECT("'"&amp;B11&amp;"'!B17:Y26"),MATCH("Falso Positivo",INDIRECT("'"&amp;B11&amp;"'!A17:A26"),0),MATCH(L11,INDIRECT("'"&amp;B11&amp;"'!B17:Y17"),0)))</f>
        <v>69</v>
      </c>
      <c r="J11" s="21">
        <v>1000</v>
      </c>
      <c r="K11" s="16">
        <f ca="1">IF(L11="","",IF(L11="T0",J11,INDEX(INDIRECT("'"&amp;B11&amp;"'!B17:Y26"),MATCH("Soglia",INDIRECT("'"&amp;B11&amp;"'!A17:A26"),0),MATCH(L11,INDIRECT("'"&amp;B11&amp;"'!B17:Y17"),0))))</f>
        <v>4800</v>
      </c>
      <c r="L11" s="15" t="s">
        <v>149</v>
      </c>
      <c r="N11" s="10" t="s">
        <v>140</v>
      </c>
      <c r="O11" s="10" t="s">
        <v>144</v>
      </c>
      <c r="P11" s="10" t="s">
        <v>149</v>
      </c>
      <c r="Q11" s="5"/>
    </row>
    <row r="12" spans="2:17" x14ac:dyDescent="0.35">
      <c r="E12" s="7" t="s">
        <v>285</v>
      </c>
      <c r="F12" s="32">
        <f ca="1">(F11-G11)/F11</f>
        <v>0.54276315789473684</v>
      </c>
      <c r="G12" s="33"/>
      <c r="H12" s="32">
        <f ca="1">(H11-I11)/H11</f>
        <v>0.49635036496350365</v>
      </c>
      <c r="I12" s="33"/>
      <c r="J12" s="12"/>
      <c r="K12" s="13"/>
      <c r="L12" s="12"/>
    </row>
    <row r="14" spans="2:17" x14ac:dyDescent="0.35">
      <c r="H14" s="14"/>
    </row>
    <row r="16" spans="2:17" x14ac:dyDescent="0.35">
      <c r="F16" s="29" t="s">
        <v>717</v>
      </c>
      <c r="G16" s="29"/>
      <c r="H16" s="29" t="s">
        <v>716</v>
      </c>
      <c r="I16" s="29"/>
      <c r="J16" s="29" t="s">
        <v>713</v>
      </c>
      <c r="K16" s="29"/>
      <c r="M16" s="2"/>
      <c r="N16" s="2"/>
    </row>
    <row r="17" spans="5:11" x14ac:dyDescent="0.35">
      <c r="F17" s="27" t="s">
        <v>282</v>
      </c>
      <c r="G17" s="27" t="s">
        <v>684</v>
      </c>
      <c r="H17" s="27" t="s">
        <v>282</v>
      </c>
      <c r="I17" s="27" t="s">
        <v>684</v>
      </c>
      <c r="J17" s="27" t="s">
        <v>282</v>
      </c>
      <c r="K17" s="27" t="s">
        <v>684</v>
      </c>
    </row>
    <row r="18" spans="5:11" x14ac:dyDescent="0.35">
      <c r="E18" s="7" t="s">
        <v>715</v>
      </c>
      <c r="F18" s="3">
        <f>F11</f>
        <v>304</v>
      </c>
      <c r="G18" s="3">
        <f ca="1">G11</f>
        <v>139</v>
      </c>
      <c r="H18" s="3">
        <f>H11</f>
        <v>137</v>
      </c>
      <c r="I18" s="3">
        <f ca="1">I11</f>
        <v>69</v>
      </c>
      <c r="J18" s="10">
        <f>F18-H18</f>
        <v>167</v>
      </c>
      <c r="K18" s="10">
        <f ca="1">G18-I18</f>
        <v>70</v>
      </c>
    </row>
    <row r="19" spans="5:11" x14ac:dyDescent="0.35">
      <c r="E19" s="7" t="s">
        <v>285</v>
      </c>
      <c r="F19" s="30">
        <f ca="1">(F18-G18)/F18</f>
        <v>0.54276315789473684</v>
      </c>
      <c r="G19" s="30"/>
      <c r="H19" s="30">
        <f ca="1">(H18-I18)/H18</f>
        <v>0.49635036496350365</v>
      </c>
      <c r="I19" s="30"/>
      <c r="J19" s="31">
        <f ca="1">(J18-K18)/J18</f>
        <v>0.58083832335329344</v>
      </c>
      <c r="K19" s="31"/>
    </row>
    <row r="20" spans="5:11" ht="15.5" customHeight="1" x14ac:dyDescent="0.35"/>
    <row r="23" spans="5:11" x14ac:dyDescent="0.35">
      <c r="F23" s="9" t="s">
        <v>721</v>
      </c>
      <c r="G23" s="9" t="s">
        <v>714</v>
      </c>
    </row>
    <row r="24" spans="5:11" x14ac:dyDescent="0.35">
      <c r="F24" s="23">
        <f ca="1">K11-J11</f>
        <v>3800</v>
      </c>
      <c r="G24" s="22">
        <f ca="1">(K11-J11)/J11</f>
        <v>3.8</v>
      </c>
    </row>
    <row r="29" spans="5:11" ht="14.5" customHeight="1" x14ac:dyDescent="0.35"/>
  </sheetData>
  <mergeCells count="11">
    <mergeCell ref="F12:G12"/>
    <mergeCell ref="H12:I12"/>
    <mergeCell ref="D2:L7"/>
    <mergeCell ref="H9:I9"/>
    <mergeCell ref="F9:G9"/>
    <mergeCell ref="F16:G16"/>
    <mergeCell ref="H16:I16"/>
    <mergeCell ref="F19:G19"/>
    <mergeCell ref="H19:I19"/>
    <mergeCell ref="J16:K16"/>
    <mergeCell ref="J19:K19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87CC4C-7ECE-4567-B57F-75FF1330E066}">
          <x14:formula1>
            <xm:f>'00090'!$B$17:$W$17</xm:f>
          </x14:formula1>
          <xm:sqref>L11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3573-FF61-4765-9521-E10A33EEC19C}">
  <sheetPr>
    <tabColor theme="6" tint="0.79998168889431442"/>
  </sheetPr>
  <dimension ref="B2:G22"/>
  <sheetViews>
    <sheetView showGridLines="0" zoomScale="70" zoomScaleNormal="70" workbookViewId="0">
      <selection activeCell="G28" sqref="G28"/>
    </sheetView>
  </sheetViews>
  <sheetFormatPr defaultRowHeight="14.5" x14ac:dyDescent="0.35"/>
  <cols>
    <col min="1" max="1" width="7.453125" customWidth="1"/>
    <col min="2" max="2" width="31" bestFit="1" customWidth="1"/>
    <col min="3" max="3" width="11.453125" bestFit="1" customWidth="1"/>
    <col min="4" max="4" width="12" bestFit="1" customWidth="1"/>
    <col min="5" max="5" width="12.7265625" bestFit="1" customWidth="1"/>
    <col min="6" max="6" width="14.90625" bestFit="1" customWidth="1"/>
    <col min="8" max="8" width="28.36328125" bestFit="1" customWidth="1"/>
    <col min="9" max="9" width="23.26953125" bestFit="1" customWidth="1"/>
    <col min="10" max="10" width="11.453125" bestFit="1" customWidth="1"/>
    <col min="11" max="11" width="13.26953125" bestFit="1" customWidth="1"/>
    <col min="12" max="12" width="15.6328125" customWidth="1"/>
  </cols>
  <sheetData>
    <row r="2" spans="2:7" x14ac:dyDescent="0.35">
      <c r="B2" s="38" t="s">
        <v>729</v>
      </c>
      <c r="C2" s="38"/>
      <c r="D2" s="38"/>
      <c r="E2" s="38"/>
      <c r="F2" s="38"/>
      <c r="G2" s="38"/>
    </row>
    <row r="3" spans="2:7" x14ac:dyDescent="0.35">
      <c r="B3" s="38"/>
      <c r="C3" s="38"/>
      <c r="D3" s="38"/>
      <c r="E3" s="38"/>
      <c r="F3" s="38"/>
      <c r="G3" s="38"/>
    </row>
    <row r="4" spans="2:7" x14ac:dyDescent="0.35">
      <c r="B4" s="38"/>
      <c r="C4" s="38"/>
      <c r="D4" s="38"/>
      <c r="E4" s="38"/>
      <c r="F4" s="38"/>
      <c r="G4" s="38"/>
    </row>
    <row r="6" spans="2:7" x14ac:dyDescent="0.35">
      <c r="B6" s="24" t="s">
        <v>36</v>
      </c>
      <c r="C6" t="s">
        <v>724</v>
      </c>
    </row>
    <row r="8" spans="2:7" x14ac:dyDescent="0.35">
      <c r="B8" s="24" t="s">
        <v>725</v>
      </c>
      <c r="C8" t="s">
        <v>726</v>
      </c>
      <c r="D8" t="s">
        <v>730</v>
      </c>
      <c r="E8" t="s">
        <v>727</v>
      </c>
      <c r="F8" t="s">
        <v>728</v>
      </c>
    </row>
    <row r="9" spans="2:7" x14ac:dyDescent="0.35">
      <c r="B9" s="25" t="s">
        <v>303</v>
      </c>
      <c r="C9">
        <v>139</v>
      </c>
      <c r="D9" s="26">
        <v>0.45723684210526316</v>
      </c>
      <c r="E9" s="18">
        <v>1000</v>
      </c>
      <c r="F9" s="18">
        <v>6279.8004316546785</v>
      </c>
    </row>
    <row r="10" spans="2:7" x14ac:dyDescent="0.35">
      <c r="B10" s="25" t="s">
        <v>350</v>
      </c>
      <c r="C10">
        <v>4</v>
      </c>
      <c r="D10" s="26">
        <v>1.3157894736842105E-2</v>
      </c>
      <c r="E10" s="18">
        <v>1351.76</v>
      </c>
      <c r="F10" s="18">
        <v>181657.91499999998</v>
      </c>
    </row>
    <row r="11" spans="2:7" x14ac:dyDescent="0.35">
      <c r="B11" s="25" t="s">
        <v>394</v>
      </c>
      <c r="C11">
        <v>1</v>
      </c>
      <c r="D11" s="26">
        <v>3.2894736842105261E-3</v>
      </c>
      <c r="E11" s="18">
        <v>8466.74</v>
      </c>
      <c r="F11" s="18">
        <v>8466.74</v>
      </c>
    </row>
    <row r="12" spans="2:7" x14ac:dyDescent="0.35">
      <c r="B12" s="25" t="s">
        <v>650</v>
      </c>
      <c r="C12">
        <v>1</v>
      </c>
      <c r="D12" s="26">
        <v>3.2894736842105261E-3</v>
      </c>
      <c r="E12" s="18">
        <v>6299.37</v>
      </c>
      <c r="F12" s="18">
        <v>6299.37</v>
      </c>
    </row>
    <row r="13" spans="2:7" x14ac:dyDescent="0.35">
      <c r="B13" s="25" t="s">
        <v>563</v>
      </c>
      <c r="C13">
        <v>1</v>
      </c>
      <c r="D13" s="26">
        <v>3.2894736842105261E-3</v>
      </c>
      <c r="E13" s="18">
        <v>4193.34</v>
      </c>
      <c r="F13" s="18">
        <v>4193.34</v>
      </c>
    </row>
    <row r="14" spans="2:7" x14ac:dyDescent="0.35">
      <c r="B14" s="25" t="s">
        <v>364</v>
      </c>
      <c r="C14">
        <v>5</v>
      </c>
      <c r="D14" s="26">
        <v>1.6447368421052631E-2</v>
      </c>
      <c r="E14" s="18">
        <v>1000</v>
      </c>
      <c r="F14" s="18">
        <v>6705.6</v>
      </c>
    </row>
    <row r="15" spans="2:7" x14ac:dyDescent="0.35">
      <c r="B15" s="25" t="s">
        <v>296</v>
      </c>
      <c r="C15">
        <v>32</v>
      </c>
      <c r="D15" s="26">
        <v>0.10526315789473684</v>
      </c>
      <c r="E15" s="18">
        <v>1000</v>
      </c>
      <c r="F15" s="18">
        <v>11004.095625</v>
      </c>
    </row>
    <row r="16" spans="2:7" x14ac:dyDescent="0.35">
      <c r="B16" s="25" t="s">
        <v>576</v>
      </c>
      <c r="C16">
        <v>2</v>
      </c>
      <c r="D16" s="26">
        <v>6.5789473684210523E-3</v>
      </c>
      <c r="E16" s="18">
        <v>2500</v>
      </c>
      <c r="F16" s="18">
        <v>15505.924999999999</v>
      </c>
    </row>
    <row r="17" spans="2:6" x14ac:dyDescent="0.35">
      <c r="B17" s="25" t="s">
        <v>557</v>
      </c>
      <c r="C17">
        <v>2</v>
      </c>
      <c r="D17" s="26">
        <v>6.5789473684210523E-3</v>
      </c>
      <c r="E17" s="18">
        <v>1379</v>
      </c>
      <c r="F17" s="18">
        <v>1672</v>
      </c>
    </row>
    <row r="18" spans="2:6" x14ac:dyDescent="0.35">
      <c r="B18" s="25" t="s">
        <v>405</v>
      </c>
      <c r="C18">
        <v>3</v>
      </c>
      <c r="D18" s="26">
        <v>9.8684210526315784E-3</v>
      </c>
      <c r="E18" s="18">
        <v>3500</v>
      </c>
      <c r="F18" s="18">
        <v>4155.666666666667</v>
      </c>
    </row>
    <row r="19" spans="2:6" x14ac:dyDescent="0.35">
      <c r="B19" s="25" t="s">
        <v>136</v>
      </c>
      <c r="C19">
        <v>44</v>
      </c>
      <c r="D19" s="26">
        <v>0.14473684210526316</v>
      </c>
      <c r="E19" s="18">
        <v>1000</v>
      </c>
      <c r="F19" s="18">
        <v>55106.614545454548</v>
      </c>
    </row>
    <row r="20" spans="2:6" x14ac:dyDescent="0.35">
      <c r="B20" s="25" t="s">
        <v>291</v>
      </c>
      <c r="C20">
        <v>63</v>
      </c>
      <c r="D20" s="26">
        <v>0.20723684210526316</v>
      </c>
      <c r="E20" s="18">
        <v>1000</v>
      </c>
      <c r="F20" s="18">
        <v>11855.190952380952</v>
      </c>
    </row>
    <row r="21" spans="2:6" x14ac:dyDescent="0.35">
      <c r="B21" s="25" t="s">
        <v>300</v>
      </c>
      <c r="C21">
        <v>7</v>
      </c>
      <c r="D21" s="26">
        <v>2.3026315789473683E-2</v>
      </c>
      <c r="E21" s="18">
        <v>2000</v>
      </c>
      <c r="F21" s="18">
        <v>6360.9728571428568</v>
      </c>
    </row>
    <row r="22" spans="2:6" x14ac:dyDescent="0.35">
      <c r="B22" s="25" t="s">
        <v>138</v>
      </c>
      <c r="C22">
        <v>304</v>
      </c>
      <c r="D22" s="26">
        <v>1</v>
      </c>
      <c r="E22" s="18">
        <v>1000</v>
      </c>
      <c r="F22" s="18">
        <v>17325.855789473688</v>
      </c>
    </row>
  </sheetData>
  <mergeCells count="1">
    <mergeCell ref="B2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18CD-AC61-491C-9C39-D3C8E83DA358}">
  <dimension ref="A1:X26"/>
  <sheetViews>
    <sheetView topLeftCell="A13" zoomScale="40" zoomScaleNormal="40" workbookViewId="0">
      <selection activeCell="B23" sqref="B23"/>
    </sheetView>
  </sheetViews>
  <sheetFormatPr defaultRowHeight="14.5" x14ac:dyDescent="0.35"/>
  <cols>
    <col min="1" max="1" width="34" bestFit="1" customWidth="1"/>
    <col min="2" max="2" width="19.453125" bestFit="1" customWidth="1"/>
    <col min="3" max="3" width="25.36328125" bestFit="1" customWidth="1"/>
    <col min="4" max="5" width="33.26953125" bestFit="1" customWidth="1"/>
    <col min="6" max="7" width="32.81640625" bestFit="1" customWidth="1"/>
    <col min="8" max="23" width="33.26953125" bestFit="1" customWidth="1"/>
    <col min="24" max="24" width="34.1796875" bestFit="1" customWidth="1"/>
    <col min="25" max="25" width="24.08984375" bestFit="1" customWidth="1"/>
  </cols>
  <sheetData>
    <row r="1" spans="1:24" ht="14.5" customHeight="1" x14ac:dyDescent="0.35">
      <c r="A1" s="43" t="s">
        <v>682</v>
      </c>
      <c r="B1" s="43"/>
      <c r="C1" s="43"/>
      <c r="D1" s="43"/>
      <c r="E1" s="43"/>
      <c r="F1" s="43"/>
    </row>
    <row r="2" spans="1:24" ht="14.5" customHeight="1" x14ac:dyDescent="0.35">
      <c r="A2" s="43"/>
      <c r="B2" s="43"/>
      <c r="C2" s="43"/>
      <c r="D2" s="43"/>
      <c r="E2" s="43"/>
      <c r="F2" s="43"/>
    </row>
    <row r="3" spans="1:24" ht="14.5" customHeight="1" x14ac:dyDescent="0.35">
      <c r="A3" s="43"/>
      <c r="B3" s="43"/>
      <c r="C3" s="43"/>
      <c r="D3" s="43"/>
      <c r="E3" s="43"/>
      <c r="F3" s="43"/>
    </row>
    <row r="4" spans="1:24" x14ac:dyDescent="0.35">
      <c r="A4" s="2"/>
    </row>
    <row r="5" spans="1:24" x14ac:dyDescent="0.35">
      <c r="A5" t="s">
        <v>13</v>
      </c>
      <c r="B5" t="s">
        <v>238</v>
      </c>
      <c r="C5" t="s">
        <v>239</v>
      </c>
      <c r="D5" t="s">
        <v>240</v>
      </c>
      <c r="E5" t="s">
        <v>241</v>
      </c>
      <c r="F5" t="s">
        <v>242</v>
      </c>
      <c r="G5" t="s">
        <v>243</v>
      </c>
      <c r="H5" t="s">
        <v>244</v>
      </c>
      <c r="I5" t="s">
        <v>245</v>
      </c>
      <c r="J5" t="s">
        <v>246</v>
      </c>
      <c r="K5" t="s">
        <v>247</v>
      </c>
      <c r="L5" t="s">
        <v>248</v>
      </c>
      <c r="M5" t="s">
        <v>249</v>
      </c>
      <c r="N5" t="s">
        <v>250</v>
      </c>
      <c r="O5" t="s">
        <v>251</v>
      </c>
      <c r="P5" t="s">
        <v>252</v>
      </c>
      <c r="Q5" t="s">
        <v>253</v>
      </c>
      <c r="R5" t="s">
        <v>254</v>
      </c>
      <c r="S5" t="s">
        <v>255</v>
      </c>
      <c r="T5" t="s">
        <v>256</v>
      </c>
      <c r="U5" t="s">
        <v>257</v>
      </c>
      <c r="V5" t="s">
        <v>258</v>
      </c>
    </row>
    <row r="6" spans="1:24" x14ac:dyDescent="0.35">
      <c r="A6" t="s">
        <v>222</v>
      </c>
      <c r="B6" s="18">
        <v>1000</v>
      </c>
      <c r="C6" s="18">
        <v>1186.4000000000001</v>
      </c>
      <c r="D6" s="18">
        <v>1500</v>
      </c>
      <c r="E6" s="18">
        <v>1680.386</v>
      </c>
      <c r="F6" s="18">
        <v>1992.48</v>
      </c>
      <c r="G6" s="18">
        <v>2399.98</v>
      </c>
      <c r="H6" s="18">
        <v>2739.2040000000002</v>
      </c>
      <c r="I6" s="18">
        <v>3000</v>
      </c>
      <c r="J6" s="18">
        <v>3500</v>
      </c>
      <c r="K6" s="18">
        <v>4000</v>
      </c>
      <c r="L6" s="18">
        <v>4800</v>
      </c>
      <c r="M6" s="18">
        <v>5000</v>
      </c>
      <c r="N6" s="18">
        <v>5024.4139999999998</v>
      </c>
      <c r="O6" s="18">
        <v>5617.9639999999999</v>
      </c>
      <c r="P6" s="18">
        <v>9836.84</v>
      </c>
      <c r="Q6" s="18">
        <v>12377.16</v>
      </c>
      <c r="R6" s="18">
        <v>16956.52800000002</v>
      </c>
      <c r="S6" s="18">
        <v>20247.331999999999</v>
      </c>
      <c r="T6" s="18">
        <v>29364.69400000001</v>
      </c>
      <c r="U6" s="18">
        <v>45000</v>
      </c>
      <c r="V6" s="18">
        <v>1149602.8999999999</v>
      </c>
    </row>
    <row r="7" spans="1:24" x14ac:dyDescent="0.35">
      <c r="A7" t="s">
        <v>138</v>
      </c>
      <c r="B7">
        <v>1000</v>
      </c>
      <c r="C7">
        <v>1186.4000000000001</v>
      </c>
      <c r="D7">
        <v>1500</v>
      </c>
      <c r="E7">
        <v>1680.386</v>
      </c>
      <c r="F7">
        <v>1992.48</v>
      </c>
      <c r="G7">
        <v>2399.98</v>
      </c>
      <c r="H7">
        <v>2739.2040000000002</v>
      </c>
      <c r="I7">
        <v>3000</v>
      </c>
      <c r="J7">
        <v>3500</v>
      </c>
      <c r="K7">
        <v>4000</v>
      </c>
      <c r="L7">
        <v>4800</v>
      </c>
      <c r="M7">
        <v>5000</v>
      </c>
      <c r="N7">
        <v>5024.4139999999998</v>
      </c>
      <c r="O7">
        <v>5617.9639999999999</v>
      </c>
      <c r="P7">
        <v>9836.84</v>
      </c>
      <c r="Q7">
        <v>12377.16</v>
      </c>
      <c r="R7">
        <v>16956.52800000002</v>
      </c>
      <c r="S7">
        <v>20247.331999999999</v>
      </c>
      <c r="T7">
        <v>29364.69400000001</v>
      </c>
      <c r="U7">
        <v>45000</v>
      </c>
      <c r="V7">
        <v>1149602.8999999999</v>
      </c>
    </row>
    <row r="8" spans="1:24" x14ac:dyDescent="0.35">
      <c r="A8" s="2"/>
    </row>
    <row r="10" spans="1:24" x14ac:dyDescent="0.35">
      <c r="A10" t="s">
        <v>13</v>
      </c>
      <c r="B10" t="s">
        <v>36</v>
      </c>
      <c r="C10" t="s">
        <v>287</v>
      </c>
      <c r="D10" t="s">
        <v>260</v>
      </c>
      <c r="E10" t="s">
        <v>259</v>
      </c>
      <c r="F10" t="s">
        <v>261</v>
      </c>
      <c r="G10" t="s">
        <v>262</v>
      </c>
      <c r="H10" t="s">
        <v>263</v>
      </c>
      <c r="I10" t="s">
        <v>264</v>
      </c>
      <c r="J10" t="s">
        <v>265</v>
      </c>
      <c r="K10" t="s">
        <v>266</v>
      </c>
      <c r="L10" t="s">
        <v>267</v>
      </c>
      <c r="M10" t="s">
        <v>268</v>
      </c>
      <c r="N10" t="s">
        <v>269</v>
      </c>
      <c r="O10" t="s">
        <v>270</v>
      </c>
      <c r="P10" t="s">
        <v>271</v>
      </c>
      <c r="Q10" t="s">
        <v>272</v>
      </c>
      <c r="R10" t="s">
        <v>273</v>
      </c>
      <c r="S10" t="s">
        <v>274</v>
      </c>
      <c r="T10" t="s">
        <v>275</v>
      </c>
      <c r="U10" t="s">
        <v>276</v>
      </c>
      <c r="V10" t="s">
        <v>277</v>
      </c>
      <c r="W10" t="s">
        <v>278</v>
      </c>
      <c r="X10" t="s">
        <v>279</v>
      </c>
    </row>
    <row r="11" spans="1:24" x14ac:dyDescent="0.35">
      <c r="A11" t="s">
        <v>222</v>
      </c>
      <c r="B11">
        <v>0</v>
      </c>
      <c r="C11">
        <v>137</v>
      </c>
      <c r="D11">
        <v>137</v>
      </c>
      <c r="E11">
        <v>130</v>
      </c>
      <c r="F11">
        <v>125</v>
      </c>
      <c r="G11">
        <v>116</v>
      </c>
      <c r="H11">
        <v>109</v>
      </c>
      <c r="I11">
        <v>103</v>
      </c>
      <c r="J11">
        <v>96</v>
      </c>
      <c r="K11">
        <v>91</v>
      </c>
      <c r="L11">
        <v>84</v>
      </c>
      <c r="M11">
        <v>77</v>
      </c>
      <c r="N11">
        <v>69</v>
      </c>
      <c r="O11">
        <v>68</v>
      </c>
      <c r="P11">
        <v>55</v>
      </c>
      <c r="Q11">
        <v>48</v>
      </c>
      <c r="R11">
        <v>41</v>
      </c>
      <c r="S11">
        <v>35</v>
      </c>
      <c r="T11">
        <v>28</v>
      </c>
      <c r="U11">
        <v>21</v>
      </c>
      <c r="V11">
        <v>14</v>
      </c>
      <c r="W11">
        <v>8</v>
      </c>
      <c r="X11">
        <v>1</v>
      </c>
    </row>
    <row r="12" spans="1:24" x14ac:dyDescent="0.35">
      <c r="A12" t="s">
        <v>222</v>
      </c>
      <c r="B12">
        <v>1</v>
      </c>
      <c r="C12">
        <v>167</v>
      </c>
      <c r="D12">
        <v>167</v>
      </c>
      <c r="E12">
        <v>160</v>
      </c>
      <c r="F12">
        <v>149</v>
      </c>
      <c r="G12">
        <v>139</v>
      </c>
      <c r="H12">
        <v>127</v>
      </c>
      <c r="I12">
        <v>111</v>
      </c>
      <c r="J12">
        <v>101</v>
      </c>
      <c r="K12">
        <v>99</v>
      </c>
      <c r="L12">
        <v>87</v>
      </c>
      <c r="M12">
        <v>84</v>
      </c>
      <c r="N12">
        <v>70</v>
      </c>
      <c r="O12">
        <v>70</v>
      </c>
      <c r="P12">
        <v>61</v>
      </c>
      <c r="Q12">
        <v>58</v>
      </c>
      <c r="R12">
        <v>34</v>
      </c>
      <c r="S12">
        <v>28</v>
      </c>
      <c r="T12">
        <v>21</v>
      </c>
      <c r="U12">
        <v>17</v>
      </c>
      <c r="V12">
        <v>8</v>
      </c>
      <c r="W12">
        <v>6</v>
      </c>
      <c r="X12">
        <v>0</v>
      </c>
    </row>
    <row r="13" spans="1:24" x14ac:dyDescent="0.35">
      <c r="A13" t="s">
        <v>138</v>
      </c>
      <c r="C13">
        <v>304</v>
      </c>
      <c r="D13">
        <v>304</v>
      </c>
      <c r="E13">
        <v>290</v>
      </c>
      <c r="F13">
        <v>274</v>
      </c>
      <c r="G13">
        <v>255</v>
      </c>
      <c r="H13">
        <v>236</v>
      </c>
      <c r="I13">
        <v>214</v>
      </c>
      <c r="J13">
        <v>197</v>
      </c>
      <c r="K13">
        <v>190</v>
      </c>
      <c r="L13">
        <v>171</v>
      </c>
      <c r="M13">
        <v>161</v>
      </c>
      <c r="N13">
        <v>139</v>
      </c>
      <c r="O13">
        <v>138</v>
      </c>
      <c r="P13">
        <v>116</v>
      </c>
      <c r="Q13">
        <v>106</v>
      </c>
      <c r="R13">
        <v>75</v>
      </c>
      <c r="S13">
        <v>63</v>
      </c>
      <c r="T13">
        <v>49</v>
      </c>
      <c r="U13">
        <v>38</v>
      </c>
      <c r="V13">
        <v>22</v>
      </c>
      <c r="W13">
        <v>14</v>
      </c>
      <c r="X13">
        <v>1</v>
      </c>
    </row>
    <row r="16" spans="1:24" x14ac:dyDescent="0.35">
      <c r="G16" t="s">
        <v>281</v>
      </c>
    </row>
    <row r="17" spans="1:23" x14ac:dyDescent="0.35">
      <c r="A17" s="7" t="s">
        <v>160</v>
      </c>
      <c r="B17" s="7" t="s">
        <v>288</v>
      </c>
      <c r="C17" s="7" t="s">
        <v>139</v>
      </c>
      <c r="D17" s="7" t="s">
        <v>140</v>
      </c>
      <c r="E17" s="7" t="s">
        <v>141</v>
      </c>
      <c r="F17" s="7" t="s">
        <v>142</v>
      </c>
      <c r="G17" s="7" t="s">
        <v>143</v>
      </c>
      <c r="H17" s="7" t="s">
        <v>144</v>
      </c>
      <c r="I17" s="7" t="s">
        <v>145</v>
      </c>
      <c r="J17" s="7" t="s">
        <v>146</v>
      </c>
      <c r="K17" s="7" t="s">
        <v>147</v>
      </c>
      <c r="L17" s="7" t="s">
        <v>148</v>
      </c>
      <c r="M17" s="7" t="s">
        <v>149</v>
      </c>
      <c r="N17" s="7" t="s">
        <v>150</v>
      </c>
      <c r="O17" s="7" t="s">
        <v>151</v>
      </c>
      <c r="P17" s="7" t="s">
        <v>152</v>
      </c>
      <c r="Q17" s="7" t="s">
        <v>153</v>
      </c>
      <c r="R17" s="7" t="s">
        <v>154</v>
      </c>
      <c r="S17" s="7" t="s">
        <v>155</v>
      </c>
      <c r="T17" s="7" t="s">
        <v>156</v>
      </c>
      <c r="U17" s="7" t="s">
        <v>157</v>
      </c>
      <c r="V17" s="7" t="s">
        <v>158</v>
      </c>
      <c r="W17" s="7" t="s">
        <v>159</v>
      </c>
    </row>
    <row r="18" spans="1:23" x14ac:dyDescent="0.35">
      <c r="A18" s="7" t="s">
        <v>716</v>
      </c>
      <c r="B18" s="3">
        <f t="shared" ref="B18" si="0">C11</f>
        <v>137</v>
      </c>
      <c r="C18" s="3">
        <f t="shared" ref="C18:C19" si="1">D11</f>
        <v>137</v>
      </c>
      <c r="D18" s="3">
        <f t="shared" ref="D18:D19" si="2">E11</f>
        <v>130</v>
      </c>
      <c r="E18" s="3">
        <f t="shared" ref="E18:E19" si="3">F11</f>
        <v>125</v>
      </c>
      <c r="F18" s="3">
        <f t="shared" ref="F18:F19" si="4">G11</f>
        <v>116</v>
      </c>
      <c r="G18" s="3">
        <f t="shared" ref="G18:G19" si="5">H11</f>
        <v>109</v>
      </c>
      <c r="H18" s="3">
        <f t="shared" ref="H18:H19" si="6">I11</f>
        <v>103</v>
      </c>
      <c r="I18" s="3">
        <f t="shared" ref="I18:I19" si="7">J11</f>
        <v>96</v>
      </c>
      <c r="J18" s="3">
        <f t="shared" ref="J18:J19" si="8">K11</f>
        <v>91</v>
      </c>
      <c r="K18" s="3">
        <f t="shared" ref="K18:K19" si="9">L11</f>
        <v>84</v>
      </c>
      <c r="L18" s="3">
        <f t="shared" ref="L18:L19" si="10">M11</f>
        <v>77</v>
      </c>
      <c r="M18" s="3">
        <f t="shared" ref="M18:M19" si="11">N11</f>
        <v>69</v>
      </c>
      <c r="N18" s="3">
        <f t="shared" ref="N18:N19" si="12">O11</f>
        <v>68</v>
      </c>
      <c r="O18" s="3">
        <f t="shared" ref="O18:O19" si="13">P11</f>
        <v>55</v>
      </c>
      <c r="P18" s="3">
        <f t="shared" ref="P18:P19" si="14">Q11</f>
        <v>48</v>
      </c>
      <c r="Q18" s="3">
        <f t="shared" ref="Q18:Q19" si="15">R11</f>
        <v>41</v>
      </c>
      <c r="R18" s="3">
        <f t="shared" ref="R18:R19" si="16">S11</f>
        <v>35</v>
      </c>
      <c r="S18" s="3">
        <f t="shared" ref="S18:S19" si="17">T11</f>
        <v>28</v>
      </c>
      <c r="T18" s="3">
        <f t="shared" ref="T18:T19" si="18">U11</f>
        <v>21</v>
      </c>
      <c r="U18" s="3">
        <f t="shared" ref="U18:U19" si="19">V11</f>
        <v>14</v>
      </c>
      <c r="V18" s="3">
        <f t="shared" ref="V18:V19" si="20">W11</f>
        <v>8</v>
      </c>
      <c r="W18" s="3">
        <f t="shared" ref="W18:W19" si="21">X11</f>
        <v>1</v>
      </c>
    </row>
    <row r="19" spans="1:23" x14ac:dyDescent="0.35">
      <c r="A19" s="7" t="s">
        <v>280</v>
      </c>
      <c r="B19" s="3">
        <f t="shared" ref="B19" si="22">C12</f>
        <v>167</v>
      </c>
      <c r="C19" s="3">
        <f t="shared" si="1"/>
        <v>167</v>
      </c>
      <c r="D19" s="3">
        <f t="shared" si="2"/>
        <v>160</v>
      </c>
      <c r="E19" s="3">
        <f t="shared" si="3"/>
        <v>149</v>
      </c>
      <c r="F19" s="3">
        <f t="shared" si="4"/>
        <v>139</v>
      </c>
      <c r="G19" s="3">
        <f t="shared" si="5"/>
        <v>127</v>
      </c>
      <c r="H19" s="3">
        <f t="shared" si="6"/>
        <v>111</v>
      </c>
      <c r="I19" s="3">
        <f t="shared" si="7"/>
        <v>101</v>
      </c>
      <c r="J19" s="3">
        <f t="shared" si="8"/>
        <v>99</v>
      </c>
      <c r="K19" s="3">
        <f t="shared" si="9"/>
        <v>87</v>
      </c>
      <c r="L19" s="3">
        <f t="shared" si="10"/>
        <v>84</v>
      </c>
      <c r="M19" s="3">
        <f t="shared" si="11"/>
        <v>70</v>
      </c>
      <c r="N19" s="3">
        <f t="shared" si="12"/>
        <v>70</v>
      </c>
      <c r="O19" s="3">
        <f t="shared" si="13"/>
        <v>61</v>
      </c>
      <c r="P19" s="3">
        <f t="shared" si="14"/>
        <v>58</v>
      </c>
      <c r="Q19" s="3">
        <f t="shared" si="15"/>
        <v>34</v>
      </c>
      <c r="R19" s="3">
        <f t="shared" si="16"/>
        <v>28</v>
      </c>
      <c r="S19" s="3">
        <f t="shared" si="17"/>
        <v>21</v>
      </c>
      <c r="T19" s="3">
        <f t="shared" si="18"/>
        <v>17</v>
      </c>
      <c r="U19" s="3">
        <f t="shared" si="19"/>
        <v>8</v>
      </c>
      <c r="V19" s="3">
        <f t="shared" si="20"/>
        <v>6</v>
      </c>
      <c r="W19" s="3">
        <f t="shared" si="21"/>
        <v>0</v>
      </c>
    </row>
    <row r="20" spans="1:23" x14ac:dyDescent="0.35">
      <c r="A20" s="7" t="s">
        <v>717</v>
      </c>
      <c r="B20" s="3">
        <f t="shared" ref="B20:W20" si="23">SUM(B18:B19)</f>
        <v>304</v>
      </c>
      <c r="C20" s="3">
        <f t="shared" si="23"/>
        <v>304</v>
      </c>
      <c r="D20" s="3">
        <f t="shared" si="23"/>
        <v>290</v>
      </c>
      <c r="E20" s="3">
        <f t="shared" si="23"/>
        <v>274</v>
      </c>
      <c r="F20" s="3">
        <f t="shared" si="23"/>
        <v>255</v>
      </c>
      <c r="G20" s="3">
        <f t="shared" si="23"/>
        <v>236</v>
      </c>
      <c r="H20" s="3">
        <f t="shared" si="23"/>
        <v>214</v>
      </c>
      <c r="I20" s="3">
        <f t="shared" si="23"/>
        <v>197</v>
      </c>
      <c r="J20" s="3">
        <f t="shared" si="23"/>
        <v>190</v>
      </c>
      <c r="K20" s="3">
        <f t="shared" si="23"/>
        <v>171</v>
      </c>
      <c r="L20" s="3">
        <f t="shared" si="23"/>
        <v>161</v>
      </c>
      <c r="M20" s="3">
        <f t="shared" si="23"/>
        <v>139</v>
      </c>
      <c r="N20" s="3">
        <f t="shared" si="23"/>
        <v>138</v>
      </c>
      <c r="O20" s="3">
        <f t="shared" si="23"/>
        <v>116</v>
      </c>
      <c r="P20" s="3">
        <f t="shared" si="23"/>
        <v>106</v>
      </c>
      <c r="Q20" s="3">
        <f t="shared" si="23"/>
        <v>75</v>
      </c>
      <c r="R20" s="3">
        <f t="shared" si="23"/>
        <v>63</v>
      </c>
      <c r="S20" s="3">
        <f t="shared" si="23"/>
        <v>49</v>
      </c>
      <c r="T20" s="3">
        <f t="shared" si="23"/>
        <v>38</v>
      </c>
      <c r="U20" s="3">
        <f t="shared" si="23"/>
        <v>22</v>
      </c>
      <c r="V20" s="3">
        <f t="shared" si="23"/>
        <v>14</v>
      </c>
      <c r="W20" s="3">
        <f t="shared" si="23"/>
        <v>1</v>
      </c>
    </row>
    <row r="21" spans="1:23" x14ac:dyDescent="0.35">
      <c r="A21" s="7" t="s">
        <v>286</v>
      </c>
      <c r="B21" s="4">
        <f t="shared" ref="B21:W21" si="24">B19/$B$19</f>
        <v>1</v>
      </c>
      <c r="C21" s="4">
        <f t="shared" si="24"/>
        <v>1</v>
      </c>
      <c r="D21" s="4">
        <f t="shared" si="24"/>
        <v>0.95808383233532934</v>
      </c>
      <c r="E21" s="4">
        <f t="shared" si="24"/>
        <v>0.89221556886227549</v>
      </c>
      <c r="F21" s="4">
        <f t="shared" si="24"/>
        <v>0.83233532934131738</v>
      </c>
      <c r="G21" s="4">
        <f t="shared" si="24"/>
        <v>0.76047904191616766</v>
      </c>
      <c r="H21" s="4">
        <f t="shared" si="24"/>
        <v>0.66467065868263475</v>
      </c>
      <c r="I21" s="4">
        <f t="shared" si="24"/>
        <v>0.60479041916167664</v>
      </c>
      <c r="J21" s="4">
        <f t="shared" si="24"/>
        <v>0.59281437125748504</v>
      </c>
      <c r="K21" s="4">
        <f t="shared" si="24"/>
        <v>0.52095808383233533</v>
      </c>
      <c r="L21" s="4">
        <f t="shared" si="24"/>
        <v>0.50299401197604787</v>
      </c>
      <c r="M21" s="4">
        <f t="shared" si="24"/>
        <v>0.41916167664670656</v>
      </c>
      <c r="N21" s="4">
        <f t="shared" si="24"/>
        <v>0.41916167664670656</v>
      </c>
      <c r="O21" s="4">
        <f t="shared" si="24"/>
        <v>0.3652694610778443</v>
      </c>
      <c r="P21" s="4">
        <f t="shared" si="24"/>
        <v>0.3473053892215569</v>
      </c>
      <c r="Q21" s="4">
        <f t="shared" si="24"/>
        <v>0.20359281437125748</v>
      </c>
      <c r="R21" s="4">
        <f t="shared" si="24"/>
        <v>0.16766467065868262</v>
      </c>
      <c r="S21" s="4">
        <f t="shared" si="24"/>
        <v>0.12574850299401197</v>
      </c>
      <c r="T21" s="4">
        <f t="shared" si="24"/>
        <v>0.10179640718562874</v>
      </c>
      <c r="U21" s="4">
        <f t="shared" si="24"/>
        <v>4.790419161676647E-2</v>
      </c>
      <c r="V21" s="4">
        <f t="shared" si="24"/>
        <v>3.5928143712574849E-2</v>
      </c>
      <c r="W21" s="4">
        <f t="shared" si="24"/>
        <v>0</v>
      </c>
    </row>
    <row r="22" spans="1:23" x14ac:dyDescent="0.35">
      <c r="A22" s="7" t="s">
        <v>718</v>
      </c>
      <c r="B22" s="4">
        <f t="shared" ref="B22:W22" si="25">B18/B20</f>
        <v>0.45065789473684209</v>
      </c>
      <c r="C22" s="4">
        <f t="shared" si="25"/>
        <v>0.45065789473684209</v>
      </c>
      <c r="D22" s="4">
        <f t="shared" si="25"/>
        <v>0.44827586206896552</v>
      </c>
      <c r="E22" s="4">
        <f t="shared" si="25"/>
        <v>0.45620437956204379</v>
      </c>
      <c r="F22" s="4">
        <f t="shared" si="25"/>
        <v>0.45490196078431372</v>
      </c>
      <c r="G22" s="4">
        <f t="shared" si="25"/>
        <v>0.46186440677966101</v>
      </c>
      <c r="H22" s="4">
        <f t="shared" si="25"/>
        <v>0.48130841121495327</v>
      </c>
      <c r="I22" s="4">
        <f t="shared" si="25"/>
        <v>0.48730964467005078</v>
      </c>
      <c r="J22" s="4">
        <f t="shared" si="25"/>
        <v>0.47894736842105262</v>
      </c>
      <c r="K22" s="4">
        <f t="shared" si="25"/>
        <v>0.49122807017543857</v>
      </c>
      <c r="L22" s="4">
        <f t="shared" si="25"/>
        <v>0.47826086956521741</v>
      </c>
      <c r="M22" s="4">
        <f t="shared" si="25"/>
        <v>0.49640287769784175</v>
      </c>
      <c r="N22" s="4">
        <f t="shared" si="25"/>
        <v>0.49275362318840582</v>
      </c>
      <c r="O22" s="4">
        <f t="shared" si="25"/>
        <v>0.47413793103448276</v>
      </c>
      <c r="P22" s="4">
        <f t="shared" si="25"/>
        <v>0.45283018867924529</v>
      </c>
      <c r="Q22" s="4">
        <f t="shared" si="25"/>
        <v>0.54666666666666663</v>
      </c>
      <c r="R22" s="4">
        <f t="shared" si="25"/>
        <v>0.55555555555555558</v>
      </c>
      <c r="S22" s="4">
        <f t="shared" si="25"/>
        <v>0.5714285714285714</v>
      </c>
      <c r="T22" s="4">
        <f t="shared" si="25"/>
        <v>0.55263157894736847</v>
      </c>
      <c r="U22" s="4">
        <f t="shared" si="25"/>
        <v>0.63636363636363635</v>
      </c>
      <c r="V22" s="4">
        <f t="shared" si="25"/>
        <v>0.5714285714285714</v>
      </c>
      <c r="W22" s="4">
        <f t="shared" si="25"/>
        <v>1</v>
      </c>
    </row>
    <row r="23" spans="1:23" x14ac:dyDescent="0.35">
      <c r="A23" s="7" t="s">
        <v>719</v>
      </c>
      <c r="B23" s="7"/>
      <c r="C23" s="6">
        <f t="shared" ref="C23" si="26">B7</f>
        <v>1000</v>
      </c>
      <c r="D23" s="6">
        <f t="shared" ref="D23" si="27">C7</f>
        <v>1186.4000000000001</v>
      </c>
      <c r="E23" s="6">
        <f t="shared" ref="E23" si="28">D7</f>
        <v>1500</v>
      </c>
      <c r="F23" s="6">
        <f t="shared" ref="F23" si="29">E7</f>
        <v>1680.386</v>
      </c>
      <c r="G23" s="6">
        <f t="shared" ref="G23" si="30">F7</f>
        <v>1992.48</v>
      </c>
      <c r="H23" s="6">
        <f t="shared" ref="H23" si="31">G7</f>
        <v>2399.98</v>
      </c>
      <c r="I23" s="6">
        <f t="shared" ref="I23" si="32">H7</f>
        <v>2739.2040000000002</v>
      </c>
      <c r="J23" s="6">
        <f t="shared" ref="J23" si="33">I7</f>
        <v>3000</v>
      </c>
      <c r="K23" s="6">
        <f t="shared" ref="K23" si="34">J7</f>
        <v>3500</v>
      </c>
      <c r="L23" s="6">
        <f t="shared" ref="L23" si="35">K7</f>
        <v>4000</v>
      </c>
      <c r="M23" s="6">
        <f t="shared" ref="M23" si="36">L7</f>
        <v>4800</v>
      </c>
      <c r="N23" s="6">
        <f t="shared" ref="N23" si="37">M7</f>
        <v>5000</v>
      </c>
      <c r="O23" s="6">
        <f t="shared" ref="O23" si="38">N7</f>
        <v>5024.4139999999998</v>
      </c>
      <c r="P23" s="6">
        <f t="shared" ref="P23" si="39">O7</f>
        <v>5617.9639999999999</v>
      </c>
      <c r="Q23" s="6">
        <f t="shared" ref="Q23" si="40">P7</f>
        <v>9836.84</v>
      </c>
      <c r="R23" s="6">
        <f t="shared" ref="R23" si="41">Q7</f>
        <v>12377.16</v>
      </c>
      <c r="S23" s="6">
        <f t="shared" ref="S23" si="42">R7</f>
        <v>16956.52800000002</v>
      </c>
      <c r="T23" s="6">
        <f t="shared" ref="T23" si="43">S7</f>
        <v>20247.331999999999</v>
      </c>
      <c r="U23" s="6">
        <f t="shared" ref="U23" si="44">T7</f>
        <v>29364.69400000001</v>
      </c>
      <c r="V23" s="6">
        <f t="shared" ref="V23" si="45">U7</f>
        <v>45000</v>
      </c>
      <c r="W23" s="6">
        <f t="shared" ref="W23" si="46">V7</f>
        <v>1149602.8999999999</v>
      </c>
    </row>
    <row r="24" spans="1:23" x14ac:dyDescent="0.35">
      <c r="A24" s="7" t="s">
        <v>720</v>
      </c>
      <c r="B24" s="19">
        <f>$B$18-B18</f>
        <v>0</v>
      </c>
      <c r="C24" s="19">
        <f t="shared" ref="C24:W24" si="47">$B$18-C18</f>
        <v>0</v>
      </c>
      <c r="D24" s="19">
        <f t="shared" si="47"/>
        <v>7</v>
      </c>
      <c r="E24" s="19">
        <f t="shared" si="47"/>
        <v>12</v>
      </c>
      <c r="F24" s="19">
        <f t="shared" si="47"/>
        <v>21</v>
      </c>
      <c r="G24" s="19">
        <f t="shared" si="47"/>
        <v>28</v>
      </c>
      <c r="H24" s="19">
        <f t="shared" si="47"/>
        <v>34</v>
      </c>
      <c r="I24" s="19">
        <f t="shared" si="47"/>
        <v>41</v>
      </c>
      <c r="J24" s="19">
        <f t="shared" si="47"/>
        <v>46</v>
      </c>
      <c r="K24" s="19">
        <f t="shared" si="47"/>
        <v>53</v>
      </c>
      <c r="L24" s="19">
        <f t="shared" si="47"/>
        <v>60</v>
      </c>
      <c r="M24" s="19">
        <f t="shared" si="47"/>
        <v>68</v>
      </c>
      <c r="N24" s="19">
        <f t="shared" si="47"/>
        <v>69</v>
      </c>
      <c r="O24" s="19">
        <f t="shared" si="47"/>
        <v>82</v>
      </c>
      <c r="P24" s="19">
        <f t="shared" si="47"/>
        <v>89</v>
      </c>
      <c r="Q24" s="19">
        <f t="shared" si="47"/>
        <v>96</v>
      </c>
      <c r="R24" s="19">
        <f t="shared" si="47"/>
        <v>102</v>
      </c>
      <c r="S24" s="19">
        <f t="shared" si="47"/>
        <v>109</v>
      </c>
      <c r="T24" s="19">
        <f t="shared" si="47"/>
        <v>116</v>
      </c>
      <c r="U24" s="19">
        <f t="shared" si="47"/>
        <v>123</v>
      </c>
      <c r="V24" s="19">
        <f t="shared" si="47"/>
        <v>129</v>
      </c>
      <c r="W24" s="19">
        <f t="shared" si="47"/>
        <v>136</v>
      </c>
    </row>
    <row r="25" spans="1:23" x14ac:dyDescent="0.35">
      <c r="A25" s="7" t="s">
        <v>712</v>
      </c>
      <c r="B25" s="19">
        <f>$B$19-B19</f>
        <v>0</v>
      </c>
      <c r="C25" s="19">
        <f t="shared" ref="C25:W25" si="48">$B$19-C19</f>
        <v>0</v>
      </c>
      <c r="D25" s="19">
        <f t="shared" si="48"/>
        <v>7</v>
      </c>
      <c r="E25" s="19">
        <f t="shared" si="48"/>
        <v>18</v>
      </c>
      <c r="F25" s="19">
        <f t="shared" si="48"/>
        <v>28</v>
      </c>
      <c r="G25" s="19">
        <f t="shared" si="48"/>
        <v>40</v>
      </c>
      <c r="H25" s="19">
        <f t="shared" si="48"/>
        <v>56</v>
      </c>
      <c r="I25" s="19">
        <f t="shared" si="48"/>
        <v>66</v>
      </c>
      <c r="J25" s="19">
        <f t="shared" si="48"/>
        <v>68</v>
      </c>
      <c r="K25" s="19">
        <f t="shared" si="48"/>
        <v>80</v>
      </c>
      <c r="L25" s="19">
        <f t="shared" si="48"/>
        <v>83</v>
      </c>
      <c r="M25" s="19">
        <f t="shared" si="48"/>
        <v>97</v>
      </c>
      <c r="N25" s="19">
        <f t="shared" si="48"/>
        <v>97</v>
      </c>
      <c r="O25" s="19">
        <f t="shared" si="48"/>
        <v>106</v>
      </c>
      <c r="P25" s="19">
        <f t="shared" si="48"/>
        <v>109</v>
      </c>
      <c r="Q25" s="19">
        <f t="shared" si="48"/>
        <v>133</v>
      </c>
      <c r="R25" s="19">
        <f t="shared" si="48"/>
        <v>139</v>
      </c>
      <c r="S25" s="19">
        <f t="shared" si="48"/>
        <v>146</v>
      </c>
      <c r="T25" s="19">
        <f t="shared" si="48"/>
        <v>150</v>
      </c>
      <c r="U25" s="19">
        <f t="shared" si="48"/>
        <v>159</v>
      </c>
      <c r="V25" s="19">
        <f t="shared" si="48"/>
        <v>161</v>
      </c>
      <c r="W25" s="19">
        <f t="shared" si="48"/>
        <v>167</v>
      </c>
    </row>
    <row r="26" spans="1:23" x14ac:dyDescent="0.35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</sheetData>
  <mergeCells count="1">
    <mergeCell ref="A1:F3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968"/>
  <sheetViews>
    <sheetView workbookViewId="0">
      <selection activeCell="N1" sqref="N1"/>
    </sheetView>
  </sheetViews>
  <sheetFormatPr defaultRowHeight="14.5" x14ac:dyDescent="0.35"/>
  <sheetData>
    <row r="1" spans="1:89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161</v>
      </c>
      <c r="AW1" s="17" t="s">
        <v>162</v>
      </c>
      <c r="AX1" s="17" t="s">
        <v>163</v>
      </c>
      <c r="AY1" s="17" t="s">
        <v>164</v>
      </c>
      <c r="AZ1" s="17" t="s">
        <v>165</v>
      </c>
      <c r="BA1" s="17" t="s">
        <v>166</v>
      </c>
      <c r="BB1" s="17" t="s">
        <v>167</v>
      </c>
      <c r="BC1" s="17" t="s">
        <v>168</v>
      </c>
      <c r="BD1" s="17" t="s">
        <v>169</v>
      </c>
      <c r="BE1" s="17" t="s">
        <v>170</v>
      </c>
      <c r="BF1" s="17" t="s">
        <v>171</v>
      </c>
      <c r="BG1" s="17" t="s">
        <v>172</v>
      </c>
      <c r="BH1" s="17" t="s">
        <v>173</v>
      </c>
      <c r="BI1" s="17" t="s">
        <v>174</v>
      </c>
      <c r="BJ1" s="17" t="s">
        <v>175</v>
      </c>
      <c r="BK1" s="17" t="s">
        <v>176</v>
      </c>
      <c r="BL1" s="17" t="s">
        <v>177</v>
      </c>
      <c r="BM1" s="17" t="s">
        <v>178</v>
      </c>
      <c r="BN1" s="17" t="s">
        <v>179</v>
      </c>
      <c r="BO1" s="17" t="s">
        <v>180</v>
      </c>
      <c r="BP1" s="17" t="s">
        <v>181</v>
      </c>
      <c r="BQ1" s="17" t="s">
        <v>182</v>
      </c>
      <c r="BR1" s="17" t="s">
        <v>183</v>
      </c>
      <c r="BS1" s="17" t="s">
        <v>184</v>
      </c>
      <c r="BT1" s="17" t="s">
        <v>185</v>
      </c>
      <c r="BU1" s="17" t="s">
        <v>186</v>
      </c>
      <c r="BV1" s="17" t="s">
        <v>187</v>
      </c>
      <c r="BW1" s="17" t="s">
        <v>188</v>
      </c>
      <c r="BX1" s="17" t="s">
        <v>189</v>
      </c>
      <c r="BY1" s="17" t="s">
        <v>190</v>
      </c>
      <c r="BZ1" s="17" t="s">
        <v>191</v>
      </c>
      <c r="CA1" s="17" t="s">
        <v>192</v>
      </c>
      <c r="CB1" s="17" t="s">
        <v>193</v>
      </c>
      <c r="CC1" s="17" t="s">
        <v>194</v>
      </c>
      <c r="CD1" s="17" t="s">
        <v>195</v>
      </c>
      <c r="CE1" s="17" t="s">
        <v>196</v>
      </c>
      <c r="CF1" s="17" t="s">
        <v>197</v>
      </c>
      <c r="CG1" s="17" t="s">
        <v>198</v>
      </c>
      <c r="CH1" s="17" t="s">
        <v>199</v>
      </c>
      <c r="CI1" s="17" t="s">
        <v>200</v>
      </c>
      <c r="CJ1" s="17" t="s">
        <v>201</v>
      </c>
      <c r="CK1" s="17" t="s">
        <v>202</v>
      </c>
    </row>
    <row r="2" spans="1:89" x14ac:dyDescent="0.35">
      <c r="A2">
        <v>337728</v>
      </c>
      <c r="B2" t="s">
        <v>289</v>
      </c>
      <c r="C2" t="s">
        <v>290</v>
      </c>
      <c r="D2" s="1">
        <v>45780</v>
      </c>
      <c r="E2">
        <v>53850</v>
      </c>
      <c r="F2">
        <v>137</v>
      </c>
      <c r="G2" t="s">
        <v>83</v>
      </c>
      <c r="H2" t="s">
        <v>48</v>
      </c>
      <c r="I2" t="s">
        <v>49</v>
      </c>
      <c r="K2">
        <v>202504287941071</v>
      </c>
      <c r="L2">
        <v>1373300005994</v>
      </c>
      <c r="M2">
        <v>20250428</v>
      </c>
      <c r="N2" t="s">
        <v>222</v>
      </c>
      <c r="P2" t="s">
        <v>291</v>
      </c>
      <c r="Q2" t="s">
        <v>50</v>
      </c>
      <c r="R2">
        <v>18411.75</v>
      </c>
      <c r="S2">
        <v>0</v>
      </c>
      <c r="T2">
        <v>3734872</v>
      </c>
      <c r="U2">
        <v>1896670708</v>
      </c>
      <c r="V2" t="s">
        <v>292</v>
      </c>
      <c r="W2" t="s">
        <v>58</v>
      </c>
      <c r="X2" t="s">
        <v>293</v>
      </c>
      <c r="Y2" t="s">
        <v>52</v>
      </c>
      <c r="Z2">
        <v>1867</v>
      </c>
      <c r="AH2">
        <v>0</v>
      </c>
      <c r="AI2">
        <v>202504</v>
      </c>
      <c r="AJ2" t="s">
        <v>68</v>
      </c>
      <c r="AK2">
        <v>0</v>
      </c>
      <c r="AL2">
        <v>1</v>
      </c>
      <c r="AO2">
        <v>0</v>
      </c>
      <c r="AP2">
        <v>999</v>
      </c>
      <c r="AQ2">
        <v>430</v>
      </c>
      <c r="AR2">
        <v>430999</v>
      </c>
      <c r="AT2">
        <v>1</v>
      </c>
      <c r="AU2" t="s">
        <v>59</v>
      </c>
      <c r="AV2">
        <v>1000</v>
      </c>
      <c r="AW2">
        <v>1186.4000000000001</v>
      </c>
      <c r="AX2">
        <v>1500</v>
      </c>
      <c r="AY2">
        <v>1680.386</v>
      </c>
      <c r="AZ2">
        <v>1992.48</v>
      </c>
      <c r="BA2">
        <v>2399.98</v>
      </c>
      <c r="BB2">
        <v>2739.2040000000002</v>
      </c>
      <c r="BC2">
        <v>3000</v>
      </c>
      <c r="BD2">
        <v>3500</v>
      </c>
      <c r="BE2">
        <v>4000</v>
      </c>
      <c r="BF2">
        <v>4800</v>
      </c>
      <c r="BG2">
        <v>5000</v>
      </c>
      <c r="BH2">
        <v>5024.4139999999998</v>
      </c>
      <c r="BI2">
        <v>5617.9639999999999</v>
      </c>
      <c r="BJ2">
        <v>9836.84</v>
      </c>
      <c r="BK2">
        <v>12377.16</v>
      </c>
      <c r="BL2">
        <v>16956.52800000002</v>
      </c>
      <c r="BM2">
        <v>20247.331999999999</v>
      </c>
      <c r="BN2">
        <v>29364.69400000001</v>
      </c>
      <c r="BO2">
        <v>45000</v>
      </c>
      <c r="BP2">
        <v>1149602.8999999999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</row>
    <row r="3" spans="1:89" x14ac:dyDescent="0.35">
      <c r="A3">
        <v>337720</v>
      </c>
      <c r="B3" t="s">
        <v>289</v>
      </c>
      <c r="C3" t="s">
        <v>290</v>
      </c>
      <c r="D3" s="1">
        <v>45778</v>
      </c>
      <c r="E3">
        <v>53850</v>
      </c>
      <c r="F3">
        <v>157</v>
      </c>
      <c r="G3" t="s">
        <v>294</v>
      </c>
      <c r="H3" t="s">
        <v>48</v>
      </c>
      <c r="I3" t="s">
        <v>49</v>
      </c>
      <c r="K3" t="s">
        <v>295</v>
      </c>
      <c r="L3">
        <v>1573300000971</v>
      </c>
      <c r="M3">
        <v>20250430</v>
      </c>
      <c r="N3" t="s">
        <v>222</v>
      </c>
      <c r="P3" t="s">
        <v>296</v>
      </c>
      <c r="Q3" t="s">
        <v>61</v>
      </c>
      <c r="R3">
        <v>4036.26</v>
      </c>
      <c r="S3">
        <v>0</v>
      </c>
      <c r="T3">
        <v>4254771</v>
      </c>
      <c r="U3" t="s">
        <v>297</v>
      </c>
      <c r="V3" t="s">
        <v>298</v>
      </c>
      <c r="W3" t="s">
        <v>51</v>
      </c>
      <c r="Y3" t="s">
        <v>52</v>
      </c>
      <c r="Z3">
        <v>1116</v>
      </c>
      <c r="AH3">
        <v>0</v>
      </c>
      <c r="AI3">
        <v>202504</v>
      </c>
      <c r="AJ3" t="s">
        <v>55</v>
      </c>
      <c r="AK3">
        <v>0</v>
      </c>
      <c r="AL3">
        <v>1</v>
      </c>
      <c r="AO3">
        <v>0</v>
      </c>
      <c r="AP3">
        <v>999</v>
      </c>
      <c r="AQ3">
        <v>600</v>
      </c>
      <c r="AR3">
        <v>600999</v>
      </c>
      <c r="AS3" t="s">
        <v>53</v>
      </c>
      <c r="AU3" t="s">
        <v>53</v>
      </c>
      <c r="AV3">
        <v>1000</v>
      </c>
      <c r="AW3">
        <v>1186.4000000000001</v>
      </c>
      <c r="AX3">
        <v>1500</v>
      </c>
      <c r="AY3">
        <v>1680.386</v>
      </c>
      <c r="AZ3">
        <v>1992.48</v>
      </c>
      <c r="BA3">
        <v>2399.98</v>
      </c>
      <c r="BB3">
        <v>2739.2040000000002</v>
      </c>
      <c r="BC3">
        <v>3000</v>
      </c>
      <c r="BD3">
        <v>3500</v>
      </c>
      <c r="BE3">
        <v>4000</v>
      </c>
      <c r="BF3">
        <v>4800</v>
      </c>
      <c r="BG3">
        <v>5000</v>
      </c>
      <c r="BH3">
        <v>5024.4139999999998</v>
      </c>
      <c r="BI3">
        <v>5617.9639999999999</v>
      </c>
      <c r="BJ3">
        <v>9836.84</v>
      </c>
      <c r="BK3">
        <v>12377.16</v>
      </c>
      <c r="BL3">
        <v>16956.52800000002</v>
      </c>
      <c r="BM3">
        <v>20247.331999999999</v>
      </c>
      <c r="BN3">
        <v>29364.69400000001</v>
      </c>
      <c r="BO3">
        <v>45000</v>
      </c>
      <c r="BP3">
        <v>1149602.8999999999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 x14ac:dyDescent="0.35">
      <c r="A4">
        <v>337701</v>
      </c>
      <c r="B4" t="s">
        <v>289</v>
      </c>
      <c r="C4" t="s">
        <v>290</v>
      </c>
      <c r="D4" s="1">
        <v>45778</v>
      </c>
      <c r="E4">
        <v>53850</v>
      </c>
      <c r="F4">
        <v>132</v>
      </c>
      <c r="G4" t="s">
        <v>204</v>
      </c>
      <c r="H4" t="s">
        <v>48</v>
      </c>
      <c r="I4" t="s">
        <v>49</v>
      </c>
      <c r="K4" t="s">
        <v>299</v>
      </c>
      <c r="L4">
        <v>1323300003545</v>
      </c>
      <c r="M4">
        <v>20250430</v>
      </c>
      <c r="N4" t="s">
        <v>222</v>
      </c>
      <c r="P4" t="s">
        <v>300</v>
      </c>
      <c r="Q4" t="s">
        <v>50</v>
      </c>
      <c r="R4">
        <v>2000</v>
      </c>
      <c r="S4">
        <v>0</v>
      </c>
      <c r="T4">
        <v>4993626</v>
      </c>
      <c r="U4" t="s">
        <v>301</v>
      </c>
      <c r="V4" t="s">
        <v>302</v>
      </c>
      <c r="W4" t="s">
        <v>51</v>
      </c>
      <c r="Y4" t="s">
        <v>52</v>
      </c>
      <c r="Z4">
        <v>1628</v>
      </c>
      <c r="AH4">
        <v>0</v>
      </c>
      <c r="AI4">
        <v>202504</v>
      </c>
      <c r="AJ4" t="s">
        <v>205</v>
      </c>
      <c r="AK4">
        <v>1</v>
      </c>
      <c r="AL4">
        <v>1</v>
      </c>
      <c r="AO4">
        <v>0</v>
      </c>
      <c r="AP4">
        <v>999</v>
      </c>
      <c r="AQ4">
        <v>600</v>
      </c>
      <c r="AR4">
        <v>600999</v>
      </c>
      <c r="AS4" t="s">
        <v>53</v>
      </c>
      <c r="AU4" t="s">
        <v>53</v>
      </c>
      <c r="AV4">
        <v>1000</v>
      </c>
      <c r="AW4">
        <v>1186.4000000000001</v>
      </c>
      <c r="AX4">
        <v>1500</v>
      </c>
      <c r="AY4">
        <v>1680.386</v>
      </c>
      <c r="AZ4">
        <v>1992.48</v>
      </c>
      <c r="BA4">
        <v>2399.98</v>
      </c>
      <c r="BB4">
        <v>2739.2040000000002</v>
      </c>
      <c r="BC4">
        <v>3000</v>
      </c>
      <c r="BD4">
        <v>3500</v>
      </c>
      <c r="BE4">
        <v>4000</v>
      </c>
      <c r="BF4">
        <v>4800</v>
      </c>
      <c r="BG4">
        <v>5000</v>
      </c>
      <c r="BH4">
        <v>5024.4139999999998</v>
      </c>
      <c r="BI4">
        <v>5617.9639999999999</v>
      </c>
      <c r="BJ4">
        <v>9836.84</v>
      </c>
      <c r="BK4">
        <v>12377.16</v>
      </c>
      <c r="BL4">
        <v>16956.52800000002</v>
      </c>
      <c r="BM4">
        <v>20247.331999999999</v>
      </c>
      <c r="BN4">
        <v>29364.69400000001</v>
      </c>
      <c r="BO4">
        <v>45000</v>
      </c>
      <c r="BP4">
        <v>1149602.8999999999</v>
      </c>
      <c r="BQ4">
        <v>1</v>
      </c>
      <c r="BR4">
        <v>1</v>
      </c>
      <c r="BS4">
        <v>1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 x14ac:dyDescent="0.35">
      <c r="A5">
        <v>337695</v>
      </c>
      <c r="B5" t="s">
        <v>289</v>
      </c>
      <c r="C5" t="s">
        <v>290</v>
      </c>
      <c r="D5" s="1">
        <v>45778</v>
      </c>
      <c r="E5">
        <v>53850</v>
      </c>
      <c r="F5">
        <v>118</v>
      </c>
      <c r="G5" t="s">
        <v>130</v>
      </c>
      <c r="H5" t="s">
        <v>48</v>
      </c>
      <c r="I5" t="s">
        <v>49</v>
      </c>
      <c r="K5">
        <v>202504307935442</v>
      </c>
      <c r="L5">
        <v>1183306279384</v>
      </c>
      <c r="M5">
        <v>20250430</v>
      </c>
      <c r="N5" t="s">
        <v>222</v>
      </c>
      <c r="P5" t="s">
        <v>303</v>
      </c>
      <c r="Q5" t="s">
        <v>50</v>
      </c>
      <c r="R5">
        <v>18000</v>
      </c>
      <c r="S5">
        <v>0</v>
      </c>
      <c r="T5">
        <v>4896093</v>
      </c>
      <c r="U5">
        <v>8070110724</v>
      </c>
      <c r="V5" t="s">
        <v>304</v>
      </c>
      <c r="W5" t="s">
        <v>58</v>
      </c>
      <c r="X5" t="s">
        <v>231</v>
      </c>
      <c r="Y5" t="s">
        <v>52</v>
      </c>
      <c r="Z5">
        <v>979</v>
      </c>
      <c r="AH5">
        <v>0</v>
      </c>
      <c r="AI5">
        <v>202504</v>
      </c>
      <c r="AJ5" t="s">
        <v>203</v>
      </c>
      <c r="AK5">
        <v>1</v>
      </c>
      <c r="AL5">
        <v>1</v>
      </c>
      <c r="AO5">
        <v>0</v>
      </c>
      <c r="AP5">
        <v>999</v>
      </c>
      <c r="AQ5">
        <v>430</v>
      </c>
      <c r="AR5">
        <v>430999</v>
      </c>
      <c r="AT5">
        <v>1</v>
      </c>
      <c r="AU5" t="s">
        <v>59</v>
      </c>
      <c r="AV5">
        <v>1000</v>
      </c>
      <c r="AW5">
        <v>1186.4000000000001</v>
      </c>
      <c r="AX5">
        <v>1500</v>
      </c>
      <c r="AY5">
        <v>1680.386</v>
      </c>
      <c r="AZ5">
        <v>1992.48</v>
      </c>
      <c r="BA5">
        <v>2399.98</v>
      </c>
      <c r="BB5">
        <v>2739.2040000000002</v>
      </c>
      <c r="BC5">
        <v>3000</v>
      </c>
      <c r="BD5">
        <v>3500</v>
      </c>
      <c r="BE5">
        <v>4000</v>
      </c>
      <c r="BF5">
        <v>4800</v>
      </c>
      <c r="BG5">
        <v>5000</v>
      </c>
      <c r="BH5">
        <v>5024.4139999999998</v>
      </c>
      <c r="BI5">
        <v>5617.9639999999999</v>
      </c>
      <c r="BJ5">
        <v>9836.84</v>
      </c>
      <c r="BK5">
        <v>12377.16</v>
      </c>
      <c r="BL5">
        <v>16956.52800000002</v>
      </c>
      <c r="BM5">
        <v>20247.331999999999</v>
      </c>
      <c r="BN5">
        <v>29364.69400000001</v>
      </c>
      <c r="BO5">
        <v>45000</v>
      </c>
      <c r="BP5">
        <v>1149602.8999999999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0</v>
      </c>
      <c r="CI5">
        <v>0</v>
      </c>
      <c r="CJ5">
        <v>0</v>
      </c>
      <c r="CK5">
        <v>0</v>
      </c>
    </row>
    <row r="6" spans="1:89" x14ac:dyDescent="0.35">
      <c r="A6">
        <v>337692</v>
      </c>
      <c r="B6" t="s">
        <v>289</v>
      </c>
      <c r="C6" t="s">
        <v>290</v>
      </c>
      <c r="D6" s="1">
        <v>45778</v>
      </c>
      <c r="E6">
        <v>53850</v>
      </c>
      <c r="F6">
        <v>157</v>
      </c>
      <c r="G6" t="s">
        <v>294</v>
      </c>
      <c r="H6" t="s">
        <v>48</v>
      </c>
      <c r="I6" t="s">
        <v>49</v>
      </c>
      <c r="K6" t="s">
        <v>295</v>
      </c>
      <c r="L6">
        <v>1573300000971</v>
      </c>
      <c r="M6">
        <v>20250430</v>
      </c>
      <c r="N6" t="s">
        <v>222</v>
      </c>
      <c r="P6" t="s">
        <v>296</v>
      </c>
      <c r="Q6" t="s">
        <v>61</v>
      </c>
      <c r="R6">
        <v>4036.26</v>
      </c>
      <c r="S6">
        <v>0</v>
      </c>
      <c r="T6">
        <v>4254772</v>
      </c>
      <c r="U6" t="s">
        <v>305</v>
      </c>
      <c r="V6" t="s">
        <v>306</v>
      </c>
      <c r="W6" t="s">
        <v>51</v>
      </c>
      <c r="Y6" t="s">
        <v>52</v>
      </c>
      <c r="AH6">
        <v>0</v>
      </c>
      <c r="AI6">
        <v>202504</v>
      </c>
      <c r="AJ6" t="s">
        <v>55</v>
      </c>
      <c r="AK6">
        <v>0</v>
      </c>
      <c r="AL6">
        <v>1</v>
      </c>
      <c r="AO6">
        <v>0</v>
      </c>
      <c r="AP6">
        <v>999</v>
      </c>
      <c r="AQ6">
        <v>600</v>
      </c>
      <c r="AR6">
        <v>600999</v>
      </c>
      <c r="AS6" t="s">
        <v>53</v>
      </c>
      <c r="AU6" t="s">
        <v>53</v>
      </c>
      <c r="AV6">
        <v>1000</v>
      </c>
      <c r="AW6">
        <v>1186.4000000000001</v>
      </c>
      <c r="AX6">
        <v>1500</v>
      </c>
      <c r="AY6">
        <v>1680.386</v>
      </c>
      <c r="AZ6">
        <v>1992.48</v>
      </c>
      <c r="BA6">
        <v>2399.98</v>
      </c>
      <c r="BB6">
        <v>2739.2040000000002</v>
      </c>
      <c r="BC6">
        <v>3000</v>
      </c>
      <c r="BD6">
        <v>3500</v>
      </c>
      <c r="BE6">
        <v>4000</v>
      </c>
      <c r="BF6">
        <v>4800</v>
      </c>
      <c r="BG6">
        <v>5000</v>
      </c>
      <c r="BH6">
        <v>5024.4139999999998</v>
      </c>
      <c r="BI6">
        <v>5617.9639999999999</v>
      </c>
      <c r="BJ6">
        <v>9836.84</v>
      </c>
      <c r="BK6">
        <v>12377.16</v>
      </c>
      <c r="BL6">
        <v>16956.52800000002</v>
      </c>
      <c r="BM6">
        <v>20247.331999999999</v>
      </c>
      <c r="BN6">
        <v>29364.69400000001</v>
      </c>
      <c r="BO6">
        <v>45000</v>
      </c>
      <c r="BP6">
        <v>1149602.8999999999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 x14ac:dyDescent="0.35">
      <c r="A7">
        <v>337669</v>
      </c>
      <c r="B7" t="s">
        <v>289</v>
      </c>
      <c r="C7" t="s">
        <v>290</v>
      </c>
      <c r="D7" s="1">
        <v>45778</v>
      </c>
      <c r="E7">
        <v>53850</v>
      </c>
      <c r="F7">
        <v>116</v>
      </c>
      <c r="G7" t="s">
        <v>209</v>
      </c>
      <c r="H7" t="s">
        <v>48</v>
      </c>
      <c r="I7" t="s">
        <v>49</v>
      </c>
      <c r="K7">
        <v>202504307935590</v>
      </c>
      <c r="L7">
        <v>1163307621007</v>
      </c>
      <c r="M7">
        <v>20250430</v>
      </c>
      <c r="N7" t="s">
        <v>222</v>
      </c>
      <c r="P7" t="s">
        <v>296</v>
      </c>
      <c r="Q7" t="s">
        <v>50</v>
      </c>
      <c r="R7">
        <v>9666</v>
      </c>
      <c r="S7">
        <v>0</v>
      </c>
      <c r="T7">
        <v>4896552</v>
      </c>
      <c r="U7">
        <v>5890650723</v>
      </c>
      <c r="V7" t="s">
        <v>307</v>
      </c>
      <c r="W7" t="s">
        <v>58</v>
      </c>
      <c r="X7" t="s">
        <v>133</v>
      </c>
      <c r="Y7" t="s">
        <v>52</v>
      </c>
      <c r="Z7">
        <v>1919</v>
      </c>
      <c r="AH7">
        <v>0</v>
      </c>
      <c r="AI7">
        <v>202504</v>
      </c>
      <c r="AJ7" t="s">
        <v>205</v>
      </c>
      <c r="AK7">
        <v>1</v>
      </c>
      <c r="AL7">
        <v>1</v>
      </c>
      <c r="AO7">
        <v>0</v>
      </c>
      <c r="AP7">
        <v>999</v>
      </c>
      <c r="AQ7">
        <v>430</v>
      </c>
      <c r="AR7">
        <v>430999</v>
      </c>
      <c r="AT7">
        <v>1</v>
      </c>
      <c r="AU7" t="s">
        <v>59</v>
      </c>
      <c r="AV7">
        <v>1000</v>
      </c>
      <c r="AW7">
        <v>1186.4000000000001</v>
      </c>
      <c r="AX7">
        <v>1500</v>
      </c>
      <c r="AY7">
        <v>1680.386</v>
      </c>
      <c r="AZ7">
        <v>1992.48</v>
      </c>
      <c r="BA7">
        <v>2399.98</v>
      </c>
      <c r="BB7">
        <v>2739.2040000000002</v>
      </c>
      <c r="BC7">
        <v>3000</v>
      </c>
      <c r="BD7">
        <v>3500</v>
      </c>
      <c r="BE7">
        <v>4000</v>
      </c>
      <c r="BF7">
        <v>4800</v>
      </c>
      <c r="BG7">
        <v>5000</v>
      </c>
      <c r="BH7">
        <v>5024.4139999999998</v>
      </c>
      <c r="BI7">
        <v>5617.9639999999999</v>
      </c>
      <c r="BJ7">
        <v>9836.84</v>
      </c>
      <c r="BK7">
        <v>12377.16</v>
      </c>
      <c r="BL7">
        <v>16956.52800000002</v>
      </c>
      <c r="BM7">
        <v>20247.331999999999</v>
      </c>
      <c r="BN7">
        <v>29364.69400000001</v>
      </c>
      <c r="BO7">
        <v>45000</v>
      </c>
      <c r="BP7">
        <v>1149602.8999999999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 x14ac:dyDescent="0.35">
      <c r="A8">
        <v>337635</v>
      </c>
      <c r="B8" t="s">
        <v>289</v>
      </c>
      <c r="C8" t="s">
        <v>290</v>
      </c>
      <c r="D8" s="1">
        <v>45777</v>
      </c>
      <c r="E8">
        <v>53850</v>
      </c>
      <c r="F8">
        <v>121</v>
      </c>
      <c r="G8" t="s">
        <v>85</v>
      </c>
      <c r="H8" t="s">
        <v>48</v>
      </c>
      <c r="I8" t="s">
        <v>49</v>
      </c>
      <c r="K8" t="s">
        <v>308</v>
      </c>
      <c r="L8">
        <v>1213300010474</v>
      </c>
      <c r="M8">
        <v>20250429</v>
      </c>
      <c r="N8" t="s">
        <v>222</v>
      </c>
      <c r="P8" t="s">
        <v>296</v>
      </c>
      <c r="Q8" t="s">
        <v>61</v>
      </c>
      <c r="R8">
        <v>3052.3</v>
      </c>
      <c r="S8">
        <v>0</v>
      </c>
      <c r="T8">
        <v>4797139</v>
      </c>
      <c r="U8" t="s">
        <v>309</v>
      </c>
      <c r="V8" t="s">
        <v>310</v>
      </c>
      <c r="W8" t="s">
        <v>51</v>
      </c>
      <c r="Y8" t="s">
        <v>52</v>
      </c>
      <c r="Z8">
        <v>964</v>
      </c>
      <c r="AH8">
        <v>0</v>
      </c>
      <c r="AI8">
        <v>202504</v>
      </c>
      <c r="AJ8" t="s">
        <v>55</v>
      </c>
      <c r="AK8">
        <v>0</v>
      </c>
      <c r="AL8">
        <v>1</v>
      </c>
      <c r="AO8">
        <v>0</v>
      </c>
      <c r="AP8">
        <v>999</v>
      </c>
      <c r="AQ8">
        <v>600</v>
      </c>
      <c r="AR8">
        <v>600999</v>
      </c>
      <c r="AS8" t="s">
        <v>53</v>
      </c>
      <c r="AU8" t="s">
        <v>53</v>
      </c>
      <c r="AV8">
        <v>1000</v>
      </c>
      <c r="AW8">
        <v>1186.4000000000001</v>
      </c>
      <c r="AX8">
        <v>1500</v>
      </c>
      <c r="AY8">
        <v>1680.386</v>
      </c>
      <c r="AZ8">
        <v>1992.48</v>
      </c>
      <c r="BA8">
        <v>2399.98</v>
      </c>
      <c r="BB8">
        <v>2739.2040000000002</v>
      </c>
      <c r="BC8">
        <v>3000</v>
      </c>
      <c r="BD8">
        <v>3500</v>
      </c>
      <c r="BE8">
        <v>4000</v>
      </c>
      <c r="BF8">
        <v>4800</v>
      </c>
      <c r="BG8">
        <v>5000</v>
      </c>
      <c r="BH8">
        <v>5024.4139999999998</v>
      </c>
      <c r="BI8">
        <v>5617.9639999999999</v>
      </c>
      <c r="BJ8">
        <v>9836.84</v>
      </c>
      <c r="BK8">
        <v>12377.16</v>
      </c>
      <c r="BL8">
        <v>16956.52800000002</v>
      </c>
      <c r="BM8">
        <v>20247.331999999999</v>
      </c>
      <c r="BN8">
        <v>29364.69400000001</v>
      </c>
      <c r="BO8">
        <v>45000</v>
      </c>
      <c r="BP8">
        <v>1149602.8999999999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 x14ac:dyDescent="0.35">
      <c r="A9">
        <v>337599</v>
      </c>
      <c r="B9" t="s">
        <v>289</v>
      </c>
      <c r="C9" t="s">
        <v>290</v>
      </c>
      <c r="D9" s="1">
        <v>45776</v>
      </c>
      <c r="E9">
        <v>53850</v>
      </c>
      <c r="F9">
        <v>274</v>
      </c>
      <c r="G9" t="s">
        <v>134</v>
      </c>
      <c r="H9" t="s">
        <v>48</v>
      </c>
      <c r="I9" t="s">
        <v>49</v>
      </c>
      <c r="K9" t="s">
        <v>311</v>
      </c>
      <c r="L9">
        <v>2743300000272</v>
      </c>
      <c r="M9">
        <v>20250428</v>
      </c>
      <c r="N9" t="s">
        <v>222</v>
      </c>
      <c r="P9" t="s">
        <v>303</v>
      </c>
      <c r="Q9" t="s">
        <v>61</v>
      </c>
      <c r="R9">
        <v>2173.56</v>
      </c>
      <c r="S9">
        <v>0</v>
      </c>
      <c r="T9">
        <v>1622875</v>
      </c>
      <c r="U9">
        <v>1689300695</v>
      </c>
      <c r="V9" t="s">
        <v>312</v>
      </c>
      <c r="W9" t="s">
        <v>58</v>
      </c>
      <c r="X9" t="s">
        <v>105</v>
      </c>
      <c r="Y9" t="s">
        <v>52</v>
      </c>
      <c r="Z9">
        <v>1413</v>
      </c>
      <c r="AH9">
        <v>0</v>
      </c>
      <c r="AI9">
        <v>202504</v>
      </c>
      <c r="AJ9" t="s">
        <v>55</v>
      </c>
      <c r="AK9">
        <v>0</v>
      </c>
      <c r="AL9">
        <v>1</v>
      </c>
      <c r="AO9">
        <v>0</v>
      </c>
      <c r="AP9">
        <v>999</v>
      </c>
      <c r="AQ9">
        <v>430</v>
      </c>
      <c r="AR9">
        <v>430999</v>
      </c>
      <c r="AT9">
        <v>1</v>
      </c>
      <c r="AU9" t="s">
        <v>59</v>
      </c>
      <c r="AV9">
        <v>1000</v>
      </c>
      <c r="AW9">
        <v>1186.4000000000001</v>
      </c>
      <c r="AX9">
        <v>1500</v>
      </c>
      <c r="AY9">
        <v>1680.386</v>
      </c>
      <c r="AZ9">
        <v>1992.48</v>
      </c>
      <c r="BA9">
        <v>2399.98</v>
      </c>
      <c r="BB9">
        <v>2739.2040000000002</v>
      </c>
      <c r="BC9">
        <v>3000</v>
      </c>
      <c r="BD9">
        <v>3500</v>
      </c>
      <c r="BE9">
        <v>4000</v>
      </c>
      <c r="BF9">
        <v>4800</v>
      </c>
      <c r="BG9">
        <v>5000</v>
      </c>
      <c r="BH9">
        <v>5024.4139999999998</v>
      </c>
      <c r="BI9">
        <v>5617.9639999999999</v>
      </c>
      <c r="BJ9">
        <v>9836.84</v>
      </c>
      <c r="BK9">
        <v>12377.16</v>
      </c>
      <c r="BL9">
        <v>16956.52800000002</v>
      </c>
      <c r="BM9">
        <v>20247.331999999999</v>
      </c>
      <c r="BN9">
        <v>29364.69400000001</v>
      </c>
      <c r="BO9">
        <v>45000</v>
      </c>
      <c r="BP9">
        <v>1149602.8999999999</v>
      </c>
      <c r="BQ9">
        <v>1</v>
      </c>
      <c r="BR9">
        <v>1</v>
      </c>
      <c r="BS9">
        <v>1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 x14ac:dyDescent="0.35">
      <c r="A10">
        <v>337596</v>
      </c>
      <c r="B10" t="s">
        <v>289</v>
      </c>
      <c r="C10" t="s">
        <v>290</v>
      </c>
      <c r="D10" s="1">
        <v>45776</v>
      </c>
      <c r="E10">
        <v>53850</v>
      </c>
      <c r="F10">
        <v>282</v>
      </c>
      <c r="G10" t="s">
        <v>110</v>
      </c>
      <c r="H10" t="s">
        <v>48</v>
      </c>
      <c r="I10" t="s">
        <v>49</v>
      </c>
      <c r="K10" t="s">
        <v>313</v>
      </c>
      <c r="L10">
        <v>2823300001773</v>
      </c>
      <c r="M10">
        <v>20250428</v>
      </c>
      <c r="N10" t="s">
        <v>222</v>
      </c>
      <c r="P10" t="s">
        <v>136</v>
      </c>
      <c r="Q10" t="s">
        <v>61</v>
      </c>
      <c r="R10">
        <v>3000</v>
      </c>
      <c r="S10">
        <v>0</v>
      </c>
      <c r="T10">
        <v>1669726</v>
      </c>
      <c r="U10" t="s">
        <v>314</v>
      </c>
      <c r="V10" t="s">
        <v>315</v>
      </c>
      <c r="W10" t="s">
        <v>51</v>
      </c>
      <c r="Y10" t="s">
        <v>52</v>
      </c>
      <c r="Z10">
        <v>1802</v>
      </c>
      <c r="AH10">
        <v>0</v>
      </c>
      <c r="AI10">
        <v>202504</v>
      </c>
      <c r="AJ10" t="s">
        <v>55</v>
      </c>
      <c r="AK10">
        <v>0</v>
      </c>
      <c r="AL10">
        <v>1</v>
      </c>
      <c r="AO10">
        <v>0</v>
      </c>
      <c r="AP10">
        <v>999</v>
      </c>
      <c r="AQ10">
        <v>600</v>
      </c>
      <c r="AR10">
        <v>600999</v>
      </c>
      <c r="AS10" t="s">
        <v>53</v>
      </c>
      <c r="AU10" t="s">
        <v>53</v>
      </c>
      <c r="AV10">
        <v>1000</v>
      </c>
      <c r="AW10">
        <v>1186.4000000000001</v>
      </c>
      <c r="AX10">
        <v>1500</v>
      </c>
      <c r="AY10">
        <v>1680.386</v>
      </c>
      <c r="AZ10">
        <v>1992.48</v>
      </c>
      <c r="BA10">
        <v>2399.98</v>
      </c>
      <c r="BB10">
        <v>2739.2040000000002</v>
      </c>
      <c r="BC10">
        <v>3000</v>
      </c>
      <c r="BD10">
        <v>3500</v>
      </c>
      <c r="BE10">
        <v>4000</v>
      </c>
      <c r="BF10">
        <v>4800</v>
      </c>
      <c r="BG10">
        <v>5000</v>
      </c>
      <c r="BH10">
        <v>5024.4139999999998</v>
      </c>
      <c r="BI10">
        <v>5617.9639999999999</v>
      </c>
      <c r="BJ10">
        <v>9836.84</v>
      </c>
      <c r="BK10">
        <v>12377.16</v>
      </c>
      <c r="BL10">
        <v>16956.52800000002</v>
      </c>
      <c r="BM10">
        <v>20247.331999999999</v>
      </c>
      <c r="BN10">
        <v>29364.69400000001</v>
      </c>
      <c r="BO10">
        <v>45000</v>
      </c>
      <c r="BP10">
        <v>1149602.8999999999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 x14ac:dyDescent="0.35">
      <c r="A11">
        <v>337586</v>
      </c>
      <c r="B11" t="s">
        <v>289</v>
      </c>
      <c r="C11" t="s">
        <v>290</v>
      </c>
      <c r="D11" s="1">
        <v>45776</v>
      </c>
      <c r="E11">
        <v>53850</v>
      </c>
      <c r="F11">
        <v>149</v>
      </c>
      <c r="G11" t="s">
        <v>107</v>
      </c>
      <c r="H11" t="s">
        <v>48</v>
      </c>
      <c r="I11" t="s">
        <v>49</v>
      </c>
      <c r="K11">
        <v>202504287929757</v>
      </c>
      <c r="L11">
        <v>1493300663564</v>
      </c>
      <c r="M11">
        <v>20250428</v>
      </c>
      <c r="N11" t="s">
        <v>222</v>
      </c>
      <c r="P11" t="s">
        <v>303</v>
      </c>
      <c r="Q11" t="s">
        <v>61</v>
      </c>
      <c r="R11">
        <v>5600</v>
      </c>
      <c r="S11">
        <v>0</v>
      </c>
      <c r="T11">
        <v>4851736</v>
      </c>
      <c r="U11">
        <v>8243781211</v>
      </c>
      <c r="V11" t="s">
        <v>316</v>
      </c>
      <c r="W11" t="s">
        <v>58</v>
      </c>
      <c r="X11" t="s">
        <v>137</v>
      </c>
      <c r="Y11" t="s">
        <v>52</v>
      </c>
      <c r="Z11">
        <v>1256</v>
      </c>
      <c r="AH11">
        <v>0</v>
      </c>
      <c r="AI11">
        <v>202504</v>
      </c>
      <c r="AJ11" t="s">
        <v>55</v>
      </c>
      <c r="AK11">
        <v>0</v>
      </c>
      <c r="AL11">
        <v>1</v>
      </c>
      <c r="AO11">
        <v>0</v>
      </c>
      <c r="AP11">
        <v>999</v>
      </c>
      <c r="AQ11">
        <v>430</v>
      </c>
      <c r="AR11">
        <v>430999</v>
      </c>
      <c r="AT11">
        <v>1</v>
      </c>
      <c r="AU11" t="s">
        <v>59</v>
      </c>
      <c r="AV11">
        <v>1000</v>
      </c>
      <c r="AW11">
        <v>1186.4000000000001</v>
      </c>
      <c r="AX11">
        <v>1500</v>
      </c>
      <c r="AY11">
        <v>1680.386</v>
      </c>
      <c r="AZ11">
        <v>1992.48</v>
      </c>
      <c r="BA11">
        <v>2399.98</v>
      </c>
      <c r="BB11">
        <v>2739.2040000000002</v>
      </c>
      <c r="BC11">
        <v>3000</v>
      </c>
      <c r="BD11">
        <v>3500</v>
      </c>
      <c r="BE11">
        <v>4000</v>
      </c>
      <c r="BF11">
        <v>4800</v>
      </c>
      <c r="BG11">
        <v>5000</v>
      </c>
      <c r="BH11">
        <v>5024.4139999999998</v>
      </c>
      <c r="BI11">
        <v>5617.9639999999999</v>
      </c>
      <c r="BJ11">
        <v>9836.84</v>
      </c>
      <c r="BK11">
        <v>12377.16</v>
      </c>
      <c r="BL11">
        <v>16956.52800000002</v>
      </c>
      <c r="BM11">
        <v>20247.331999999999</v>
      </c>
      <c r="BN11">
        <v>29364.69400000001</v>
      </c>
      <c r="BO11">
        <v>45000</v>
      </c>
      <c r="BP11">
        <v>1149602.8999999999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 x14ac:dyDescent="0.35">
      <c r="A12">
        <v>337580</v>
      </c>
      <c r="B12" t="s">
        <v>289</v>
      </c>
      <c r="C12" t="s">
        <v>290</v>
      </c>
      <c r="D12" s="1">
        <v>45776</v>
      </c>
      <c r="E12">
        <v>53850</v>
      </c>
      <c r="F12">
        <v>111</v>
      </c>
      <c r="G12" t="s">
        <v>211</v>
      </c>
      <c r="H12" t="s">
        <v>48</v>
      </c>
      <c r="I12" t="s">
        <v>49</v>
      </c>
      <c r="K12">
        <v>202504287927960</v>
      </c>
      <c r="L12">
        <v>1113305626850</v>
      </c>
      <c r="M12">
        <v>20250428</v>
      </c>
      <c r="N12" t="s">
        <v>222</v>
      </c>
      <c r="P12" t="s">
        <v>291</v>
      </c>
      <c r="Q12" t="s">
        <v>50</v>
      </c>
      <c r="R12">
        <v>5000</v>
      </c>
      <c r="S12">
        <v>0</v>
      </c>
      <c r="T12">
        <v>562685</v>
      </c>
      <c r="U12" t="s">
        <v>317</v>
      </c>
      <c r="V12" t="s">
        <v>318</v>
      </c>
      <c r="W12" t="s">
        <v>51</v>
      </c>
      <c r="Y12" t="s">
        <v>52</v>
      </c>
      <c r="Z12">
        <v>593</v>
      </c>
      <c r="AH12">
        <v>0</v>
      </c>
      <c r="AI12">
        <v>202504</v>
      </c>
      <c r="AJ12" t="s">
        <v>205</v>
      </c>
      <c r="AK12">
        <v>1</v>
      </c>
      <c r="AL12">
        <v>1</v>
      </c>
      <c r="AO12">
        <v>0</v>
      </c>
      <c r="AP12">
        <v>999</v>
      </c>
      <c r="AQ12">
        <v>600</v>
      </c>
      <c r="AR12">
        <v>600999</v>
      </c>
      <c r="AS12" t="s">
        <v>53</v>
      </c>
      <c r="AU12" t="s">
        <v>53</v>
      </c>
      <c r="AV12">
        <v>1000</v>
      </c>
      <c r="AW12">
        <v>1186.4000000000001</v>
      </c>
      <c r="AX12">
        <v>1500</v>
      </c>
      <c r="AY12">
        <v>1680.386</v>
      </c>
      <c r="AZ12">
        <v>1992.48</v>
      </c>
      <c r="BA12">
        <v>2399.98</v>
      </c>
      <c r="BB12">
        <v>2739.2040000000002</v>
      </c>
      <c r="BC12">
        <v>3000</v>
      </c>
      <c r="BD12">
        <v>3500</v>
      </c>
      <c r="BE12">
        <v>4000</v>
      </c>
      <c r="BF12">
        <v>4800</v>
      </c>
      <c r="BG12">
        <v>5000</v>
      </c>
      <c r="BH12">
        <v>5024.4139999999998</v>
      </c>
      <c r="BI12">
        <v>5617.9639999999999</v>
      </c>
      <c r="BJ12">
        <v>9836.84</v>
      </c>
      <c r="BK12">
        <v>12377.16</v>
      </c>
      <c r="BL12">
        <v>16956.52800000002</v>
      </c>
      <c r="BM12">
        <v>20247.331999999999</v>
      </c>
      <c r="BN12">
        <v>29364.69400000001</v>
      </c>
      <c r="BO12">
        <v>45000</v>
      </c>
      <c r="BP12">
        <v>1149602.8999999999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 x14ac:dyDescent="0.35">
      <c r="A13">
        <v>337577</v>
      </c>
      <c r="B13" t="s">
        <v>289</v>
      </c>
      <c r="C13" t="s">
        <v>290</v>
      </c>
      <c r="D13" s="1">
        <v>45776</v>
      </c>
      <c r="E13">
        <v>53850</v>
      </c>
      <c r="F13">
        <v>148</v>
      </c>
      <c r="G13" t="s">
        <v>125</v>
      </c>
      <c r="H13" t="s">
        <v>48</v>
      </c>
      <c r="I13" t="s">
        <v>49</v>
      </c>
      <c r="K13">
        <v>202504287928198</v>
      </c>
      <c r="L13">
        <v>1483300004308</v>
      </c>
      <c r="M13">
        <v>20250428</v>
      </c>
      <c r="N13" t="s">
        <v>222</v>
      </c>
      <c r="P13" t="s">
        <v>291</v>
      </c>
      <c r="Q13" t="s">
        <v>50</v>
      </c>
      <c r="R13">
        <v>27282.26</v>
      </c>
      <c r="S13">
        <v>0</v>
      </c>
      <c r="T13">
        <v>4898674</v>
      </c>
      <c r="U13">
        <v>2936580642</v>
      </c>
      <c r="V13" t="s">
        <v>319</v>
      </c>
      <c r="W13" t="s">
        <v>58</v>
      </c>
      <c r="X13" t="s">
        <v>320</v>
      </c>
      <c r="Y13" t="s">
        <v>52</v>
      </c>
      <c r="Z13">
        <v>1063</v>
      </c>
      <c r="AH13">
        <v>0</v>
      </c>
      <c r="AI13">
        <v>202504</v>
      </c>
      <c r="AJ13" t="s">
        <v>68</v>
      </c>
      <c r="AK13">
        <v>0</v>
      </c>
      <c r="AL13">
        <v>1</v>
      </c>
      <c r="AO13">
        <v>0</v>
      </c>
      <c r="AP13">
        <v>999</v>
      </c>
      <c r="AQ13">
        <v>430</v>
      </c>
      <c r="AR13">
        <v>430999</v>
      </c>
      <c r="AT13">
        <v>1</v>
      </c>
      <c r="AU13" t="s">
        <v>59</v>
      </c>
      <c r="AV13">
        <v>1000</v>
      </c>
      <c r="AW13">
        <v>1186.4000000000001</v>
      </c>
      <c r="AX13">
        <v>1500</v>
      </c>
      <c r="AY13">
        <v>1680.386</v>
      </c>
      <c r="AZ13">
        <v>1992.48</v>
      </c>
      <c r="BA13">
        <v>2399.98</v>
      </c>
      <c r="BB13">
        <v>2739.2040000000002</v>
      </c>
      <c r="BC13">
        <v>3000</v>
      </c>
      <c r="BD13">
        <v>3500</v>
      </c>
      <c r="BE13">
        <v>4000</v>
      </c>
      <c r="BF13">
        <v>4800</v>
      </c>
      <c r="BG13">
        <v>5000</v>
      </c>
      <c r="BH13">
        <v>5024.4139999999998</v>
      </c>
      <c r="BI13">
        <v>5617.9639999999999</v>
      </c>
      <c r="BJ13">
        <v>9836.84</v>
      </c>
      <c r="BK13">
        <v>12377.16</v>
      </c>
      <c r="BL13">
        <v>16956.52800000002</v>
      </c>
      <c r="BM13">
        <v>20247.331999999999</v>
      </c>
      <c r="BN13">
        <v>29364.69400000001</v>
      </c>
      <c r="BO13">
        <v>45000</v>
      </c>
      <c r="BP13">
        <v>1149602.8999999999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0</v>
      </c>
      <c r="CJ13">
        <v>0</v>
      </c>
      <c r="CK13">
        <v>0</v>
      </c>
    </row>
    <row r="14" spans="1:89" x14ac:dyDescent="0.35">
      <c r="A14">
        <v>337572</v>
      </c>
      <c r="B14" t="s">
        <v>289</v>
      </c>
      <c r="C14" t="s">
        <v>290</v>
      </c>
      <c r="D14" s="1">
        <v>45776</v>
      </c>
      <c r="E14">
        <v>53850</v>
      </c>
      <c r="F14">
        <v>141</v>
      </c>
      <c r="G14" t="s">
        <v>91</v>
      </c>
      <c r="H14" t="s">
        <v>48</v>
      </c>
      <c r="I14" t="s">
        <v>49</v>
      </c>
      <c r="K14" t="s">
        <v>321</v>
      </c>
      <c r="L14">
        <v>1413300003851</v>
      </c>
      <c r="M14">
        <v>20250428</v>
      </c>
      <c r="N14" t="s">
        <v>222</v>
      </c>
      <c r="P14" t="s">
        <v>296</v>
      </c>
      <c r="Q14" t="s">
        <v>61</v>
      </c>
      <c r="R14">
        <v>1540</v>
      </c>
      <c r="S14">
        <v>0</v>
      </c>
      <c r="T14">
        <v>4983258</v>
      </c>
      <c r="U14">
        <v>5224520758</v>
      </c>
      <c r="V14" t="s">
        <v>322</v>
      </c>
      <c r="W14" t="s">
        <v>58</v>
      </c>
      <c r="X14" t="s">
        <v>116</v>
      </c>
      <c r="Y14" t="s">
        <v>52</v>
      </c>
      <c r="Z14">
        <v>862</v>
      </c>
      <c r="AH14">
        <v>0</v>
      </c>
      <c r="AI14">
        <v>202504</v>
      </c>
      <c r="AJ14" t="s">
        <v>203</v>
      </c>
      <c r="AK14">
        <v>1</v>
      </c>
      <c r="AL14">
        <v>1</v>
      </c>
      <c r="AO14">
        <v>0</v>
      </c>
      <c r="AP14">
        <v>999</v>
      </c>
      <c r="AQ14">
        <v>430</v>
      </c>
      <c r="AR14">
        <v>430999</v>
      </c>
      <c r="AT14">
        <v>1</v>
      </c>
      <c r="AU14" t="s">
        <v>59</v>
      </c>
      <c r="AV14">
        <v>1000</v>
      </c>
      <c r="AW14">
        <v>1186.4000000000001</v>
      </c>
      <c r="AX14">
        <v>1500</v>
      </c>
      <c r="AY14">
        <v>1680.386</v>
      </c>
      <c r="AZ14">
        <v>1992.48</v>
      </c>
      <c r="BA14">
        <v>2399.98</v>
      </c>
      <c r="BB14">
        <v>2739.2040000000002</v>
      </c>
      <c r="BC14">
        <v>3000</v>
      </c>
      <c r="BD14">
        <v>3500</v>
      </c>
      <c r="BE14">
        <v>4000</v>
      </c>
      <c r="BF14">
        <v>4800</v>
      </c>
      <c r="BG14">
        <v>5000</v>
      </c>
      <c r="BH14">
        <v>5024.4139999999998</v>
      </c>
      <c r="BI14">
        <v>5617.9639999999999</v>
      </c>
      <c r="BJ14">
        <v>9836.84</v>
      </c>
      <c r="BK14">
        <v>12377.16</v>
      </c>
      <c r="BL14">
        <v>16956.52800000002</v>
      </c>
      <c r="BM14">
        <v>20247.331999999999</v>
      </c>
      <c r="BN14">
        <v>29364.69400000001</v>
      </c>
      <c r="BO14">
        <v>45000</v>
      </c>
      <c r="BP14">
        <v>1149602.8999999999</v>
      </c>
      <c r="BQ14">
        <v>1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 x14ac:dyDescent="0.35">
      <c r="A15">
        <v>337543</v>
      </c>
      <c r="B15" t="s">
        <v>289</v>
      </c>
      <c r="C15" t="s">
        <v>290</v>
      </c>
      <c r="D15" s="1">
        <v>45776</v>
      </c>
      <c r="E15">
        <v>53850</v>
      </c>
      <c r="F15">
        <v>284</v>
      </c>
      <c r="G15" t="s">
        <v>103</v>
      </c>
      <c r="H15" t="s">
        <v>48</v>
      </c>
      <c r="I15" t="s">
        <v>49</v>
      </c>
      <c r="K15">
        <v>202504247931905</v>
      </c>
      <c r="L15">
        <v>2843300001332</v>
      </c>
      <c r="M15">
        <v>20250424</v>
      </c>
      <c r="N15" t="s">
        <v>222</v>
      </c>
      <c r="P15" t="s">
        <v>303</v>
      </c>
      <c r="Q15" t="s">
        <v>50</v>
      </c>
      <c r="R15">
        <v>10350</v>
      </c>
      <c r="S15">
        <v>0</v>
      </c>
      <c r="T15">
        <v>1620921</v>
      </c>
      <c r="U15" t="s">
        <v>323</v>
      </c>
      <c r="V15" t="s">
        <v>324</v>
      </c>
      <c r="W15" t="s">
        <v>101</v>
      </c>
      <c r="X15" t="s">
        <v>67</v>
      </c>
      <c r="Y15" t="s">
        <v>52</v>
      </c>
      <c r="Z15">
        <v>1826</v>
      </c>
      <c r="AH15">
        <v>0</v>
      </c>
      <c r="AI15">
        <v>202504</v>
      </c>
      <c r="AJ15" t="s">
        <v>68</v>
      </c>
      <c r="AK15">
        <v>0</v>
      </c>
      <c r="AL15">
        <v>1</v>
      </c>
      <c r="AO15">
        <v>0</v>
      </c>
      <c r="AP15">
        <v>999</v>
      </c>
      <c r="AQ15">
        <v>614</v>
      </c>
      <c r="AR15">
        <v>614999</v>
      </c>
      <c r="AT15">
        <v>1</v>
      </c>
      <c r="AU15" t="s">
        <v>65</v>
      </c>
      <c r="AV15">
        <v>1000</v>
      </c>
      <c r="AW15">
        <v>1186.4000000000001</v>
      </c>
      <c r="AX15">
        <v>1500</v>
      </c>
      <c r="AY15">
        <v>1680.386</v>
      </c>
      <c r="AZ15">
        <v>1992.48</v>
      </c>
      <c r="BA15">
        <v>2399.98</v>
      </c>
      <c r="BB15">
        <v>2739.2040000000002</v>
      </c>
      <c r="BC15">
        <v>3000</v>
      </c>
      <c r="BD15">
        <v>3500</v>
      </c>
      <c r="BE15">
        <v>4000</v>
      </c>
      <c r="BF15">
        <v>4800</v>
      </c>
      <c r="BG15">
        <v>5000</v>
      </c>
      <c r="BH15">
        <v>5024.4139999999998</v>
      </c>
      <c r="BI15">
        <v>5617.9639999999999</v>
      </c>
      <c r="BJ15">
        <v>9836.84</v>
      </c>
      <c r="BK15">
        <v>12377.16</v>
      </c>
      <c r="BL15">
        <v>16956.52800000002</v>
      </c>
      <c r="BM15">
        <v>20247.331999999999</v>
      </c>
      <c r="BN15">
        <v>29364.69400000001</v>
      </c>
      <c r="BO15">
        <v>45000</v>
      </c>
      <c r="BP15">
        <v>1149602.8999999999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 x14ac:dyDescent="0.35">
      <c r="A16">
        <v>337542</v>
      </c>
      <c r="B16" t="s">
        <v>289</v>
      </c>
      <c r="C16" t="s">
        <v>290</v>
      </c>
      <c r="D16" s="1">
        <v>45776</v>
      </c>
      <c r="E16">
        <v>53850</v>
      </c>
      <c r="F16">
        <v>109</v>
      </c>
      <c r="G16" t="s">
        <v>74</v>
      </c>
      <c r="H16" t="s">
        <v>48</v>
      </c>
      <c r="I16" t="s">
        <v>49</v>
      </c>
      <c r="K16">
        <v>202504237927974</v>
      </c>
      <c r="L16">
        <v>1093306672844</v>
      </c>
      <c r="M16">
        <v>20250423</v>
      </c>
      <c r="N16" t="s">
        <v>222</v>
      </c>
      <c r="P16" t="s">
        <v>303</v>
      </c>
      <c r="Q16" t="s">
        <v>50</v>
      </c>
      <c r="R16">
        <v>5100</v>
      </c>
      <c r="S16">
        <v>0</v>
      </c>
      <c r="T16">
        <v>440311</v>
      </c>
      <c r="U16">
        <v>3550290724</v>
      </c>
      <c r="V16" t="s">
        <v>687</v>
      </c>
      <c r="W16" t="s">
        <v>58</v>
      </c>
      <c r="X16" t="s">
        <v>237</v>
      </c>
      <c r="Y16" t="s">
        <v>52</v>
      </c>
      <c r="Z16">
        <v>1903</v>
      </c>
      <c r="AH16">
        <v>0</v>
      </c>
      <c r="AI16">
        <v>202504</v>
      </c>
      <c r="AJ16" t="s">
        <v>68</v>
      </c>
      <c r="AK16">
        <v>0</v>
      </c>
      <c r="AL16">
        <v>1</v>
      </c>
      <c r="AM16">
        <v>440311</v>
      </c>
      <c r="AN16">
        <v>1</v>
      </c>
      <c r="AO16">
        <v>0</v>
      </c>
      <c r="AP16">
        <v>451</v>
      </c>
      <c r="AQ16">
        <v>430</v>
      </c>
      <c r="AR16">
        <v>430451</v>
      </c>
      <c r="AS16" t="s">
        <v>65</v>
      </c>
      <c r="AU16" t="s">
        <v>65</v>
      </c>
      <c r="AV16">
        <v>1000</v>
      </c>
      <c r="AW16">
        <v>1186.4000000000001</v>
      </c>
      <c r="AX16">
        <v>1500</v>
      </c>
      <c r="AY16">
        <v>1680.386</v>
      </c>
      <c r="AZ16">
        <v>1992.48</v>
      </c>
      <c r="BA16">
        <v>2399.98</v>
      </c>
      <c r="BB16">
        <v>2739.2040000000002</v>
      </c>
      <c r="BC16">
        <v>3000</v>
      </c>
      <c r="BD16">
        <v>3500</v>
      </c>
      <c r="BE16">
        <v>4000</v>
      </c>
      <c r="BF16">
        <v>4800</v>
      </c>
      <c r="BG16">
        <v>5000</v>
      </c>
      <c r="BH16">
        <v>5024.4139999999998</v>
      </c>
      <c r="BI16">
        <v>5617.9639999999999</v>
      </c>
      <c r="BJ16">
        <v>9836.84</v>
      </c>
      <c r="BK16">
        <v>12377.16</v>
      </c>
      <c r="BL16">
        <v>16956.52800000002</v>
      </c>
      <c r="BM16">
        <v>20247.331999999999</v>
      </c>
      <c r="BN16">
        <v>29364.69400000001</v>
      </c>
      <c r="BO16">
        <v>45000</v>
      </c>
      <c r="BP16">
        <v>1149602.8999999999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 x14ac:dyDescent="0.35">
      <c r="A17">
        <v>337518</v>
      </c>
      <c r="B17" t="s">
        <v>289</v>
      </c>
      <c r="C17" t="s">
        <v>290</v>
      </c>
      <c r="D17" s="1">
        <v>45772</v>
      </c>
      <c r="E17">
        <v>53850</v>
      </c>
      <c r="F17">
        <v>187</v>
      </c>
      <c r="G17" t="s">
        <v>75</v>
      </c>
      <c r="H17" t="s">
        <v>48</v>
      </c>
      <c r="I17" t="s">
        <v>49</v>
      </c>
      <c r="K17" t="s">
        <v>325</v>
      </c>
      <c r="L17">
        <v>1873300102696</v>
      </c>
      <c r="M17">
        <v>20250424</v>
      </c>
      <c r="N17" t="s">
        <v>222</v>
      </c>
      <c r="P17" t="s">
        <v>303</v>
      </c>
      <c r="Q17" t="s">
        <v>61</v>
      </c>
      <c r="R17">
        <v>3876.1</v>
      </c>
      <c r="S17">
        <v>0</v>
      </c>
      <c r="T17">
        <v>4000559</v>
      </c>
      <c r="U17">
        <v>2099160737</v>
      </c>
      <c r="V17" t="s">
        <v>117</v>
      </c>
      <c r="W17" t="s">
        <v>58</v>
      </c>
      <c r="X17" t="s">
        <v>86</v>
      </c>
      <c r="Y17" t="s">
        <v>52</v>
      </c>
      <c r="Z17">
        <v>1627</v>
      </c>
      <c r="AH17">
        <v>0</v>
      </c>
      <c r="AI17">
        <v>202504</v>
      </c>
      <c r="AJ17" t="s">
        <v>68</v>
      </c>
      <c r="AK17">
        <v>0</v>
      </c>
      <c r="AL17">
        <v>1</v>
      </c>
      <c r="AO17">
        <v>0</v>
      </c>
      <c r="AP17">
        <v>463</v>
      </c>
      <c r="AQ17">
        <v>430</v>
      </c>
      <c r="AR17">
        <v>430463</v>
      </c>
      <c r="AS17" t="s">
        <v>65</v>
      </c>
      <c r="AU17" t="s">
        <v>65</v>
      </c>
      <c r="AV17">
        <v>1000</v>
      </c>
      <c r="AW17">
        <v>1186.4000000000001</v>
      </c>
      <c r="AX17">
        <v>1500</v>
      </c>
      <c r="AY17">
        <v>1680.386</v>
      </c>
      <c r="AZ17">
        <v>1992.48</v>
      </c>
      <c r="BA17">
        <v>2399.98</v>
      </c>
      <c r="BB17">
        <v>2739.2040000000002</v>
      </c>
      <c r="BC17">
        <v>3000</v>
      </c>
      <c r="BD17">
        <v>3500</v>
      </c>
      <c r="BE17">
        <v>4000</v>
      </c>
      <c r="BF17">
        <v>4800</v>
      </c>
      <c r="BG17">
        <v>5000</v>
      </c>
      <c r="BH17">
        <v>5024.4139999999998</v>
      </c>
      <c r="BI17">
        <v>5617.9639999999999</v>
      </c>
      <c r="BJ17">
        <v>9836.84</v>
      </c>
      <c r="BK17">
        <v>12377.16</v>
      </c>
      <c r="BL17">
        <v>16956.52800000002</v>
      </c>
      <c r="BM17">
        <v>20247.331999999999</v>
      </c>
      <c r="BN17">
        <v>29364.69400000001</v>
      </c>
      <c r="BO17">
        <v>45000</v>
      </c>
      <c r="BP17">
        <v>1149602.8999999999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 x14ac:dyDescent="0.35">
      <c r="A18">
        <v>337515</v>
      </c>
      <c r="B18" t="s">
        <v>289</v>
      </c>
      <c r="C18" t="s">
        <v>290</v>
      </c>
      <c r="D18" s="1">
        <v>45772</v>
      </c>
      <c r="E18">
        <v>53850</v>
      </c>
      <c r="F18">
        <v>282</v>
      </c>
      <c r="G18" t="s">
        <v>110</v>
      </c>
      <c r="H18" t="s">
        <v>48</v>
      </c>
      <c r="I18" t="s">
        <v>49</v>
      </c>
      <c r="K18">
        <v>202504247923683</v>
      </c>
      <c r="L18">
        <v>2823300010180</v>
      </c>
      <c r="M18">
        <v>20250424</v>
      </c>
      <c r="N18" t="s">
        <v>222</v>
      </c>
      <c r="P18" t="s">
        <v>303</v>
      </c>
      <c r="Q18" t="s">
        <v>61</v>
      </c>
      <c r="R18">
        <v>5243.56</v>
      </c>
      <c r="S18">
        <v>0</v>
      </c>
      <c r="T18">
        <v>4993694</v>
      </c>
      <c r="U18">
        <v>2776730695</v>
      </c>
      <c r="V18" t="s">
        <v>326</v>
      </c>
      <c r="W18" t="s">
        <v>58</v>
      </c>
      <c r="X18" t="s">
        <v>227</v>
      </c>
      <c r="Y18" t="s">
        <v>52</v>
      </c>
      <c r="Z18">
        <v>1829</v>
      </c>
      <c r="AH18">
        <v>0</v>
      </c>
      <c r="AI18">
        <v>202504</v>
      </c>
      <c r="AJ18" t="s">
        <v>55</v>
      </c>
      <c r="AK18">
        <v>0</v>
      </c>
      <c r="AL18">
        <v>1</v>
      </c>
      <c r="AO18">
        <v>0</v>
      </c>
      <c r="AP18">
        <v>999</v>
      </c>
      <c r="AQ18">
        <v>430</v>
      </c>
      <c r="AR18">
        <v>430999</v>
      </c>
      <c r="AT18">
        <v>1</v>
      </c>
      <c r="AU18" t="s">
        <v>59</v>
      </c>
      <c r="AV18">
        <v>1000</v>
      </c>
      <c r="AW18">
        <v>1186.4000000000001</v>
      </c>
      <c r="AX18">
        <v>1500</v>
      </c>
      <c r="AY18">
        <v>1680.386</v>
      </c>
      <c r="AZ18">
        <v>1992.48</v>
      </c>
      <c r="BA18">
        <v>2399.98</v>
      </c>
      <c r="BB18">
        <v>2739.2040000000002</v>
      </c>
      <c r="BC18">
        <v>3000</v>
      </c>
      <c r="BD18">
        <v>3500</v>
      </c>
      <c r="BE18">
        <v>4000</v>
      </c>
      <c r="BF18">
        <v>4800</v>
      </c>
      <c r="BG18">
        <v>5000</v>
      </c>
      <c r="BH18">
        <v>5024.4139999999998</v>
      </c>
      <c r="BI18">
        <v>5617.9639999999999</v>
      </c>
      <c r="BJ18">
        <v>9836.84</v>
      </c>
      <c r="BK18">
        <v>12377.16</v>
      </c>
      <c r="BL18">
        <v>16956.52800000002</v>
      </c>
      <c r="BM18">
        <v>20247.331999999999</v>
      </c>
      <c r="BN18">
        <v>29364.69400000001</v>
      </c>
      <c r="BO18">
        <v>45000</v>
      </c>
      <c r="BP18">
        <v>1149602.8999999999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 x14ac:dyDescent="0.35">
      <c r="A19">
        <v>337511</v>
      </c>
      <c r="B19" t="s">
        <v>289</v>
      </c>
      <c r="C19" t="s">
        <v>290</v>
      </c>
      <c r="D19" s="1">
        <v>45772</v>
      </c>
      <c r="E19">
        <v>53850</v>
      </c>
      <c r="F19">
        <v>149</v>
      </c>
      <c r="G19" t="s">
        <v>107</v>
      </c>
      <c r="H19" t="s">
        <v>48</v>
      </c>
      <c r="I19" t="s">
        <v>49</v>
      </c>
      <c r="K19">
        <v>202504247923480</v>
      </c>
      <c r="L19">
        <v>1493300663564</v>
      </c>
      <c r="M19">
        <v>20250424</v>
      </c>
      <c r="N19" t="s">
        <v>222</v>
      </c>
      <c r="P19" t="s">
        <v>303</v>
      </c>
      <c r="Q19" t="s">
        <v>61</v>
      </c>
      <c r="R19">
        <v>17286</v>
      </c>
      <c r="S19">
        <v>0</v>
      </c>
      <c r="T19">
        <v>4851736</v>
      </c>
      <c r="U19">
        <v>8243781211</v>
      </c>
      <c r="V19" t="s">
        <v>316</v>
      </c>
      <c r="W19" t="s">
        <v>58</v>
      </c>
      <c r="X19" t="s">
        <v>137</v>
      </c>
      <c r="Y19" t="s">
        <v>52</v>
      </c>
      <c r="Z19">
        <v>1256</v>
      </c>
      <c r="AH19">
        <v>0</v>
      </c>
      <c r="AI19">
        <v>202504</v>
      </c>
      <c r="AJ19" t="s">
        <v>55</v>
      </c>
      <c r="AK19">
        <v>0</v>
      </c>
      <c r="AL19">
        <v>1</v>
      </c>
      <c r="AO19">
        <v>0</v>
      </c>
      <c r="AP19">
        <v>999</v>
      </c>
      <c r="AQ19">
        <v>430</v>
      </c>
      <c r="AR19">
        <v>430999</v>
      </c>
      <c r="AT19">
        <v>1</v>
      </c>
      <c r="AU19" t="s">
        <v>59</v>
      </c>
      <c r="AV19">
        <v>1000</v>
      </c>
      <c r="AW19">
        <v>1186.4000000000001</v>
      </c>
      <c r="AX19">
        <v>1500</v>
      </c>
      <c r="AY19">
        <v>1680.386</v>
      </c>
      <c r="AZ19">
        <v>1992.48</v>
      </c>
      <c r="BA19">
        <v>2399.98</v>
      </c>
      <c r="BB19">
        <v>2739.2040000000002</v>
      </c>
      <c r="BC19">
        <v>3000</v>
      </c>
      <c r="BD19">
        <v>3500</v>
      </c>
      <c r="BE19">
        <v>4000</v>
      </c>
      <c r="BF19">
        <v>4800</v>
      </c>
      <c r="BG19">
        <v>5000</v>
      </c>
      <c r="BH19">
        <v>5024.4139999999998</v>
      </c>
      <c r="BI19">
        <v>5617.9639999999999</v>
      </c>
      <c r="BJ19">
        <v>9836.84</v>
      </c>
      <c r="BK19">
        <v>12377.16</v>
      </c>
      <c r="BL19">
        <v>16956.52800000002</v>
      </c>
      <c r="BM19">
        <v>20247.331999999999</v>
      </c>
      <c r="BN19">
        <v>29364.69400000001</v>
      </c>
      <c r="BO19">
        <v>45000</v>
      </c>
      <c r="BP19">
        <v>1149602.8999999999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0</v>
      </c>
      <c r="CI19">
        <v>0</v>
      </c>
      <c r="CJ19">
        <v>0</v>
      </c>
      <c r="CK19">
        <v>0</v>
      </c>
    </row>
    <row r="20" spans="1:89" x14ac:dyDescent="0.35">
      <c r="A20">
        <v>337507</v>
      </c>
      <c r="B20" t="s">
        <v>289</v>
      </c>
      <c r="C20" t="s">
        <v>290</v>
      </c>
      <c r="D20" s="1">
        <v>45771</v>
      </c>
      <c r="E20">
        <v>53850</v>
      </c>
      <c r="F20">
        <v>116</v>
      </c>
      <c r="G20" t="s">
        <v>209</v>
      </c>
      <c r="H20" t="s">
        <v>48</v>
      </c>
      <c r="I20" t="s">
        <v>49</v>
      </c>
      <c r="K20" t="s">
        <v>327</v>
      </c>
      <c r="L20">
        <v>1423300308490</v>
      </c>
      <c r="M20">
        <v>20250423</v>
      </c>
      <c r="N20" t="s">
        <v>222</v>
      </c>
      <c r="P20" t="s">
        <v>136</v>
      </c>
      <c r="Q20" t="s">
        <v>50</v>
      </c>
      <c r="R20">
        <v>3150</v>
      </c>
      <c r="S20">
        <v>0</v>
      </c>
      <c r="T20">
        <v>4793312</v>
      </c>
      <c r="U20">
        <v>2314700747</v>
      </c>
      <c r="V20" t="s">
        <v>328</v>
      </c>
      <c r="W20" t="s">
        <v>58</v>
      </c>
      <c r="X20" t="s">
        <v>137</v>
      </c>
      <c r="Y20" t="s">
        <v>52</v>
      </c>
      <c r="Z20">
        <v>417</v>
      </c>
      <c r="AH20">
        <v>0</v>
      </c>
      <c r="AI20">
        <v>202504</v>
      </c>
      <c r="AJ20" t="s">
        <v>203</v>
      </c>
      <c r="AK20">
        <v>1</v>
      </c>
      <c r="AL20">
        <v>1</v>
      </c>
      <c r="AO20">
        <v>0</v>
      </c>
      <c r="AP20">
        <v>999</v>
      </c>
      <c r="AQ20">
        <v>430</v>
      </c>
      <c r="AR20">
        <v>430999</v>
      </c>
      <c r="AT20">
        <v>1</v>
      </c>
      <c r="AU20" t="s">
        <v>59</v>
      </c>
      <c r="AV20">
        <v>1000</v>
      </c>
      <c r="AW20">
        <v>1186.4000000000001</v>
      </c>
      <c r="AX20">
        <v>1500</v>
      </c>
      <c r="AY20">
        <v>1680.386</v>
      </c>
      <c r="AZ20">
        <v>1992.48</v>
      </c>
      <c r="BA20">
        <v>2399.98</v>
      </c>
      <c r="BB20">
        <v>2739.2040000000002</v>
      </c>
      <c r="BC20">
        <v>3000</v>
      </c>
      <c r="BD20">
        <v>3500</v>
      </c>
      <c r="BE20">
        <v>4000</v>
      </c>
      <c r="BF20">
        <v>4800</v>
      </c>
      <c r="BG20">
        <v>5000</v>
      </c>
      <c r="BH20">
        <v>5024.4139999999998</v>
      </c>
      <c r="BI20">
        <v>5617.9639999999999</v>
      </c>
      <c r="BJ20">
        <v>9836.84</v>
      </c>
      <c r="BK20">
        <v>12377.16</v>
      </c>
      <c r="BL20">
        <v>16956.52800000002</v>
      </c>
      <c r="BM20">
        <v>20247.331999999999</v>
      </c>
      <c r="BN20">
        <v>29364.69400000001</v>
      </c>
      <c r="BO20">
        <v>45000</v>
      </c>
      <c r="BP20">
        <v>1149602.8999999999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 x14ac:dyDescent="0.35">
      <c r="A21">
        <v>337503</v>
      </c>
      <c r="B21" t="s">
        <v>289</v>
      </c>
      <c r="C21" t="s">
        <v>290</v>
      </c>
      <c r="D21" s="1">
        <v>45771</v>
      </c>
      <c r="E21">
        <v>53850</v>
      </c>
      <c r="F21">
        <v>128</v>
      </c>
      <c r="G21" t="s">
        <v>129</v>
      </c>
      <c r="H21" t="s">
        <v>48</v>
      </c>
      <c r="I21" t="s">
        <v>49</v>
      </c>
      <c r="K21">
        <v>202504237920557</v>
      </c>
      <c r="L21">
        <v>1283300002423</v>
      </c>
      <c r="M21">
        <v>20250423</v>
      </c>
      <c r="N21" t="s">
        <v>222</v>
      </c>
      <c r="P21" t="s">
        <v>136</v>
      </c>
      <c r="Q21" t="s">
        <v>61</v>
      </c>
      <c r="R21">
        <v>12310.16</v>
      </c>
      <c r="S21">
        <v>0</v>
      </c>
      <c r="T21">
        <v>4582492</v>
      </c>
      <c r="U21" t="s">
        <v>329</v>
      </c>
      <c r="V21" t="s">
        <v>330</v>
      </c>
      <c r="W21" t="s">
        <v>51</v>
      </c>
      <c r="Y21" t="s">
        <v>52</v>
      </c>
      <c r="Z21">
        <v>726</v>
      </c>
      <c r="AH21">
        <v>0</v>
      </c>
      <c r="AI21">
        <v>202504</v>
      </c>
      <c r="AJ21" t="s">
        <v>55</v>
      </c>
      <c r="AK21">
        <v>0</v>
      </c>
      <c r="AL21">
        <v>1</v>
      </c>
      <c r="AO21">
        <v>0</v>
      </c>
      <c r="AP21">
        <v>999</v>
      </c>
      <c r="AQ21">
        <v>600</v>
      </c>
      <c r="AR21">
        <v>600999</v>
      </c>
      <c r="AS21" t="s">
        <v>53</v>
      </c>
      <c r="AU21" t="s">
        <v>53</v>
      </c>
      <c r="AV21">
        <v>1000</v>
      </c>
      <c r="AW21">
        <v>1186.4000000000001</v>
      </c>
      <c r="AX21">
        <v>1500</v>
      </c>
      <c r="AY21">
        <v>1680.386</v>
      </c>
      <c r="AZ21">
        <v>1992.48</v>
      </c>
      <c r="BA21">
        <v>2399.98</v>
      </c>
      <c r="BB21">
        <v>2739.2040000000002</v>
      </c>
      <c r="BC21">
        <v>3000</v>
      </c>
      <c r="BD21">
        <v>3500</v>
      </c>
      <c r="BE21">
        <v>4000</v>
      </c>
      <c r="BF21">
        <v>4800</v>
      </c>
      <c r="BG21">
        <v>5000</v>
      </c>
      <c r="BH21">
        <v>5024.4139999999998</v>
      </c>
      <c r="BI21">
        <v>5617.9639999999999</v>
      </c>
      <c r="BJ21">
        <v>9836.84</v>
      </c>
      <c r="BK21">
        <v>12377.16</v>
      </c>
      <c r="BL21">
        <v>16956.52800000002</v>
      </c>
      <c r="BM21">
        <v>20247.331999999999</v>
      </c>
      <c r="BN21">
        <v>29364.69400000001</v>
      </c>
      <c r="BO21">
        <v>45000</v>
      </c>
      <c r="BP21">
        <v>1149602.8999999999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 x14ac:dyDescent="0.35">
      <c r="A22">
        <v>337480</v>
      </c>
      <c r="B22" t="s">
        <v>289</v>
      </c>
      <c r="C22" t="s">
        <v>290</v>
      </c>
      <c r="D22" s="1">
        <v>45771</v>
      </c>
      <c r="E22">
        <v>53850</v>
      </c>
      <c r="F22">
        <v>128</v>
      </c>
      <c r="G22" t="s">
        <v>129</v>
      </c>
      <c r="H22" t="s">
        <v>48</v>
      </c>
      <c r="I22" t="s">
        <v>49</v>
      </c>
      <c r="K22">
        <v>202504237920557</v>
      </c>
      <c r="L22">
        <v>1283300002423</v>
      </c>
      <c r="M22">
        <v>20250423</v>
      </c>
      <c r="N22" t="s">
        <v>222</v>
      </c>
      <c r="P22" t="s">
        <v>136</v>
      </c>
      <c r="Q22" t="s">
        <v>61</v>
      </c>
      <c r="R22">
        <v>12310.16</v>
      </c>
      <c r="S22">
        <v>0</v>
      </c>
      <c r="T22">
        <v>4582488</v>
      </c>
      <c r="U22" t="s">
        <v>331</v>
      </c>
      <c r="V22" t="s">
        <v>332</v>
      </c>
      <c r="W22" t="s">
        <v>51</v>
      </c>
      <c r="Y22" t="s">
        <v>52</v>
      </c>
      <c r="Z22">
        <v>726</v>
      </c>
      <c r="AH22">
        <v>0</v>
      </c>
      <c r="AI22">
        <v>202504</v>
      </c>
      <c r="AJ22" t="s">
        <v>215</v>
      </c>
      <c r="AK22">
        <v>1</v>
      </c>
      <c r="AL22">
        <v>1</v>
      </c>
      <c r="AO22">
        <v>0</v>
      </c>
      <c r="AP22">
        <v>999</v>
      </c>
      <c r="AQ22">
        <v>600</v>
      </c>
      <c r="AR22">
        <v>600999</v>
      </c>
      <c r="AS22" t="s">
        <v>53</v>
      </c>
      <c r="AU22" t="s">
        <v>53</v>
      </c>
      <c r="AV22">
        <v>1000</v>
      </c>
      <c r="AW22">
        <v>1186.4000000000001</v>
      </c>
      <c r="AX22">
        <v>1500</v>
      </c>
      <c r="AY22">
        <v>1680.386</v>
      </c>
      <c r="AZ22">
        <v>1992.48</v>
      </c>
      <c r="BA22">
        <v>2399.98</v>
      </c>
      <c r="BB22">
        <v>2739.2040000000002</v>
      </c>
      <c r="BC22">
        <v>3000</v>
      </c>
      <c r="BD22">
        <v>3500</v>
      </c>
      <c r="BE22">
        <v>4000</v>
      </c>
      <c r="BF22">
        <v>4800</v>
      </c>
      <c r="BG22">
        <v>5000</v>
      </c>
      <c r="BH22">
        <v>5024.4139999999998</v>
      </c>
      <c r="BI22">
        <v>5617.9639999999999</v>
      </c>
      <c r="BJ22">
        <v>9836.84</v>
      </c>
      <c r="BK22">
        <v>12377.16</v>
      </c>
      <c r="BL22">
        <v>16956.52800000002</v>
      </c>
      <c r="BM22">
        <v>20247.331999999999</v>
      </c>
      <c r="BN22">
        <v>29364.69400000001</v>
      </c>
      <c r="BO22">
        <v>45000</v>
      </c>
      <c r="BP22">
        <v>1149602.8999999999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 x14ac:dyDescent="0.35">
      <c r="A23">
        <v>337476</v>
      </c>
      <c r="B23" t="s">
        <v>289</v>
      </c>
      <c r="C23" t="s">
        <v>290</v>
      </c>
      <c r="D23" s="1">
        <v>45771</v>
      </c>
      <c r="E23">
        <v>53850</v>
      </c>
      <c r="F23">
        <v>109</v>
      </c>
      <c r="G23" t="s">
        <v>74</v>
      </c>
      <c r="H23" t="s">
        <v>48</v>
      </c>
      <c r="I23" t="s">
        <v>49</v>
      </c>
      <c r="K23" t="s">
        <v>333</v>
      </c>
      <c r="L23">
        <v>1093306673192</v>
      </c>
      <c r="M23">
        <v>20250423</v>
      </c>
      <c r="N23" t="s">
        <v>222</v>
      </c>
      <c r="P23" t="s">
        <v>303</v>
      </c>
      <c r="Q23" t="s">
        <v>61</v>
      </c>
      <c r="R23">
        <v>1555.03</v>
      </c>
      <c r="S23">
        <v>0</v>
      </c>
      <c r="T23">
        <v>4184352</v>
      </c>
      <c r="U23" t="s">
        <v>334</v>
      </c>
      <c r="V23" t="s">
        <v>335</v>
      </c>
      <c r="W23" t="s">
        <v>73</v>
      </c>
      <c r="X23" t="s">
        <v>135</v>
      </c>
      <c r="Y23" t="s">
        <v>52</v>
      </c>
      <c r="Z23">
        <v>1107</v>
      </c>
      <c r="AH23">
        <v>0</v>
      </c>
      <c r="AI23">
        <v>202504</v>
      </c>
      <c r="AJ23" t="s">
        <v>203</v>
      </c>
      <c r="AK23">
        <v>1</v>
      </c>
      <c r="AL23">
        <v>1</v>
      </c>
      <c r="AO23">
        <v>0</v>
      </c>
      <c r="AP23">
        <v>999</v>
      </c>
      <c r="AQ23">
        <v>615</v>
      </c>
      <c r="AR23">
        <v>615999</v>
      </c>
      <c r="AT23">
        <v>1</v>
      </c>
      <c r="AU23" t="s">
        <v>65</v>
      </c>
      <c r="AV23">
        <v>1000</v>
      </c>
      <c r="AW23">
        <v>1186.4000000000001</v>
      </c>
      <c r="AX23">
        <v>1500</v>
      </c>
      <c r="AY23">
        <v>1680.386</v>
      </c>
      <c r="AZ23">
        <v>1992.48</v>
      </c>
      <c r="BA23">
        <v>2399.98</v>
      </c>
      <c r="BB23">
        <v>2739.2040000000002</v>
      </c>
      <c r="BC23">
        <v>3000</v>
      </c>
      <c r="BD23">
        <v>3500</v>
      </c>
      <c r="BE23">
        <v>4000</v>
      </c>
      <c r="BF23">
        <v>4800</v>
      </c>
      <c r="BG23">
        <v>5000</v>
      </c>
      <c r="BH23">
        <v>5024.4139999999998</v>
      </c>
      <c r="BI23">
        <v>5617.9639999999999</v>
      </c>
      <c r="BJ23">
        <v>9836.84</v>
      </c>
      <c r="BK23">
        <v>12377.16</v>
      </c>
      <c r="BL23">
        <v>16956.52800000002</v>
      </c>
      <c r="BM23">
        <v>20247.331999999999</v>
      </c>
      <c r="BN23">
        <v>29364.69400000001</v>
      </c>
      <c r="BO23">
        <v>45000</v>
      </c>
      <c r="BP23">
        <v>1149602.8999999999</v>
      </c>
      <c r="BQ23">
        <v>1</v>
      </c>
      <c r="BR23">
        <v>1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 x14ac:dyDescent="0.35">
      <c r="A24">
        <v>337474</v>
      </c>
      <c r="B24" t="s">
        <v>289</v>
      </c>
      <c r="C24" t="s">
        <v>290</v>
      </c>
      <c r="D24" s="1">
        <v>45771</v>
      </c>
      <c r="E24">
        <v>53850</v>
      </c>
      <c r="F24">
        <v>114</v>
      </c>
      <c r="G24" t="s">
        <v>97</v>
      </c>
      <c r="H24" t="s">
        <v>48</v>
      </c>
      <c r="I24" t="s">
        <v>49</v>
      </c>
      <c r="K24" t="s">
        <v>336</v>
      </c>
      <c r="L24">
        <v>1143300001238</v>
      </c>
      <c r="M24">
        <v>20250423</v>
      </c>
      <c r="N24" t="s">
        <v>222</v>
      </c>
      <c r="P24" t="s">
        <v>303</v>
      </c>
      <c r="Q24" t="s">
        <v>61</v>
      </c>
      <c r="R24">
        <v>4000</v>
      </c>
      <c r="S24">
        <v>0</v>
      </c>
      <c r="T24">
        <v>4747564</v>
      </c>
      <c r="U24" t="s">
        <v>337</v>
      </c>
      <c r="V24" t="s">
        <v>338</v>
      </c>
      <c r="W24" t="s">
        <v>51</v>
      </c>
      <c r="Y24" t="s">
        <v>52</v>
      </c>
      <c r="Z24">
        <v>804</v>
      </c>
      <c r="AH24">
        <v>0</v>
      </c>
      <c r="AI24">
        <v>202504</v>
      </c>
      <c r="AJ24" t="s">
        <v>55</v>
      </c>
      <c r="AK24">
        <v>0</v>
      </c>
      <c r="AL24">
        <v>1</v>
      </c>
      <c r="AO24">
        <v>0</v>
      </c>
      <c r="AP24">
        <v>999</v>
      </c>
      <c r="AQ24">
        <v>600</v>
      </c>
      <c r="AR24">
        <v>600999</v>
      </c>
      <c r="AS24" t="s">
        <v>53</v>
      </c>
      <c r="AU24" t="s">
        <v>53</v>
      </c>
      <c r="AV24">
        <v>1000</v>
      </c>
      <c r="AW24">
        <v>1186.4000000000001</v>
      </c>
      <c r="AX24">
        <v>1500</v>
      </c>
      <c r="AY24">
        <v>1680.386</v>
      </c>
      <c r="AZ24">
        <v>1992.48</v>
      </c>
      <c r="BA24">
        <v>2399.98</v>
      </c>
      <c r="BB24">
        <v>2739.2040000000002</v>
      </c>
      <c r="BC24">
        <v>3000</v>
      </c>
      <c r="BD24">
        <v>3500</v>
      </c>
      <c r="BE24">
        <v>4000</v>
      </c>
      <c r="BF24">
        <v>4800</v>
      </c>
      <c r="BG24">
        <v>5000</v>
      </c>
      <c r="BH24">
        <v>5024.4139999999998</v>
      </c>
      <c r="BI24">
        <v>5617.9639999999999</v>
      </c>
      <c r="BJ24">
        <v>9836.84</v>
      </c>
      <c r="BK24">
        <v>12377.16</v>
      </c>
      <c r="BL24">
        <v>16956.52800000002</v>
      </c>
      <c r="BM24">
        <v>20247.331999999999</v>
      </c>
      <c r="BN24">
        <v>29364.69400000001</v>
      </c>
      <c r="BO24">
        <v>45000</v>
      </c>
      <c r="BP24">
        <v>1149602.8999999999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 x14ac:dyDescent="0.35">
      <c r="A25">
        <v>337461</v>
      </c>
      <c r="B25" t="s">
        <v>289</v>
      </c>
      <c r="C25" t="s">
        <v>290</v>
      </c>
      <c r="D25" s="1">
        <v>45770</v>
      </c>
      <c r="E25">
        <v>53850</v>
      </c>
      <c r="F25">
        <v>270</v>
      </c>
      <c r="G25" t="s">
        <v>92</v>
      </c>
      <c r="H25" t="s">
        <v>48</v>
      </c>
      <c r="I25" t="s">
        <v>49</v>
      </c>
      <c r="K25">
        <v>202504227917030</v>
      </c>
      <c r="L25">
        <v>2703300010883</v>
      </c>
      <c r="M25">
        <v>20250422</v>
      </c>
      <c r="N25" t="s">
        <v>222</v>
      </c>
      <c r="P25" t="s">
        <v>300</v>
      </c>
      <c r="Q25" t="s">
        <v>61</v>
      </c>
      <c r="R25">
        <v>5000.01</v>
      </c>
      <c r="S25">
        <v>0</v>
      </c>
      <c r="T25">
        <v>3741718</v>
      </c>
      <c r="U25">
        <v>2347470680</v>
      </c>
      <c r="V25" t="s">
        <v>339</v>
      </c>
      <c r="W25" t="s">
        <v>58</v>
      </c>
      <c r="X25" t="s">
        <v>220</v>
      </c>
      <c r="Y25" t="s">
        <v>52</v>
      </c>
      <c r="Z25">
        <v>1560</v>
      </c>
      <c r="AH25">
        <v>0</v>
      </c>
      <c r="AI25">
        <v>202504</v>
      </c>
      <c r="AJ25" t="s">
        <v>68</v>
      </c>
      <c r="AK25">
        <v>0</v>
      </c>
      <c r="AL25">
        <v>1</v>
      </c>
      <c r="AO25">
        <v>0</v>
      </c>
      <c r="AP25">
        <v>999</v>
      </c>
      <c r="AQ25">
        <v>430</v>
      </c>
      <c r="AR25">
        <v>430999</v>
      </c>
      <c r="AT25">
        <v>1</v>
      </c>
      <c r="AU25" t="s">
        <v>59</v>
      </c>
      <c r="AV25">
        <v>1000</v>
      </c>
      <c r="AW25">
        <v>1186.4000000000001</v>
      </c>
      <c r="AX25">
        <v>1500</v>
      </c>
      <c r="AY25">
        <v>1680.386</v>
      </c>
      <c r="AZ25">
        <v>1992.48</v>
      </c>
      <c r="BA25">
        <v>2399.98</v>
      </c>
      <c r="BB25">
        <v>2739.2040000000002</v>
      </c>
      <c r="BC25">
        <v>3000</v>
      </c>
      <c r="BD25">
        <v>3500</v>
      </c>
      <c r="BE25">
        <v>4000</v>
      </c>
      <c r="BF25">
        <v>4800</v>
      </c>
      <c r="BG25">
        <v>5000</v>
      </c>
      <c r="BH25">
        <v>5024.4139999999998</v>
      </c>
      <c r="BI25">
        <v>5617.9639999999999</v>
      </c>
      <c r="BJ25">
        <v>9836.84</v>
      </c>
      <c r="BK25">
        <v>12377.16</v>
      </c>
      <c r="BL25">
        <v>16956.52800000002</v>
      </c>
      <c r="BM25">
        <v>20247.331999999999</v>
      </c>
      <c r="BN25">
        <v>29364.69400000001</v>
      </c>
      <c r="BO25">
        <v>45000</v>
      </c>
      <c r="BP25">
        <v>1149602.8999999999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 x14ac:dyDescent="0.35">
      <c r="A26">
        <v>337444</v>
      </c>
      <c r="B26" t="s">
        <v>289</v>
      </c>
      <c r="C26" t="s">
        <v>290</v>
      </c>
      <c r="D26" s="1">
        <v>45770</v>
      </c>
      <c r="E26">
        <v>53850</v>
      </c>
      <c r="F26">
        <v>270</v>
      </c>
      <c r="G26" t="s">
        <v>92</v>
      </c>
      <c r="H26" t="s">
        <v>48</v>
      </c>
      <c r="I26" t="s">
        <v>49</v>
      </c>
      <c r="K26">
        <v>202504227917031</v>
      </c>
      <c r="L26">
        <v>2703300010883</v>
      </c>
      <c r="M26">
        <v>20250422</v>
      </c>
      <c r="N26" t="s">
        <v>222</v>
      </c>
      <c r="P26" t="s">
        <v>300</v>
      </c>
      <c r="Q26" t="s">
        <v>61</v>
      </c>
      <c r="R26">
        <v>5000.01</v>
      </c>
      <c r="S26">
        <v>0</v>
      </c>
      <c r="T26">
        <v>3741718</v>
      </c>
      <c r="U26">
        <v>2347470680</v>
      </c>
      <c r="V26" t="s">
        <v>339</v>
      </c>
      <c r="W26" t="s">
        <v>58</v>
      </c>
      <c r="X26" t="s">
        <v>220</v>
      </c>
      <c r="Y26" t="s">
        <v>52</v>
      </c>
      <c r="Z26">
        <v>1560</v>
      </c>
      <c r="AH26">
        <v>0</v>
      </c>
      <c r="AI26">
        <v>202504</v>
      </c>
      <c r="AJ26" t="s">
        <v>68</v>
      </c>
      <c r="AK26">
        <v>0</v>
      </c>
      <c r="AL26">
        <v>1</v>
      </c>
      <c r="AO26">
        <v>0</v>
      </c>
      <c r="AP26">
        <v>999</v>
      </c>
      <c r="AQ26">
        <v>430</v>
      </c>
      <c r="AR26">
        <v>430999</v>
      </c>
      <c r="AT26">
        <v>1</v>
      </c>
      <c r="AU26" t="s">
        <v>59</v>
      </c>
      <c r="AV26">
        <v>1000</v>
      </c>
      <c r="AW26">
        <v>1186.4000000000001</v>
      </c>
      <c r="AX26">
        <v>1500</v>
      </c>
      <c r="AY26">
        <v>1680.386</v>
      </c>
      <c r="AZ26">
        <v>1992.48</v>
      </c>
      <c r="BA26">
        <v>2399.98</v>
      </c>
      <c r="BB26">
        <v>2739.2040000000002</v>
      </c>
      <c r="BC26">
        <v>3000</v>
      </c>
      <c r="BD26">
        <v>3500</v>
      </c>
      <c r="BE26">
        <v>4000</v>
      </c>
      <c r="BF26">
        <v>4800</v>
      </c>
      <c r="BG26">
        <v>5000</v>
      </c>
      <c r="BH26">
        <v>5024.4139999999998</v>
      </c>
      <c r="BI26">
        <v>5617.9639999999999</v>
      </c>
      <c r="BJ26">
        <v>9836.84</v>
      </c>
      <c r="BK26">
        <v>12377.16</v>
      </c>
      <c r="BL26">
        <v>16956.52800000002</v>
      </c>
      <c r="BM26">
        <v>20247.331999999999</v>
      </c>
      <c r="BN26">
        <v>29364.69400000001</v>
      </c>
      <c r="BO26">
        <v>45000</v>
      </c>
      <c r="BP26">
        <v>1149602.8999999999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 x14ac:dyDescent="0.35">
      <c r="A27">
        <v>337441</v>
      </c>
      <c r="B27" t="s">
        <v>289</v>
      </c>
      <c r="C27" t="s">
        <v>290</v>
      </c>
      <c r="D27" s="1">
        <v>45770</v>
      </c>
      <c r="E27">
        <v>53850</v>
      </c>
      <c r="F27">
        <v>226</v>
      </c>
      <c r="G27" t="s">
        <v>208</v>
      </c>
      <c r="H27" t="s">
        <v>48</v>
      </c>
      <c r="I27" t="s">
        <v>49</v>
      </c>
      <c r="K27">
        <v>202504227916558</v>
      </c>
      <c r="L27">
        <v>1163307619285</v>
      </c>
      <c r="M27">
        <v>20250422</v>
      </c>
      <c r="N27" t="s">
        <v>222</v>
      </c>
      <c r="P27" t="s">
        <v>303</v>
      </c>
      <c r="Q27" t="s">
        <v>61</v>
      </c>
      <c r="R27">
        <v>13000</v>
      </c>
      <c r="S27">
        <v>0</v>
      </c>
      <c r="T27">
        <v>4709685</v>
      </c>
      <c r="U27">
        <v>6911480728</v>
      </c>
      <c r="V27" t="s">
        <v>340</v>
      </c>
      <c r="W27" t="s">
        <v>341</v>
      </c>
      <c r="X27" t="s">
        <v>232</v>
      </c>
      <c r="Y27" t="s">
        <v>52</v>
      </c>
      <c r="Z27">
        <v>1932</v>
      </c>
      <c r="AH27">
        <v>0</v>
      </c>
      <c r="AI27">
        <v>202504</v>
      </c>
      <c r="AJ27" t="s">
        <v>215</v>
      </c>
      <c r="AK27">
        <v>1</v>
      </c>
      <c r="AL27">
        <v>1</v>
      </c>
      <c r="AO27">
        <v>0</v>
      </c>
      <c r="AP27">
        <v>999</v>
      </c>
      <c r="AQ27">
        <v>482</v>
      </c>
      <c r="AR27">
        <v>482999</v>
      </c>
      <c r="AT27">
        <v>1</v>
      </c>
      <c r="AU27" t="s">
        <v>71</v>
      </c>
      <c r="AV27">
        <v>1000</v>
      </c>
      <c r="AW27">
        <v>1186.4000000000001</v>
      </c>
      <c r="AX27">
        <v>1500</v>
      </c>
      <c r="AY27">
        <v>1680.386</v>
      </c>
      <c r="AZ27">
        <v>1992.48</v>
      </c>
      <c r="BA27">
        <v>2399.98</v>
      </c>
      <c r="BB27">
        <v>2739.2040000000002</v>
      </c>
      <c r="BC27">
        <v>3000</v>
      </c>
      <c r="BD27">
        <v>3500</v>
      </c>
      <c r="BE27">
        <v>4000</v>
      </c>
      <c r="BF27">
        <v>4800</v>
      </c>
      <c r="BG27">
        <v>5000</v>
      </c>
      <c r="BH27">
        <v>5024.4139999999998</v>
      </c>
      <c r="BI27">
        <v>5617.9639999999999</v>
      </c>
      <c r="BJ27">
        <v>9836.84</v>
      </c>
      <c r="BK27">
        <v>12377.16</v>
      </c>
      <c r="BL27">
        <v>16956.52800000002</v>
      </c>
      <c r="BM27">
        <v>20247.331999999999</v>
      </c>
      <c r="BN27">
        <v>29364.69400000001</v>
      </c>
      <c r="BO27">
        <v>45000</v>
      </c>
      <c r="BP27">
        <v>1149602.8999999999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 x14ac:dyDescent="0.35">
      <c r="A28">
        <v>337429</v>
      </c>
      <c r="B28" t="s">
        <v>289</v>
      </c>
      <c r="C28" t="s">
        <v>290</v>
      </c>
      <c r="D28" s="1">
        <v>45770</v>
      </c>
      <c r="E28">
        <v>53850</v>
      </c>
      <c r="F28">
        <v>105</v>
      </c>
      <c r="G28" t="s">
        <v>47</v>
      </c>
      <c r="H28" t="s">
        <v>48</v>
      </c>
      <c r="I28" t="s">
        <v>49</v>
      </c>
      <c r="K28">
        <v>202504227917018</v>
      </c>
      <c r="L28">
        <v>1053306286871</v>
      </c>
      <c r="M28">
        <v>20250422</v>
      </c>
      <c r="N28" t="s">
        <v>222</v>
      </c>
      <c r="P28" t="s">
        <v>136</v>
      </c>
      <c r="Q28" t="s">
        <v>61</v>
      </c>
      <c r="R28">
        <v>5642.5</v>
      </c>
      <c r="S28">
        <v>0</v>
      </c>
      <c r="T28">
        <v>4269425</v>
      </c>
      <c r="U28">
        <v>4938290725</v>
      </c>
      <c r="V28" t="s">
        <v>342</v>
      </c>
      <c r="W28" t="s">
        <v>341</v>
      </c>
      <c r="X28" t="s">
        <v>343</v>
      </c>
      <c r="Y28" t="s">
        <v>52</v>
      </c>
      <c r="Z28">
        <v>1947</v>
      </c>
      <c r="AH28">
        <v>0</v>
      </c>
      <c r="AI28">
        <v>202504</v>
      </c>
      <c r="AJ28" t="s">
        <v>205</v>
      </c>
      <c r="AK28">
        <v>1</v>
      </c>
      <c r="AL28">
        <v>1</v>
      </c>
      <c r="AO28">
        <v>0</v>
      </c>
      <c r="AP28">
        <v>999</v>
      </c>
      <c r="AQ28">
        <v>482</v>
      </c>
      <c r="AR28">
        <v>482999</v>
      </c>
      <c r="AT28">
        <v>1</v>
      </c>
      <c r="AU28" t="s">
        <v>71</v>
      </c>
      <c r="AV28">
        <v>1000</v>
      </c>
      <c r="AW28">
        <v>1186.4000000000001</v>
      </c>
      <c r="AX28">
        <v>1500</v>
      </c>
      <c r="AY28">
        <v>1680.386</v>
      </c>
      <c r="AZ28">
        <v>1992.48</v>
      </c>
      <c r="BA28">
        <v>2399.98</v>
      </c>
      <c r="BB28">
        <v>2739.2040000000002</v>
      </c>
      <c r="BC28">
        <v>3000</v>
      </c>
      <c r="BD28">
        <v>3500</v>
      </c>
      <c r="BE28">
        <v>4000</v>
      </c>
      <c r="BF28">
        <v>4800</v>
      </c>
      <c r="BG28">
        <v>5000</v>
      </c>
      <c r="BH28">
        <v>5024.4139999999998</v>
      </c>
      <c r="BI28">
        <v>5617.9639999999999</v>
      </c>
      <c r="BJ28">
        <v>9836.84</v>
      </c>
      <c r="BK28">
        <v>12377.16</v>
      </c>
      <c r="BL28">
        <v>16956.52800000002</v>
      </c>
      <c r="BM28">
        <v>20247.331999999999</v>
      </c>
      <c r="BN28">
        <v>29364.69400000001</v>
      </c>
      <c r="BO28">
        <v>45000</v>
      </c>
      <c r="BP28">
        <v>1149602.8999999999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 x14ac:dyDescent="0.35">
      <c r="A29">
        <v>337426</v>
      </c>
      <c r="B29" t="s">
        <v>289</v>
      </c>
      <c r="C29" t="s">
        <v>290</v>
      </c>
      <c r="D29" s="1">
        <v>45770</v>
      </c>
      <c r="E29">
        <v>53850</v>
      </c>
      <c r="F29">
        <v>187</v>
      </c>
      <c r="G29" t="s">
        <v>75</v>
      </c>
      <c r="H29" t="s">
        <v>48</v>
      </c>
      <c r="I29" t="s">
        <v>49</v>
      </c>
      <c r="K29" t="s">
        <v>344</v>
      </c>
      <c r="L29">
        <v>1873300102696</v>
      </c>
      <c r="M29">
        <v>20250422</v>
      </c>
      <c r="N29" t="s">
        <v>222</v>
      </c>
      <c r="P29" t="s">
        <v>303</v>
      </c>
      <c r="Q29" t="s">
        <v>61</v>
      </c>
      <c r="R29">
        <v>2738.46</v>
      </c>
      <c r="S29">
        <v>0</v>
      </c>
      <c r="T29">
        <v>4000559</v>
      </c>
      <c r="U29">
        <v>2099160737</v>
      </c>
      <c r="V29" t="s">
        <v>117</v>
      </c>
      <c r="W29" t="s">
        <v>58</v>
      </c>
      <c r="X29" t="s">
        <v>86</v>
      </c>
      <c r="Y29" t="s">
        <v>52</v>
      </c>
      <c r="Z29">
        <v>1627</v>
      </c>
      <c r="AH29">
        <v>0</v>
      </c>
      <c r="AI29">
        <v>202504</v>
      </c>
      <c r="AJ29" t="s">
        <v>68</v>
      </c>
      <c r="AK29">
        <v>0</v>
      </c>
      <c r="AL29">
        <v>1</v>
      </c>
      <c r="AO29">
        <v>0</v>
      </c>
      <c r="AP29">
        <v>463</v>
      </c>
      <c r="AQ29">
        <v>430</v>
      </c>
      <c r="AR29">
        <v>430463</v>
      </c>
      <c r="AS29" t="s">
        <v>65</v>
      </c>
      <c r="AU29" t="s">
        <v>65</v>
      </c>
      <c r="AV29">
        <v>1000</v>
      </c>
      <c r="AW29">
        <v>1186.4000000000001</v>
      </c>
      <c r="AX29">
        <v>1500</v>
      </c>
      <c r="AY29">
        <v>1680.386</v>
      </c>
      <c r="AZ29">
        <v>1992.48</v>
      </c>
      <c r="BA29">
        <v>2399.98</v>
      </c>
      <c r="BB29">
        <v>2739.2040000000002</v>
      </c>
      <c r="BC29">
        <v>3000</v>
      </c>
      <c r="BD29">
        <v>3500</v>
      </c>
      <c r="BE29">
        <v>4000</v>
      </c>
      <c r="BF29">
        <v>4800</v>
      </c>
      <c r="BG29">
        <v>5000</v>
      </c>
      <c r="BH29">
        <v>5024.4139999999998</v>
      </c>
      <c r="BI29">
        <v>5617.9639999999999</v>
      </c>
      <c r="BJ29">
        <v>9836.84</v>
      </c>
      <c r="BK29">
        <v>12377.16</v>
      </c>
      <c r="BL29">
        <v>16956.52800000002</v>
      </c>
      <c r="BM29">
        <v>20247.331999999999</v>
      </c>
      <c r="BN29">
        <v>29364.69400000001</v>
      </c>
      <c r="BO29">
        <v>45000</v>
      </c>
      <c r="BP29">
        <v>1149602.8999999999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 x14ac:dyDescent="0.35">
      <c r="A30">
        <v>337415</v>
      </c>
      <c r="B30" t="s">
        <v>289</v>
      </c>
      <c r="C30" t="s">
        <v>290</v>
      </c>
      <c r="D30" s="1">
        <v>45770</v>
      </c>
      <c r="E30">
        <v>53850</v>
      </c>
      <c r="F30">
        <v>109</v>
      </c>
      <c r="G30" t="s">
        <v>74</v>
      </c>
      <c r="H30" t="s">
        <v>48</v>
      </c>
      <c r="I30" t="s">
        <v>49</v>
      </c>
      <c r="K30" t="s">
        <v>688</v>
      </c>
      <c r="L30">
        <v>1093306672844</v>
      </c>
      <c r="M30">
        <v>20250418</v>
      </c>
      <c r="N30" t="s">
        <v>222</v>
      </c>
      <c r="P30" t="s">
        <v>291</v>
      </c>
      <c r="Q30" t="s">
        <v>50</v>
      </c>
      <c r="R30">
        <v>1500</v>
      </c>
      <c r="S30">
        <v>0</v>
      </c>
      <c r="T30">
        <v>440311</v>
      </c>
      <c r="U30">
        <v>3550290724</v>
      </c>
      <c r="V30" t="s">
        <v>687</v>
      </c>
      <c r="W30" t="s">
        <v>58</v>
      </c>
      <c r="X30" t="s">
        <v>237</v>
      </c>
      <c r="Y30" t="s">
        <v>52</v>
      </c>
      <c r="Z30">
        <v>1903</v>
      </c>
      <c r="AH30">
        <v>0</v>
      </c>
      <c r="AI30">
        <v>202504</v>
      </c>
      <c r="AJ30" t="s">
        <v>68</v>
      </c>
      <c r="AK30">
        <v>0</v>
      </c>
      <c r="AL30">
        <v>1</v>
      </c>
      <c r="AM30">
        <v>440311</v>
      </c>
      <c r="AN30">
        <v>1</v>
      </c>
      <c r="AO30">
        <v>0</v>
      </c>
      <c r="AP30">
        <v>451</v>
      </c>
      <c r="AQ30">
        <v>430</v>
      </c>
      <c r="AR30">
        <v>430451</v>
      </c>
      <c r="AS30" t="s">
        <v>65</v>
      </c>
      <c r="AU30" t="s">
        <v>65</v>
      </c>
      <c r="AV30">
        <v>1000</v>
      </c>
      <c r="AW30">
        <v>1186.4000000000001</v>
      </c>
      <c r="AX30">
        <v>1500</v>
      </c>
      <c r="AY30">
        <v>1680.386</v>
      </c>
      <c r="AZ30">
        <v>1992.48</v>
      </c>
      <c r="BA30">
        <v>2399.98</v>
      </c>
      <c r="BB30">
        <v>2739.2040000000002</v>
      </c>
      <c r="BC30">
        <v>3000</v>
      </c>
      <c r="BD30">
        <v>3500</v>
      </c>
      <c r="BE30">
        <v>4000</v>
      </c>
      <c r="BF30">
        <v>4800</v>
      </c>
      <c r="BG30">
        <v>5000</v>
      </c>
      <c r="BH30">
        <v>5024.4139999999998</v>
      </c>
      <c r="BI30">
        <v>5617.9639999999999</v>
      </c>
      <c r="BJ30">
        <v>9836.84</v>
      </c>
      <c r="BK30">
        <v>12377.16</v>
      </c>
      <c r="BL30">
        <v>16956.52800000002</v>
      </c>
      <c r="BM30">
        <v>20247.331999999999</v>
      </c>
      <c r="BN30">
        <v>29364.69400000001</v>
      </c>
      <c r="BO30">
        <v>45000</v>
      </c>
      <c r="BP30">
        <v>1149602.8999999999</v>
      </c>
      <c r="BQ30">
        <v>1</v>
      </c>
      <c r="BR30">
        <v>1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 x14ac:dyDescent="0.35">
      <c r="A31">
        <v>337412</v>
      </c>
      <c r="B31" t="s">
        <v>289</v>
      </c>
      <c r="C31" t="s">
        <v>290</v>
      </c>
      <c r="D31" s="1">
        <v>45770</v>
      </c>
      <c r="E31">
        <v>53850</v>
      </c>
      <c r="F31">
        <v>109</v>
      </c>
      <c r="G31" t="s">
        <v>74</v>
      </c>
      <c r="H31" t="s">
        <v>48</v>
      </c>
      <c r="I31" t="s">
        <v>49</v>
      </c>
      <c r="K31">
        <v>202504177914865</v>
      </c>
      <c r="L31">
        <v>1093306672844</v>
      </c>
      <c r="M31">
        <v>20250417</v>
      </c>
      <c r="N31" t="s">
        <v>222</v>
      </c>
      <c r="P31" t="s">
        <v>303</v>
      </c>
      <c r="Q31" t="s">
        <v>50</v>
      </c>
      <c r="R31">
        <v>34300</v>
      </c>
      <c r="S31">
        <v>0</v>
      </c>
      <c r="T31">
        <v>440311</v>
      </c>
      <c r="U31">
        <v>3550290724</v>
      </c>
      <c r="V31" t="s">
        <v>687</v>
      </c>
      <c r="W31" t="s">
        <v>58</v>
      </c>
      <c r="X31" t="s">
        <v>237</v>
      </c>
      <c r="Y31" t="s">
        <v>52</v>
      </c>
      <c r="Z31">
        <v>1903</v>
      </c>
      <c r="AH31">
        <v>0</v>
      </c>
      <c r="AI31">
        <v>202504</v>
      </c>
      <c r="AJ31" t="s">
        <v>68</v>
      </c>
      <c r="AK31">
        <v>0</v>
      </c>
      <c r="AL31">
        <v>1</v>
      </c>
      <c r="AM31">
        <v>440311</v>
      </c>
      <c r="AN31">
        <v>1</v>
      </c>
      <c r="AO31">
        <v>0</v>
      </c>
      <c r="AP31">
        <v>451</v>
      </c>
      <c r="AQ31">
        <v>430</v>
      </c>
      <c r="AR31">
        <v>430451</v>
      </c>
      <c r="AS31" t="s">
        <v>65</v>
      </c>
      <c r="AU31" t="s">
        <v>65</v>
      </c>
      <c r="AV31">
        <v>1000</v>
      </c>
      <c r="AW31">
        <v>1186.4000000000001</v>
      </c>
      <c r="AX31">
        <v>1500</v>
      </c>
      <c r="AY31">
        <v>1680.386</v>
      </c>
      <c r="AZ31">
        <v>1992.48</v>
      </c>
      <c r="BA31">
        <v>2399.98</v>
      </c>
      <c r="BB31">
        <v>2739.2040000000002</v>
      </c>
      <c r="BC31">
        <v>3000</v>
      </c>
      <c r="BD31">
        <v>3500</v>
      </c>
      <c r="BE31">
        <v>4000</v>
      </c>
      <c r="BF31">
        <v>4800</v>
      </c>
      <c r="BG31">
        <v>5000</v>
      </c>
      <c r="BH31">
        <v>5024.4139999999998</v>
      </c>
      <c r="BI31">
        <v>5617.9639999999999</v>
      </c>
      <c r="BJ31">
        <v>9836.84</v>
      </c>
      <c r="BK31">
        <v>12377.16</v>
      </c>
      <c r="BL31">
        <v>16956.52800000002</v>
      </c>
      <c r="BM31">
        <v>20247.331999999999</v>
      </c>
      <c r="BN31">
        <v>29364.69400000001</v>
      </c>
      <c r="BO31">
        <v>45000</v>
      </c>
      <c r="BP31">
        <v>1149602.8999999999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0</v>
      </c>
      <c r="CK31">
        <v>0</v>
      </c>
    </row>
    <row r="32" spans="1:89" x14ac:dyDescent="0.35">
      <c r="A32">
        <v>337388</v>
      </c>
      <c r="B32" t="s">
        <v>289</v>
      </c>
      <c r="C32" t="s">
        <v>290</v>
      </c>
      <c r="D32" s="1">
        <v>45766</v>
      </c>
      <c r="E32">
        <v>53850</v>
      </c>
      <c r="F32">
        <v>103</v>
      </c>
      <c r="G32" t="s">
        <v>62</v>
      </c>
      <c r="H32" t="s">
        <v>48</v>
      </c>
      <c r="I32" t="s">
        <v>49</v>
      </c>
      <c r="K32" t="s">
        <v>345</v>
      </c>
      <c r="L32">
        <v>1033304289290</v>
      </c>
      <c r="M32">
        <v>20250418</v>
      </c>
      <c r="N32" t="s">
        <v>222</v>
      </c>
      <c r="P32" t="s">
        <v>303</v>
      </c>
      <c r="Q32" t="s">
        <v>50</v>
      </c>
      <c r="R32">
        <v>1990.6</v>
      </c>
      <c r="S32">
        <v>0</v>
      </c>
      <c r="T32">
        <v>428929</v>
      </c>
      <c r="U32">
        <v>3895840720</v>
      </c>
      <c r="V32" t="s">
        <v>346</v>
      </c>
      <c r="W32" t="s">
        <v>128</v>
      </c>
      <c r="X32" t="s">
        <v>108</v>
      </c>
      <c r="Y32" t="s">
        <v>52</v>
      </c>
      <c r="Z32">
        <v>1274</v>
      </c>
      <c r="AH32">
        <v>0</v>
      </c>
      <c r="AI32">
        <v>202504</v>
      </c>
      <c r="AJ32" t="s">
        <v>55</v>
      </c>
      <c r="AK32">
        <v>0</v>
      </c>
      <c r="AL32">
        <v>1</v>
      </c>
      <c r="AO32">
        <v>0</v>
      </c>
      <c r="AP32">
        <v>999</v>
      </c>
      <c r="AQ32">
        <v>450</v>
      </c>
      <c r="AR32">
        <v>450999</v>
      </c>
      <c r="AT32">
        <v>1</v>
      </c>
      <c r="AU32" t="s">
        <v>59</v>
      </c>
      <c r="AV32">
        <v>1000</v>
      </c>
      <c r="AW32">
        <v>1186.4000000000001</v>
      </c>
      <c r="AX32">
        <v>1500</v>
      </c>
      <c r="AY32">
        <v>1680.386</v>
      </c>
      <c r="AZ32">
        <v>1992.48</v>
      </c>
      <c r="BA32">
        <v>2399.98</v>
      </c>
      <c r="BB32">
        <v>2739.2040000000002</v>
      </c>
      <c r="BC32">
        <v>3000</v>
      </c>
      <c r="BD32">
        <v>3500</v>
      </c>
      <c r="BE32">
        <v>4000</v>
      </c>
      <c r="BF32">
        <v>4800</v>
      </c>
      <c r="BG32">
        <v>5000</v>
      </c>
      <c r="BH32">
        <v>5024.4139999999998</v>
      </c>
      <c r="BI32">
        <v>5617.9639999999999</v>
      </c>
      <c r="BJ32">
        <v>9836.84</v>
      </c>
      <c r="BK32">
        <v>12377.16</v>
      </c>
      <c r="BL32">
        <v>16956.52800000002</v>
      </c>
      <c r="BM32">
        <v>20247.331999999999</v>
      </c>
      <c r="BN32">
        <v>29364.69400000001</v>
      </c>
      <c r="BO32">
        <v>45000</v>
      </c>
      <c r="BP32">
        <v>1149602.8999999999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 x14ac:dyDescent="0.35">
      <c r="A33">
        <v>337373</v>
      </c>
      <c r="B33" t="s">
        <v>289</v>
      </c>
      <c r="C33" t="s">
        <v>290</v>
      </c>
      <c r="D33" s="1">
        <v>45765</v>
      </c>
      <c r="E33">
        <v>53850</v>
      </c>
      <c r="F33">
        <v>181</v>
      </c>
      <c r="G33" t="s">
        <v>210</v>
      </c>
      <c r="H33" t="s">
        <v>48</v>
      </c>
      <c r="I33" t="s">
        <v>49</v>
      </c>
      <c r="K33" t="s">
        <v>347</v>
      </c>
      <c r="L33">
        <v>1813301029181</v>
      </c>
      <c r="M33">
        <v>20250417</v>
      </c>
      <c r="N33" t="s">
        <v>222</v>
      </c>
      <c r="P33" t="s">
        <v>303</v>
      </c>
      <c r="Q33" t="s">
        <v>61</v>
      </c>
      <c r="R33">
        <v>1272</v>
      </c>
      <c r="S33">
        <v>0</v>
      </c>
      <c r="T33">
        <v>4803285</v>
      </c>
      <c r="U33" t="s">
        <v>348</v>
      </c>
      <c r="V33" t="s">
        <v>349</v>
      </c>
      <c r="W33" t="s">
        <v>73</v>
      </c>
      <c r="X33" t="s">
        <v>120</v>
      </c>
      <c r="Y33" t="s">
        <v>52</v>
      </c>
      <c r="Z33">
        <v>1670</v>
      </c>
      <c r="AH33">
        <v>0</v>
      </c>
      <c r="AI33">
        <v>202504</v>
      </c>
      <c r="AJ33" t="s">
        <v>205</v>
      </c>
      <c r="AK33">
        <v>1</v>
      </c>
      <c r="AL33">
        <v>1</v>
      </c>
      <c r="AO33">
        <v>0</v>
      </c>
      <c r="AP33">
        <v>999</v>
      </c>
      <c r="AQ33">
        <v>615</v>
      </c>
      <c r="AR33">
        <v>615999</v>
      </c>
      <c r="AT33">
        <v>1</v>
      </c>
      <c r="AU33" t="s">
        <v>65</v>
      </c>
      <c r="AV33">
        <v>1000</v>
      </c>
      <c r="AW33">
        <v>1186.4000000000001</v>
      </c>
      <c r="AX33">
        <v>1500</v>
      </c>
      <c r="AY33">
        <v>1680.386</v>
      </c>
      <c r="AZ33">
        <v>1992.48</v>
      </c>
      <c r="BA33">
        <v>2399.98</v>
      </c>
      <c r="BB33">
        <v>2739.2040000000002</v>
      </c>
      <c r="BC33">
        <v>3000</v>
      </c>
      <c r="BD33">
        <v>3500</v>
      </c>
      <c r="BE33">
        <v>4000</v>
      </c>
      <c r="BF33">
        <v>4800</v>
      </c>
      <c r="BG33">
        <v>5000</v>
      </c>
      <c r="BH33">
        <v>5024.4139999999998</v>
      </c>
      <c r="BI33">
        <v>5617.9639999999999</v>
      </c>
      <c r="BJ33">
        <v>9836.84</v>
      </c>
      <c r="BK33">
        <v>12377.16</v>
      </c>
      <c r="BL33">
        <v>16956.52800000002</v>
      </c>
      <c r="BM33">
        <v>20247.331999999999</v>
      </c>
      <c r="BN33">
        <v>29364.69400000001</v>
      </c>
      <c r="BO33">
        <v>45000</v>
      </c>
      <c r="BP33">
        <v>1149602.8999999999</v>
      </c>
      <c r="BQ33">
        <v>1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 x14ac:dyDescent="0.35">
      <c r="A34">
        <v>337371</v>
      </c>
      <c r="B34" t="s">
        <v>289</v>
      </c>
      <c r="C34" t="s">
        <v>290</v>
      </c>
      <c r="D34" s="1">
        <v>45765</v>
      </c>
      <c r="E34">
        <v>53850</v>
      </c>
      <c r="F34">
        <v>268</v>
      </c>
      <c r="G34" t="s">
        <v>216</v>
      </c>
      <c r="H34" t="s">
        <v>48</v>
      </c>
      <c r="I34" t="s">
        <v>49</v>
      </c>
      <c r="K34">
        <v>202504177907005</v>
      </c>
      <c r="L34">
        <v>2681147800157</v>
      </c>
      <c r="M34">
        <v>20250417</v>
      </c>
      <c r="N34" t="s">
        <v>222</v>
      </c>
      <c r="P34" t="s">
        <v>350</v>
      </c>
      <c r="Q34" t="s">
        <v>50</v>
      </c>
      <c r="R34">
        <v>140984.67000000001</v>
      </c>
      <c r="S34">
        <v>0</v>
      </c>
      <c r="T34">
        <v>1606212</v>
      </c>
      <c r="U34">
        <v>1495180794</v>
      </c>
      <c r="V34" t="s">
        <v>217</v>
      </c>
      <c r="W34" t="s">
        <v>58</v>
      </c>
      <c r="X34" t="s">
        <v>218</v>
      </c>
      <c r="Y34" t="s">
        <v>52</v>
      </c>
      <c r="Z34">
        <v>1627</v>
      </c>
      <c r="AH34">
        <v>0</v>
      </c>
      <c r="AI34">
        <v>202504</v>
      </c>
      <c r="AJ34" t="s">
        <v>203</v>
      </c>
      <c r="AK34">
        <v>1</v>
      </c>
      <c r="AL34">
        <v>1</v>
      </c>
      <c r="AO34">
        <v>0</v>
      </c>
      <c r="AP34">
        <v>999</v>
      </c>
      <c r="AQ34">
        <v>430</v>
      </c>
      <c r="AR34">
        <v>430999</v>
      </c>
      <c r="AT34">
        <v>1</v>
      </c>
      <c r="AU34" t="s">
        <v>59</v>
      </c>
      <c r="AV34">
        <v>1000</v>
      </c>
      <c r="AW34">
        <v>1186.4000000000001</v>
      </c>
      <c r="AX34">
        <v>1500</v>
      </c>
      <c r="AY34">
        <v>1680.386</v>
      </c>
      <c r="AZ34">
        <v>1992.48</v>
      </c>
      <c r="BA34">
        <v>2399.98</v>
      </c>
      <c r="BB34">
        <v>2739.2040000000002</v>
      </c>
      <c r="BC34">
        <v>3000</v>
      </c>
      <c r="BD34">
        <v>3500</v>
      </c>
      <c r="BE34">
        <v>4000</v>
      </c>
      <c r="BF34">
        <v>4800</v>
      </c>
      <c r="BG34">
        <v>5000</v>
      </c>
      <c r="BH34">
        <v>5024.4139999999998</v>
      </c>
      <c r="BI34">
        <v>5617.9639999999999</v>
      </c>
      <c r="BJ34">
        <v>9836.84</v>
      </c>
      <c r="BK34">
        <v>12377.16</v>
      </c>
      <c r="BL34">
        <v>16956.52800000002</v>
      </c>
      <c r="BM34">
        <v>20247.331999999999</v>
      </c>
      <c r="BN34">
        <v>29364.69400000001</v>
      </c>
      <c r="BO34">
        <v>45000</v>
      </c>
      <c r="BP34">
        <v>1149602.8999999999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0</v>
      </c>
    </row>
    <row r="35" spans="1:89" x14ac:dyDescent="0.35">
      <c r="A35">
        <v>337367</v>
      </c>
      <c r="B35" t="s">
        <v>289</v>
      </c>
      <c r="C35" t="s">
        <v>290</v>
      </c>
      <c r="D35" s="1">
        <v>45765</v>
      </c>
      <c r="E35">
        <v>53850</v>
      </c>
      <c r="F35">
        <v>103</v>
      </c>
      <c r="G35" t="s">
        <v>62</v>
      </c>
      <c r="H35" t="s">
        <v>48</v>
      </c>
      <c r="I35" t="s">
        <v>49</v>
      </c>
      <c r="K35" t="s">
        <v>351</v>
      </c>
      <c r="L35">
        <v>1033306978559</v>
      </c>
      <c r="M35">
        <v>20250417</v>
      </c>
      <c r="N35" t="s">
        <v>222</v>
      </c>
      <c r="P35" t="s">
        <v>303</v>
      </c>
      <c r="Q35" t="s">
        <v>61</v>
      </c>
      <c r="R35">
        <v>2120</v>
      </c>
      <c r="S35">
        <v>0</v>
      </c>
      <c r="T35">
        <v>4917376</v>
      </c>
      <c r="U35">
        <v>324070770</v>
      </c>
      <c r="V35" t="s">
        <v>352</v>
      </c>
      <c r="W35" t="s">
        <v>58</v>
      </c>
      <c r="X35" t="s">
        <v>118</v>
      </c>
      <c r="Y35" t="s">
        <v>52</v>
      </c>
      <c r="Z35">
        <v>1175</v>
      </c>
      <c r="AH35">
        <v>0</v>
      </c>
      <c r="AI35">
        <v>202504</v>
      </c>
      <c r="AJ35" t="s">
        <v>68</v>
      </c>
      <c r="AK35">
        <v>0</v>
      </c>
      <c r="AL35">
        <v>1</v>
      </c>
      <c r="AO35">
        <v>0</v>
      </c>
      <c r="AP35">
        <v>999</v>
      </c>
      <c r="AQ35">
        <v>430</v>
      </c>
      <c r="AR35">
        <v>430999</v>
      </c>
      <c r="AT35">
        <v>1</v>
      </c>
      <c r="AU35" t="s">
        <v>59</v>
      </c>
      <c r="AV35">
        <v>1000</v>
      </c>
      <c r="AW35">
        <v>1186.4000000000001</v>
      </c>
      <c r="AX35">
        <v>1500</v>
      </c>
      <c r="AY35">
        <v>1680.386</v>
      </c>
      <c r="AZ35">
        <v>1992.48</v>
      </c>
      <c r="BA35">
        <v>2399.98</v>
      </c>
      <c r="BB35">
        <v>2739.2040000000002</v>
      </c>
      <c r="BC35">
        <v>3000</v>
      </c>
      <c r="BD35">
        <v>3500</v>
      </c>
      <c r="BE35">
        <v>4000</v>
      </c>
      <c r="BF35">
        <v>4800</v>
      </c>
      <c r="BG35">
        <v>5000</v>
      </c>
      <c r="BH35">
        <v>5024.4139999999998</v>
      </c>
      <c r="BI35">
        <v>5617.9639999999999</v>
      </c>
      <c r="BJ35">
        <v>9836.84</v>
      </c>
      <c r="BK35">
        <v>12377.16</v>
      </c>
      <c r="BL35">
        <v>16956.52800000002</v>
      </c>
      <c r="BM35">
        <v>20247.331999999999</v>
      </c>
      <c r="BN35">
        <v>29364.69400000001</v>
      </c>
      <c r="BO35">
        <v>45000</v>
      </c>
      <c r="BP35">
        <v>1149602.8999999999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 x14ac:dyDescent="0.35">
      <c r="A36">
        <v>337364</v>
      </c>
      <c r="B36" t="s">
        <v>289</v>
      </c>
      <c r="C36" t="s">
        <v>290</v>
      </c>
      <c r="D36" s="1">
        <v>45765</v>
      </c>
      <c r="E36">
        <v>53850</v>
      </c>
      <c r="F36">
        <v>102</v>
      </c>
      <c r="G36" t="s">
        <v>56</v>
      </c>
      <c r="H36" t="s">
        <v>48</v>
      </c>
      <c r="I36" t="s">
        <v>49</v>
      </c>
      <c r="K36">
        <v>202504177905473</v>
      </c>
      <c r="L36">
        <v>1023308716491</v>
      </c>
      <c r="M36">
        <v>20250417</v>
      </c>
      <c r="N36" t="s">
        <v>222</v>
      </c>
      <c r="P36" t="s">
        <v>296</v>
      </c>
      <c r="Q36" t="s">
        <v>50</v>
      </c>
      <c r="R36">
        <v>65000</v>
      </c>
      <c r="S36">
        <v>0</v>
      </c>
      <c r="T36">
        <v>3970</v>
      </c>
      <c r="U36" t="s">
        <v>353</v>
      </c>
      <c r="V36" t="s">
        <v>354</v>
      </c>
      <c r="W36" t="s">
        <v>51</v>
      </c>
      <c r="Y36" t="s">
        <v>52</v>
      </c>
      <c r="Z36">
        <v>1431</v>
      </c>
      <c r="AH36">
        <v>0</v>
      </c>
      <c r="AI36">
        <v>202504</v>
      </c>
      <c r="AJ36" t="s">
        <v>55</v>
      </c>
      <c r="AK36">
        <v>0</v>
      </c>
      <c r="AL36">
        <v>1</v>
      </c>
      <c r="AO36">
        <v>0</v>
      </c>
      <c r="AP36">
        <v>999</v>
      </c>
      <c r="AQ36">
        <v>600</v>
      </c>
      <c r="AR36">
        <v>600999</v>
      </c>
      <c r="AS36" t="s">
        <v>53</v>
      </c>
      <c r="AU36" t="s">
        <v>53</v>
      </c>
      <c r="AV36">
        <v>1000</v>
      </c>
      <c r="AW36">
        <v>1186.4000000000001</v>
      </c>
      <c r="AX36">
        <v>1500</v>
      </c>
      <c r="AY36">
        <v>1680.386</v>
      </c>
      <c r="AZ36">
        <v>1992.48</v>
      </c>
      <c r="BA36">
        <v>2399.98</v>
      </c>
      <c r="BB36">
        <v>2739.2040000000002</v>
      </c>
      <c r="BC36">
        <v>3000</v>
      </c>
      <c r="BD36">
        <v>3500</v>
      </c>
      <c r="BE36">
        <v>4000</v>
      </c>
      <c r="BF36">
        <v>4800</v>
      </c>
      <c r="BG36">
        <v>5000</v>
      </c>
      <c r="BH36">
        <v>5024.4139999999998</v>
      </c>
      <c r="BI36">
        <v>5617.9639999999999</v>
      </c>
      <c r="BJ36">
        <v>9836.84</v>
      </c>
      <c r="BK36">
        <v>12377.16</v>
      </c>
      <c r="BL36">
        <v>16956.52800000002</v>
      </c>
      <c r="BM36">
        <v>20247.331999999999</v>
      </c>
      <c r="BN36">
        <v>29364.69400000001</v>
      </c>
      <c r="BO36">
        <v>45000</v>
      </c>
      <c r="BP36">
        <v>1149602.8999999999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</row>
    <row r="37" spans="1:89" x14ac:dyDescent="0.35">
      <c r="A37">
        <v>337362</v>
      </c>
      <c r="B37" t="s">
        <v>289</v>
      </c>
      <c r="C37" t="s">
        <v>290</v>
      </c>
      <c r="D37" s="1">
        <v>45765</v>
      </c>
      <c r="E37">
        <v>53850</v>
      </c>
      <c r="F37">
        <v>129</v>
      </c>
      <c r="G37" t="s">
        <v>81</v>
      </c>
      <c r="H37" t="s">
        <v>48</v>
      </c>
      <c r="I37" t="s">
        <v>49</v>
      </c>
      <c r="K37">
        <v>202504177906947</v>
      </c>
      <c r="L37">
        <v>1293300002811</v>
      </c>
      <c r="M37">
        <v>20250417</v>
      </c>
      <c r="N37" t="s">
        <v>222</v>
      </c>
      <c r="P37" t="s">
        <v>291</v>
      </c>
      <c r="Q37" t="s">
        <v>61</v>
      </c>
      <c r="R37">
        <v>11520.82</v>
      </c>
      <c r="S37">
        <v>0</v>
      </c>
      <c r="T37">
        <v>4972184</v>
      </c>
      <c r="U37">
        <v>7780290727</v>
      </c>
      <c r="V37" t="s">
        <v>355</v>
      </c>
      <c r="W37" t="s">
        <v>58</v>
      </c>
      <c r="X37" t="s">
        <v>356</v>
      </c>
      <c r="Y37" t="s">
        <v>52</v>
      </c>
      <c r="Z37">
        <v>1058</v>
      </c>
      <c r="AH37">
        <v>0</v>
      </c>
      <c r="AI37">
        <v>202504</v>
      </c>
      <c r="AJ37" t="s">
        <v>55</v>
      </c>
      <c r="AK37">
        <v>0</v>
      </c>
      <c r="AL37">
        <v>1</v>
      </c>
      <c r="AO37">
        <v>0</v>
      </c>
      <c r="AP37">
        <v>999</v>
      </c>
      <c r="AQ37">
        <v>430</v>
      </c>
      <c r="AR37">
        <v>430999</v>
      </c>
      <c r="AT37">
        <v>1</v>
      </c>
      <c r="AU37" t="s">
        <v>59</v>
      </c>
      <c r="AV37">
        <v>1000</v>
      </c>
      <c r="AW37">
        <v>1186.4000000000001</v>
      </c>
      <c r="AX37">
        <v>1500</v>
      </c>
      <c r="AY37">
        <v>1680.386</v>
      </c>
      <c r="AZ37">
        <v>1992.48</v>
      </c>
      <c r="BA37">
        <v>2399.98</v>
      </c>
      <c r="BB37">
        <v>2739.2040000000002</v>
      </c>
      <c r="BC37">
        <v>3000</v>
      </c>
      <c r="BD37">
        <v>3500</v>
      </c>
      <c r="BE37">
        <v>4000</v>
      </c>
      <c r="BF37">
        <v>4800</v>
      </c>
      <c r="BG37">
        <v>5000</v>
      </c>
      <c r="BH37">
        <v>5024.4139999999998</v>
      </c>
      <c r="BI37">
        <v>5617.9639999999999</v>
      </c>
      <c r="BJ37">
        <v>9836.84</v>
      </c>
      <c r="BK37">
        <v>12377.16</v>
      </c>
      <c r="BL37">
        <v>16956.52800000002</v>
      </c>
      <c r="BM37">
        <v>20247.331999999999</v>
      </c>
      <c r="BN37">
        <v>29364.69400000001</v>
      </c>
      <c r="BO37">
        <v>45000</v>
      </c>
      <c r="BP37">
        <v>1149602.8999999999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 x14ac:dyDescent="0.35">
      <c r="A38">
        <v>337353</v>
      </c>
      <c r="B38" t="s">
        <v>289</v>
      </c>
      <c r="C38" t="s">
        <v>290</v>
      </c>
      <c r="D38" s="1">
        <v>45765</v>
      </c>
      <c r="E38">
        <v>53850</v>
      </c>
      <c r="F38">
        <v>104</v>
      </c>
      <c r="G38" t="s">
        <v>54</v>
      </c>
      <c r="H38" t="s">
        <v>48</v>
      </c>
      <c r="I38" t="s">
        <v>49</v>
      </c>
      <c r="K38" t="s">
        <v>357</v>
      </c>
      <c r="L38">
        <v>1043301449295</v>
      </c>
      <c r="M38">
        <v>20250417</v>
      </c>
      <c r="N38" t="s">
        <v>222</v>
      </c>
      <c r="P38" t="s">
        <v>303</v>
      </c>
      <c r="Q38" t="s">
        <v>61</v>
      </c>
      <c r="R38">
        <v>2057.1999999999998</v>
      </c>
      <c r="S38">
        <v>0</v>
      </c>
      <c r="T38">
        <v>4627975</v>
      </c>
      <c r="U38">
        <v>7107300720</v>
      </c>
      <c r="V38" t="s">
        <v>358</v>
      </c>
      <c r="W38" t="s">
        <v>58</v>
      </c>
      <c r="X38" t="s">
        <v>359</v>
      </c>
      <c r="Y38" t="s">
        <v>52</v>
      </c>
      <c r="Z38">
        <v>727</v>
      </c>
      <c r="AH38">
        <v>0</v>
      </c>
      <c r="AI38">
        <v>202504</v>
      </c>
      <c r="AJ38" t="s">
        <v>203</v>
      </c>
      <c r="AK38">
        <v>1</v>
      </c>
      <c r="AL38">
        <v>1</v>
      </c>
      <c r="AO38">
        <v>0</v>
      </c>
      <c r="AP38">
        <v>999</v>
      </c>
      <c r="AQ38">
        <v>430</v>
      </c>
      <c r="AR38">
        <v>430999</v>
      </c>
      <c r="AT38">
        <v>1</v>
      </c>
      <c r="AU38" t="s">
        <v>59</v>
      </c>
      <c r="AV38">
        <v>1000</v>
      </c>
      <c r="AW38">
        <v>1186.4000000000001</v>
      </c>
      <c r="AX38">
        <v>1500</v>
      </c>
      <c r="AY38">
        <v>1680.386</v>
      </c>
      <c r="AZ38">
        <v>1992.48</v>
      </c>
      <c r="BA38">
        <v>2399.98</v>
      </c>
      <c r="BB38">
        <v>2739.2040000000002</v>
      </c>
      <c r="BC38">
        <v>3000</v>
      </c>
      <c r="BD38">
        <v>3500</v>
      </c>
      <c r="BE38">
        <v>4000</v>
      </c>
      <c r="BF38">
        <v>4800</v>
      </c>
      <c r="BG38">
        <v>5000</v>
      </c>
      <c r="BH38">
        <v>5024.4139999999998</v>
      </c>
      <c r="BI38">
        <v>5617.9639999999999</v>
      </c>
      <c r="BJ38">
        <v>9836.84</v>
      </c>
      <c r="BK38">
        <v>12377.16</v>
      </c>
      <c r="BL38">
        <v>16956.52800000002</v>
      </c>
      <c r="BM38">
        <v>20247.331999999999</v>
      </c>
      <c r="BN38">
        <v>29364.69400000001</v>
      </c>
      <c r="BO38">
        <v>45000</v>
      </c>
      <c r="BP38">
        <v>1149602.8999999999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 x14ac:dyDescent="0.35">
      <c r="A39">
        <v>337352</v>
      </c>
      <c r="B39" t="s">
        <v>289</v>
      </c>
      <c r="C39" t="s">
        <v>290</v>
      </c>
      <c r="D39" s="1">
        <v>45765</v>
      </c>
      <c r="E39">
        <v>53850</v>
      </c>
      <c r="F39">
        <v>116</v>
      </c>
      <c r="G39" t="s">
        <v>209</v>
      </c>
      <c r="H39" t="s">
        <v>48</v>
      </c>
      <c r="I39" t="s">
        <v>49</v>
      </c>
      <c r="K39" t="s">
        <v>360</v>
      </c>
      <c r="L39">
        <v>1163307619118</v>
      </c>
      <c r="M39">
        <v>20250417</v>
      </c>
      <c r="N39" t="s">
        <v>222</v>
      </c>
      <c r="P39" t="s">
        <v>296</v>
      </c>
      <c r="Q39" t="s">
        <v>61</v>
      </c>
      <c r="R39">
        <v>4700</v>
      </c>
      <c r="S39">
        <v>0</v>
      </c>
      <c r="T39">
        <v>4644565</v>
      </c>
      <c r="U39" t="s">
        <v>361</v>
      </c>
      <c r="V39" t="s">
        <v>362</v>
      </c>
      <c r="W39" t="s">
        <v>51</v>
      </c>
      <c r="Y39" t="s">
        <v>52</v>
      </c>
      <c r="Z39">
        <v>924</v>
      </c>
      <c r="AH39">
        <v>0</v>
      </c>
      <c r="AI39">
        <v>202504</v>
      </c>
      <c r="AJ39" t="s">
        <v>203</v>
      </c>
      <c r="AK39">
        <v>1</v>
      </c>
      <c r="AL39">
        <v>1</v>
      </c>
      <c r="AO39">
        <v>0</v>
      </c>
      <c r="AP39">
        <v>999</v>
      </c>
      <c r="AQ39">
        <v>600</v>
      </c>
      <c r="AR39">
        <v>600999</v>
      </c>
      <c r="AS39" t="s">
        <v>53</v>
      </c>
      <c r="AU39" t="s">
        <v>53</v>
      </c>
      <c r="AV39">
        <v>1000</v>
      </c>
      <c r="AW39">
        <v>1186.4000000000001</v>
      </c>
      <c r="AX39">
        <v>1500</v>
      </c>
      <c r="AY39">
        <v>1680.386</v>
      </c>
      <c r="AZ39">
        <v>1992.48</v>
      </c>
      <c r="BA39">
        <v>2399.98</v>
      </c>
      <c r="BB39">
        <v>2739.2040000000002</v>
      </c>
      <c r="BC39">
        <v>3000</v>
      </c>
      <c r="BD39">
        <v>3500</v>
      </c>
      <c r="BE39">
        <v>4000</v>
      </c>
      <c r="BF39">
        <v>4800</v>
      </c>
      <c r="BG39">
        <v>5000</v>
      </c>
      <c r="BH39">
        <v>5024.4139999999998</v>
      </c>
      <c r="BI39">
        <v>5617.9639999999999</v>
      </c>
      <c r="BJ39">
        <v>9836.84</v>
      </c>
      <c r="BK39">
        <v>12377.16</v>
      </c>
      <c r="BL39">
        <v>16956.52800000002</v>
      </c>
      <c r="BM39">
        <v>20247.331999999999</v>
      </c>
      <c r="BN39">
        <v>29364.69400000001</v>
      </c>
      <c r="BO39">
        <v>45000</v>
      </c>
      <c r="BP39">
        <v>1149602.8999999999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 x14ac:dyDescent="0.35">
      <c r="A40">
        <v>337351</v>
      </c>
      <c r="B40" t="s">
        <v>289</v>
      </c>
      <c r="C40" t="s">
        <v>290</v>
      </c>
      <c r="D40" s="1">
        <v>45765</v>
      </c>
      <c r="E40">
        <v>53850</v>
      </c>
      <c r="F40">
        <v>196</v>
      </c>
      <c r="G40" t="s">
        <v>90</v>
      </c>
      <c r="H40" t="s">
        <v>48</v>
      </c>
      <c r="I40" t="s">
        <v>49</v>
      </c>
      <c r="K40" t="s">
        <v>363</v>
      </c>
      <c r="L40">
        <v>1963302354532</v>
      </c>
      <c r="M40">
        <v>20250417</v>
      </c>
      <c r="N40" t="s">
        <v>222</v>
      </c>
      <c r="P40" t="s">
        <v>364</v>
      </c>
      <c r="Q40" t="s">
        <v>50</v>
      </c>
      <c r="R40">
        <v>1940</v>
      </c>
      <c r="S40">
        <v>0</v>
      </c>
      <c r="T40">
        <v>4962400</v>
      </c>
      <c r="U40" t="s">
        <v>365</v>
      </c>
      <c r="V40" t="s">
        <v>366</v>
      </c>
      <c r="W40" t="s">
        <v>51</v>
      </c>
      <c r="Y40" t="s">
        <v>52</v>
      </c>
      <c r="Z40">
        <v>796</v>
      </c>
      <c r="AH40">
        <v>0</v>
      </c>
      <c r="AI40">
        <v>202504</v>
      </c>
      <c r="AJ40" t="s">
        <v>203</v>
      </c>
      <c r="AK40">
        <v>1</v>
      </c>
      <c r="AL40">
        <v>1</v>
      </c>
      <c r="AO40">
        <v>0</v>
      </c>
      <c r="AP40">
        <v>999</v>
      </c>
      <c r="AQ40">
        <v>600</v>
      </c>
      <c r="AR40">
        <v>600999</v>
      </c>
      <c r="AS40" t="s">
        <v>53</v>
      </c>
      <c r="AU40" t="s">
        <v>53</v>
      </c>
      <c r="AV40">
        <v>1000</v>
      </c>
      <c r="AW40">
        <v>1186.4000000000001</v>
      </c>
      <c r="AX40">
        <v>1500</v>
      </c>
      <c r="AY40">
        <v>1680.386</v>
      </c>
      <c r="AZ40">
        <v>1992.48</v>
      </c>
      <c r="BA40">
        <v>2399.98</v>
      </c>
      <c r="BB40">
        <v>2739.2040000000002</v>
      </c>
      <c r="BC40">
        <v>3000</v>
      </c>
      <c r="BD40">
        <v>3500</v>
      </c>
      <c r="BE40">
        <v>4000</v>
      </c>
      <c r="BF40">
        <v>4800</v>
      </c>
      <c r="BG40">
        <v>5000</v>
      </c>
      <c r="BH40">
        <v>5024.4139999999998</v>
      </c>
      <c r="BI40">
        <v>5617.9639999999999</v>
      </c>
      <c r="BJ40">
        <v>9836.84</v>
      </c>
      <c r="BK40">
        <v>12377.16</v>
      </c>
      <c r="BL40">
        <v>16956.52800000002</v>
      </c>
      <c r="BM40">
        <v>20247.331999999999</v>
      </c>
      <c r="BN40">
        <v>29364.69400000001</v>
      </c>
      <c r="BO40">
        <v>45000</v>
      </c>
      <c r="BP40">
        <v>1149602.8999999999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 x14ac:dyDescent="0.35">
      <c r="A41">
        <v>337346</v>
      </c>
      <c r="B41" t="s">
        <v>289</v>
      </c>
      <c r="C41" t="s">
        <v>290</v>
      </c>
      <c r="D41" s="1">
        <v>45765</v>
      </c>
      <c r="E41">
        <v>53850</v>
      </c>
      <c r="F41">
        <v>171</v>
      </c>
      <c r="G41" t="s">
        <v>84</v>
      </c>
      <c r="H41" t="s">
        <v>48</v>
      </c>
      <c r="I41" t="s">
        <v>49</v>
      </c>
      <c r="K41">
        <v>202504157905829</v>
      </c>
      <c r="L41">
        <v>1713302216617</v>
      </c>
      <c r="M41">
        <v>20250415</v>
      </c>
      <c r="N41" t="s">
        <v>222</v>
      </c>
      <c r="P41" t="s">
        <v>303</v>
      </c>
      <c r="Q41" t="s">
        <v>50</v>
      </c>
      <c r="R41">
        <v>5000</v>
      </c>
      <c r="S41">
        <v>0</v>
      </c>
      <c r="T41">
        <v>4220793</v>
      </c>
      <c r="U41" t="s">
        <v>367</v>
      </c>
      <c r="V41" t="s">
        <v>368</v>
      </c>
      <c r="W41" t="s">
        <v>51</v>
      </c>
      <c r="Y41" t="s">
        <v>52</v>
      </c>
      <c r="Z41">
        <v>815</v>
      </c>
      <c r="AH41">
        <v>0</v>
      </c>
      <c r="AI41">
        <v>202504</v>
      </c>
      <c r="AJ41" t="s">
        <v>205</v>
      </c>
      <c r="AK41">
        <v>1</v>
      </c>
      <c r="AL41">
        <v>1</v>
      </c>
      <c r="AO41">
        <v>0</v>
      </c>
      <c r="AP41">
        <v>999</v>
      </c>
      <c r="AQ41">
        <v>600</v>
      </c>
      <c r="AR41">
        <v>600999</v>
      </c>
      <c r="AS41" t="s">
        <v>53</v>
      </c>
      <c r="AU41" t="s">
        <v>53</v>
      </c>
      <c r="AV41">
        <v>1000</v>
      </c>
      <c r="AW41">
        <v>1186.4000000000001</v>
      </c>
      <c r="AX41">
        <v>1500</v>
      </c>
      <c r="AY41">
        <v>1680.386</v>
      </c>
      <c r="AZ41">
        <v>1992.48</v>
      </c>
      <c r="BA41">
        <v>2399.98</v>
      </c>
      <c r="BB41">
        <v>2739.2040000000002</v>
      </c>
      <c r="BC41">
        <v>3000</v>
      </c>
      <c r="BD41">
        <v>3500</v>
      </c>
      <c r="BE41">
        <v>4000</v>
      </c>
      <c r="BF41">
        <v>4800</v>
      </c>
      <c r="BG41">
        <v>5000</v>
      </c>
      <c r="BH41">
        <v>5024.4139999999998</v>
      </c>
      <c r="BI41">
        <v>5617.9639999999999</v>
      </c>
      <c r="BJ41">
        <v>9836.84</v>
      </c>
      <c r="BK41">
        <v>12377.16</v>
      </c>
      <c r="BL41">
        <v>16956.52800000002</v>
      </c>
      <c r="BM41">
        <v>20247.331999999999</v>
      </c>
      <c r="BN41">
        <v>29364.69400000001</v>
      </c>
      <c r="BO41">
        <v>45000</v>
      </c>
      <c r="BP41">
        <v>1149602.8999999999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 x14ac:dyDescent="0.35">
      <c r="A42">
        <v>337334</v>
      </c>
      <c r="B42" t="s">
        <v>289</v>
      </c>
      <c r="C42" t="s">
        <v>290</v>
      </c>
      <c r="D42" s="1">
        <v>45764</v>
      </c>
      <c r="E42">
        <v>53850</v>
      </c>
      <c r="F42">
        <v>103</v>
      </c>
      <c r="G42" t="s">
        <v>62</v>
      </c>
      <c r="H42" t="s">
        <v>48</v>
      </c>
      <c r="I42" t="s">
        <v>49</v>
      </c>
      <c r="K42">
        <v>202504167902380</v>
      </c>
      <c r="L42">
        <v>1033302886146</v>
      </c>
      <c r="M42">
        <v>20250416</v>
      </c>
      <c r="N42" t="s">
        <v>222</v>
      </c>
      <c r="P42" t="s">
        <v>303</v>
      </c>
      <c r="Q42" t="s">
        <v>50</v>
      </c>
      <c r="R42">
        <v>5536.36</v>
      </c>
      <c r="S42">
        <v>0</v>
      </c>
      <c r="T42">
        <v>4503362</v>
      </c>
      <c r="U42">
        <v>6800040724</v>
      </c>
      <c r="V42" t="s">
        <v>369</v>
      </c>
      <c r="W42" t="s">
        <v>341</v>
      </c>
      <c r="X42" t="s">
        <v>108</v>
      </c>
      <c r="Y42" t="s">
        <v>52</v>
      </c>
      <c r="Z42">
        <v>1912</v>
      </c>
      <c r="AH42">
        <v>0</v>
      </c>
      <c r="AI42">
        <v>202504</v>
      </c>
      <c r="AJ42" t="s">
        <v>203</v>
      </c>
      <c r="AK42">
        <v>1</v>
      </c>
      <c r="AL42">
        <v>1</v>
      </c>
      <c r="AO42">
        <v>0</v>
      </c>
      <c r="AP42">
        <v>999</v>
      </c>
      <c r="AQ42">
        <v>482</v>
      </c>
      <c r="AR42">
        <v>482999</v>
      </c>
      <c r="AT42">
        <v>1</v>
      </c>
      <c r="AU42" t="s">
        <v>71</v>
      </c>
      <c r="AV42">
        <v>1000</v>
      </c>
      <c r="AW42">
        <v>1186.4000000000001</v>
      </c>
      <c r="AX42">
        <v>1500</v>
      </c>
      <c r="AY42">
        <v>1680.386</v>
      </c>
      <c r="AZ42">
        <v>1992.48</v>
      </c>
      <c r="BA42">
        <v>2399.98</v>
      </c>
      <c r="BB42">
        <v>2739.2040000000002</v>
      </c>
      <c r="BC42">
        <v>3000</v>
      </c>
      <c r="BD42">
        <v>3500</v>
      </c>
      <c r="BE42">
        <v>4000</v>
      </c>
      <c r="BF42">
        <v>4800</v>
      </c>
      <c r="BG42">
        <v>5000</v>
      </c>
      <c r="BH42">
        <v>5024.4139999999998</v>
      </c>
      <c r="BI42">
        <v>5617.9639999999999</v>
      </c>
      <c r="BJ42">
        <v>9836.84</v>
      </c>
      <c r="BK42">
        <v>12377.16</v>
      </c>
      <c r="BL42">
        <v>16956.52800000002</v>
      </c>
      <c r="BM42">
        <v>20247.331999999999</v>
      </c>
      <c r="BN42">
        <v>29364.69400000001</v>
      </c>
      <c r="BO42">
        <v>45000</v>
      </c>
      <c r="BP42">
        <v>1149602.8999999999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 x14ac:dyDescent="0.35">
      <c r="A43">
        <v>337328</v>
      </c>
      <c r="B43" t="s">
        <v>289</v>
      </c>
      <c r="C43" t="s">
        <v>290</v>
      </c>
      <c r="D43" s="1">
        <v>45764</v>
      </c>
      <c r="E43">
        <v>53850</v>
      </c>
      <c r="F43">
        <v>147</v>
      </c>
      <c r="G43" t="s">
        <v>114</v>
      </c>
      <c r="H43" t="s">
        <v>48</v>
      </c>
      <c r="I43" t="s">
        <v>49</v>
      </c>
      <c r="K43" t="s">
        <v>370</v>
      </c>
      <c r="L43">
        <v>1473300005217</v>
      </c>
      <c r="M43">
        <v>20250416</v>
      </c>
      <c r="N43" t="s">
        <v>222</v>
      </c>
      <c r="P43" t="s">
        <v>303</v>
      </c>
      <c r="Q43" t="s">
        <v>50</v>
      </c>
      <c r="R43">
        <v>2050</v>
      </c>
      <c r="S43">
        <v>0</v>
      </c>
      <c r="T43">
        <v>3724704</v>
      </c>
      <c r="U43">
        <v>4306130610</v>
      </c>
      <c r="V43" t="s">
        <v>371</v>
      </c>
      <c r="W43" t="s">
        <v>58</v>
      </c>
      <c r="X43" t="s">
        <v>108</v>
      </c>
      <c r="Y43" t="s">
        <v>52</v>
      </c>
      <c r="Z43">
        <v>1196</v>
      </c>
      <c r="AH43">
        <v>0</v>
      </c>
      <c r="AI43">
        <v>202504</v>
      </c>
      <c r="AJ43" t="s">
        <v>55</v>
      </c>
      <c r="AK43">
        <v>0</v>
      </c>
      <c r="AL43">
        <v>1</v>
      </c>
      <c r="AO43">
        <v>0</v>
      </c>
      <c r="AP43">
        <v>999</v>
      </c>
      <c r="AQ43">
        <v>430</v>
      </c>
      <c r="AR43">
        <v>430999</v>
      </c>
      <c r="AT43">
        <v>1</v>
      </c>
      <c r="AU43" t="s">
        <v>59</v>
      </c>
      <c r="AV43">
        <v>1000</v>
      </c>
      <c r="AW43">
        <v>1186.4000000000001</v>
      </c>
      <c r="AX43">
        <v>1500</v>
      </c>
      <c r="AY43">
        <v>1680.386</v>
      </c>
      <c r="AZ43">
        <v>1992.48</v>
      </c>
      <c r="BA43">
        <v>2399.98</v>
      </c>
      <c r="BB43">
        <v>2739.2040000000002</v>
      </c>
      <c r="BC43">
        <v>3000</v>
      </c>
      <c r="BD43">
        <v>3500</v>
      </c>
      <c r="BE43">
        <v>4000</v>
      </c>
      <c r="BF43">
        <v>4800</v>
      </c>
      <c r="BG43">
        <v>5000</v>
      </c>
      <c r="BH43">
        <v>5024.4139999999998</v>
      </c>
      <c r="BI43">
        <v>5617.9639999999999</v>
      </c>
      <c r="BJ43">
        <v>9836.84</v>
      </c>
      <c r="BK43">
        <v>12377.16</v>
      </c>
      <c r="BL43">
        <v>16956.52800000002</v>
      </c>
      <c r="BM43">
        <v>20247.331999999999</v>
      </c>
      <c r="BN43">
        <v>29364.69400000001</v>
      </c>
      <c r="BO43">
        <v>45000</v>
      </c>
      <c r="BP43">
        <v>1149602.8999999999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 x14ac:dyDescent="0.35">
      <c r="A44">
        <v>337314</v>
      </c>
      <c r="B44" t="s">
        <v>289</v>
      </c>
      <c r="C44" t="s">
        <v>290</v>
      </c>
      <c r="D44" s="1">
        <v>45764</v>
      </c>
      <c r="E44">
        <v>53850</v>
      </c>
      <c r="F44">
        <v>171</v>
      </c>
      <c r="G44" t="s">
        <v>84</v>
      </c>
      <c r="H44" t="s">
        <v>48</v>
      </c>
      <c r="I44" t="s">
        <v>49</v>
      </c>
      <c r="K44">
        <v>202504167901863</v>
      </c>
      <c r="L44">
        <v>1713302216617</v>
      </c>
      <c r="M44">
        <v>20250416</v>
      </c>
      <c r="N44" t="s">
        <v>222</v>
      </c>
      <c r="P44" t="s">
        <v>303</v>
      </c>
      <c r="Q44" t="s">
        <v>50</v>
      </c>
      <c r="R44">
        <v>5000</v>
      </c>
      <c r="S44">
        <v>0</v>
      </c>
      <c r="T44">
        <v>4220793</v>
      </c>
      <c r="U44" t="s">
        <v>367</v>
      </c>
      <c r="V44" t="s">
        <v>368</v>
      </c>
      <c r="W44" t="s">
        <v>51</v>
      </c>
      <c r="Y44" t="s">
        <v>52</v>
      </c>
      <c r="Z44">
        <v>815</v>
      </c>
      <c r="AH44">
        <v>0</v>
      </c>
      <c r="AI44">
        <v>202504</v>
      </c>
      <c r="AJ44" t="s">
        <v>205</v>
      </c>
      <c r="AK44">
        <v>1</v>
      </c>
      <c r="AL44">
        <v>1</v>
      </c>
      <c r="AO44">
        <v>0</v>
      </c>
      <c r="AP44">
        <v>999</v>
      </c>
      <c r="AQ44">
        <v>600</v>
      </c>
      <c r="AR44">
        <v>600999</v>
      </c>
      <c r="AS44" t="s">
        <v>53</v>
      </c>
      <c r="AU44" t="s">
        <v>53</v>
      </c>
      <c r="AV44">
        <v>1000</v>
      </c>
      <c r="AW44">
        <v>1186.4000000000001</v>
      </c>
      <c r="AX44">
        <v>1500</v>
      </c>
      <c r="AY44">
        <v>1680.386</v>
      </c>
      <c r="AZ44">
        <v>1992.48</v>
      </c>
      <c r="BA44">
        <v>2399.98</v>
      </c>
      <c r="BB44">
        <v>2739.2040000000002</v>
      </c>
      <c r="BC44">
        <v>3000</v>
      </c>
      <c r="BD44">
        <v>3500</v>
      </c>
      <c r="BE44">
        <v>4000</v>
      </c>
      <c r="BF44">
        <v>4800</v>
      </c>
      <c r="BG44">
        <v>5000</v>
      </c>
      <c r="BH44">
        <v>5024.4139999999998</v>
      </c>
      <c r="BI44">
        <v>5617.9639999999999</v>
      </c>
      <c r="BJ44">
        <v>9836.84</v>
      </c>
      <c r="BK44">
        <v>12377.16</v>
      </c>
      <c r="BL44">
        <v>16956.52800000002</v>
      </c>
      <c r="BM44">
        <v>20247.331999999999</v>
      </c>
      <c r="BN44">
        <v>29364.69400000001</v>
      </c>
      <c r="BO44">
        <v>45000</v>
      </c>
      <c r="BP44">
        <v>1149602.8999999999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 x14ac:dyDescent="0.35">
      <c r="A45">
        <v>337299</v>
      </c>
      <c r="B45" t="s">
        <v>289</v>
      </c>
      <c r="C45" t="s">
        <v>290</v>
      </c>
      <c r="D45" s="1">
        <v>45763</v>
      </c>
      <c r="E45">
        <v>53850</v>
      </c>
      <c r="F45">
        <v>134</v>
      </c>
      <c r="G45" t="s">
        <v>121</v>
      </c>
      <c r="H45" t="s">
        <v>48</v>
      </c>
      <c r="I45" t="s">
        <v>49</v>
      </c>
      <c r="K45" t="s">
        <v>372</v>
      </c>
      <c r="L45">
        <v>1303300000237</v>
      </c>
      <c r="M45">
        <v>20250415</v>
      </c>
      <c r="N45" t="s">
        <v>222</v>
      </c>
      <c r="P45" t="s">
        <v>303</v>
      </c>
      <c r="Q45" t="s">
        <v>61</v>
      </c>
      <c r="R45">
        <v>4000</v>
      </c>
      <c r="S45">
        <v>0</v>
      </c>
      <c r="T45">
        <v>4005541</v>
      </c>
      <c r="U45" t="s">
        <v>373</v>
      </c>
      <c r="V45" t="s">
        <v>374</v>
      </c>
      <c r="W45" t="s">
        <v>51</v>
      </c>
      <c r="Y45" t="s">
        <v>52</v>
      </c>
      <c r="Z45">
        <v>1659</v>
      </c>
      <c r="AH45">
        <v>0</v>
      </c>
      <c r="AI45">
        <v>202504</v>
      </c>
      <c r="AJ45" t="s">
        <v>215</v>
      </c>
      <c r="AK45">
        <v>1</v>
      </c>
      <c r="AL45">
        <v>1</v>
      </c>
      <c r="AO45">
        <v>0</v>
      </c>
      <c r="AP45">
        <v>999</v>
      </c>
      <c r="AQ45">
        <v>600</v>
      </c>
      <c r="AR45">
        <v>600999</v>
      </c>
      <c r="AS45" t="s">
        <v>53</v>
      </c>
      <c r="AU45" t="s">
        <v>53</v>
      </c>
      <c r="AV45">
        <v>1000</v>
      </c>
      <c r="AW45">
        <v>1186.4000000000001</v>
      </c>
      <c r="AX45">
        <v>1500</v>
      </c>
      <c r="AY45">
        <v>1680.386</v>
      </c>
      <c r="AZ45">
        <v>1992.48</v>
      </c>
      <c r="BA45">
        <v>2399.98</v>
      </c>
      <c r="BB45">
        <v>2739.2040000000002</v>
      </c>
      <c r="BC45">
        <v>3000</v>
      </c>
      <c r="BD45">
        <v>3500</v>
      </c>
      <c r="BE45">
        <v>4000</v>
      </c>
      <c r="BF45">
        <v>4800</v>
      </c>
      <c r="BG45">
        <v>5000</v>
      </c>
      <c r="BH45">
        <v>5024.4139999999998</v>
      </c>
      <c r="BI45">
        <v>5617.9639999999999</v>
      </c>
      <c r="BJ45">
        <v>9836.84</v>
      </c>
      <c r="BK45">
        <v>12377.16</v>
      </c>
      <c r="BL45">
        <v>16956.52800000002</v>
      </c>
      <c r="BM45">
        <v>20247.331999999999</v>
      </c>
      <c r="BN45">
        <v>29364.69400000001</v>
      </c>
      <c r="BO45">
        <v>45000</v>
      </c>
      <c r="BP45">
        <v>1149602.8999999999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 x14ac:dyDescent="0.35">
      <c r="A46">
        <v>337293</v>
      </c>
      <c r="B46" t="s">
        <v>289</v>
      </c>
      <c r="C46" t="s">
        <v>290</v>
      </c>
      <c r="D46" s="1">
        <v>45763</v>
      </c>
      <c r="E46">
        <v>53850</v>
      </c>
      <c r="F46">
        <v>110</v>
      </c>
      <c r="G46" t="s">
        <v>99</v>
      </c>
      <c r="H46" t="s">
        <v>48</v>
      </c>
      <c r="I46" t="s">
        <v>49</v>
      </c>
      <c r="K46" t="s">
        <v>375</v>
      </c>
      <c r="L46">
        <v>1103305020890</v>
      </c>
      <c r="M46">
        <v>20250415</v>
      </c>
      <c r="N46" t="s">
        <v>222</v>
      </c>
      <c r="P46" t="s">
        <v>291</v>
      </c>
      <c r="Q46" t="s">
        <v>61</v>
      </c>
      <c r="R46">
        <v>1804.4</v>
      </c>
      <c r="S46">
        <v>0</v>
      </c>
      <c r="T46">
        <v>502089</v>
      </c>
      <c r="U46" t="s">
        <v>376</v>
      </c>
      <c r="V46" t="s">
        <v>377</v>
      </c>
      <c r="W46" t="s">
        <v>101</v>
      </c>
      <c r="X46" t="s">
        <v>378</v>
      </c>
      <c r="Y46" t="s">
        <v>52</v>
      </c>
      <c r="Z46">
        <v>476</v>
      </c>
      <c r="AH46">
        <v>0</v>
      </c>
      <c r="AI46">
        <v>202504</v>
      </c>
      <c r="AJ46" t="s">
        <v>203</v>
      </c>
      <c r="AK46">
        <v>1</v>
      </c>
      <c r="AL46">
        <v>1</v>
      </c>
      <c r="AO46">
        <v>0</v>
      </c>
      <c r="AP46">
        <v>999</v>
      </c>
      <c r="AQ46">
        <v>614</v>
      </c>
      <c r="AR46">
        <v>614999</v>
      </c>
      <c r="AT46">
        <v>1</v>
      </c>
      <c r="AU46" t="s">
        <v>65</v>
      </c>
      <c r="AV46">
        <v>1000</v>
      </c>
      <c r="AW46">
        <v>1186.4000000000001</v>
      </c>
      <c r="AX46">
        <v>1500</v>
      </c>
      <c r="AY46">
        <v>1680.386</v>
      </c>
      <c r="AZ46">
        <v>1992.48</v>
      </c>
      <c r="BA46">
        <v>2399.98</v>
      </c>
      <c r="BB46">
        <v>2739.2040000000002</v>
      </c>
      <c r="BC46">
        <v>3000</v>
      </c>
      <c r="BD46">
        <v>3500</v>
      </c>
      <c r="BE46">
        <v>4000</v>
      </c>
      <c r="BF46">
        <v>4800</v>
      </c>
      <c r="BG46">
        <v>5000</v>
      </c>
      <c r="BH46">
        <v>5024.4139999999998</v>
      </c>
      <c r="BI46">
        <v>5617.9639999999999</v>
      </c>
      <c r="BJ46">
        <v>9836.84</v>
      </c>
      <c r="BK46">
        <v>12377.16</v>
      </c>
      <c r="BL46">
        <v>16956.52800000002</v>
      </c>
      <c r="BM46">
        <v>20247.331999999999</v>
      </c>
      <c r="BN46">
        <v>29364.69400000001</v>
      </c>
      <c r="BO46">
        <v>45000</v>
      </c>
      <c r="BP46">
        <v>1149602.8999999999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 x14ac:dyDescent="0.35">
      <c r="A47">
        <v>337276</v>
      </c>
      <c r="B47" t="s">
        <v>289</v>
      </c>
      <c r="C47" t="s">
        <v>290</v>
      </c>
      <c r="D47" s="1">
        <v>45763</v>
      </c>
      <c r="E47">
        <v>53850</v>
      </c>
      <c r="F47">
        <v>259</v>
      </c>
      <c r="G47" t="s">
        <v>63</v>
      </c>
      <c r="H47" t="s">
        <v>48</v>
      </c>
      <c r="I47" t="s">
        <v>49</v>
      </c>
      <c r="K47" t="s">
        <v>379</v>
      </c>
      <c r="L47">
        <v>2593300000648</v>
      </c>
      <c r="M47">
        <v>20250415</v>
      </c>
      <c r="N47" t="s">
        <v>222</v>
      </c>
      <c r="P47" t="s">
        <v>303</v>
      </c>
      <c r="Q47" t="s">
        <v>50</v>
      </c>
      <c r="R47">
        <v>2900</v>
      </c>
      <c r="S47">
        <v>0</v>
      </c>
      <c r="T47">
        <v>4905728</v>
      </c>
      <c r="U47">
        <v>8154630720</v>
      </c>
      <c r="V47" t="s">
        <v>380</v>
      </c>
      <c r="W47" t="s">
        <v>58</v>
      </c>
      <c r="X47" t="s">
        <v>235</v>
      </c>
      <c r="Y47" t="s">
        <v>52</v>
      </c>
      <c r="Z47">
        <v>1578</v>
      </c>
      <c r="AH47">
        <v>0</v>
      </c>
      <c r="AI47">
        <v>202504</v>
      </c>
      <c r="AJ47" t="s">
        <v>68</v>
      </c>
      <c r="AK47">
        <v>0</v>
      </c>
      <c r="AL47">
        <v>1</v>
      </c>
      <c r="AO47">
        <v>0</v>
      </c>
      <c r="AP47">
        <v>999</v>
      </c>
      <c r="AQ47">
        <v>430</v>
      </c>
      <c r="AR47">
        <v>430999</v>
      </c>
      <c r="AT47">
        <v>1</v>
      </c>
      <c r="AU47" t="s">
        <v>59</v>
      </c>
      <c r="AV47">
        <v>1000</v>
      </c>
      <c r="AW47">
        <v>1186.4000000000001</v>
      </c>
      <c r="AX47">
        <v>1500</v>
      </c>
      <c r="AY47">
        <v>1680.386</v>
      </c>
      <c r="AZ47">
        <v>1992.48</v>
      </c>
      <c r="BA47">
        <v>2399.98</v>
      </c>
      <c r="BB47">
        <v>2739.2040000000002</v>
      </c>
      <c r="BC47">
        <v>3000</v>
      </c>
      <c r="BD47">
        <v>3500</v>
      </c>
      <c r="BE47">
        <v>4000</v>
      </c>
      <c r="BF47">
        <v>4800</v>
      </c>
      <c r="BG47">
        <v>5000</v>
      </c>
      <c r="BH47">
        <v>5024.4139999999998</v>
      </c>
      <c r="BI47">
        <v>5617.9639999999999</v>
      </c>
      <c r="BJ47">
        <v>9836.84</v>
      </c>
      <c r="BK47">
        <v>12377.16</v>
      </c>
      <c r="BL47">
        <v>16956.52800000002</v>
      </c>
      <c r="BM47">
        <v>20247.331999999999</v>
      </c>
      <c r="BN47">
        <v>29364.69400000001</v>
      </c>
      <c r="BO47">
        <v>45000</v>
      </c>
      <c r="BP47">
        <v>1149602.8999999999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 x14ac:dyDescent="0.35">
      <c r="A48">
        <v>337270</v>
      </c>
      <c r="B48" t="s">
        <v>289</v>
      </c>
      <c r="C48" t="s">
        <v>290</v>
      </c>
      <c r="D48" s="1">
        <v>45763</v>
      </c>
      <c r="E48">
        <v>53850</v>
      </c>
      <c r="F48">
        <v>129</v>
      </c>
      <c r="G48" t="s">
        <v>81</v>
      </c>
      <c r="H48" t="s">
        <v>48</v>
      </c>
      <c r="I48" t="s">
        <v>49</v>
      </c>
      <c r="K48">
        <v>202504157900073</v>
      </c>
      <c r="L48">
        <v>1293300002811</v>
      </c>
      <c r="M48">
        <v>20250415</v>
      </c>
      <c r="N48" t="s">
        <v>222</v>
      </c>
      <c r="P48" t="s">
        <v>291</v>
      </c>
      <c r="Q48" t="s">
        <v>61</v>
      </c>
      <c r="R48">
        <v>19104.88</v>
      </c>
      <c r="S48">
        <v>0</v>
      </c>
      <c r="T48">
        <v>4972184</v>
      </c>
      <c r="U48">
        <v>7780290727</v>
      </c>
      <c r="V48" t="s">
        <v>355</v>
      </c>
      <c r="W48" t="s">
        <v>58</v>
      </c>
      <c r="X48" t="s">
        <v>356</v>
      </c>
      <c r="Y48" t="s">
        <v>52</v>
      </c>
      <c r="Z48">
        <v>1058</v>
      </c>
      <c r="AH48">
        <v>0</v>
      </c>
      <c r="AI48">
        <v>202504</v>
      </c>
      <c r="AJ48" t="s">
        <v>55</v>
      </c>
      <c r="AK48">
        <v>0</v>
      </c>
      <c r="AL48">
        <v>1</v>
      </c>
      <c r="AO48">
        <v>0</v>
      </c>
      <c r="AP48">
        <v>999</v>
      </c>
      <c r="AQ48">
        <v>430</v>
      </c>
      <c r="AR48">
        <v>430999</v>
      </c>
      <c r="AT48">
        <v>1</v>
      </c>
      <c r="AU48" t="s">
        <v>59</v>
      </c>
      <c r="AV48">
        <v>1000</v>
      </c>
      <c r="AW48">
        <v>1186.4000000000001</v>
      </c>
      <c r="AX48">
        <v>1500</v>
      </c>
      <c r="AY48">
        <v>1680.386</v>
      </c>
      <c r="AZ48">
        <v>1992.48</v>
      </c>
      <c r="BA48">
        <v>2399.98</v>
      </c>
      <c r="BB48">
        <v>2739.2040000000002</v>
      </c>
      <c r="BC48">
        <v>3000</v>
      </c>
      <c r="BD48">
        <v>3500</v>
      </c>
      <c r="BE48">
        <v>4000</v>
      </c>
      <c r="BF48">
        <v>4800</v>
      </c>
      <c r="BG48">
        <v>5000</v>
      </c>
      <c r="BH48">
        <v>5024.4139999999998</v>
      </c>
      <c r="BI48">
        <v>5617.9639999999999</v>
      </c>
      <c r="BJ48">
        <v>9836.84</v>
      </c>
      <c r="BK48">
        <v>12377.16</v>
      </c>
      <c r="BL48">
        <v>16956.52800000002</v>
      </c>
      <c r="BM48">
        <v>20247.331999999999</v>
      </c>
      <c r="BN48">
        <v>29364.69400000001</v>
      </c>
      <c r="BO48">
        <v>45000</v>
      </c>
      <c r="BP48">
        <v>1149602.8999999999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</row>
    <row r="49" spans="1:89" x14ac:dyDescent="0.35">
      <c r="A49">
        <v>337268</v>
      </c>
      <c r="B49" t="s">
        <v>289</v>
      </c>
      <c r="C49" t="s">
        <v>290</v>
      </c>
      <c r="D49" s="1">
        <v>45763</v>
      </c>
      <c r="E49">
        <v>53850</v>
      </c>
      <c r="F49">
        <v>148</v>
      </c>
      <c r="G49" t="s">
        <v>125</v>
      </c>
      <c r="H49" t="s">
        <v>48</v>
      </c>
      <c r="I49" t="s">
        <v>49</v>
      </c>
      <c r="K49" t="s">
        <v>381</v>
      </c>
      <c r="L49">
        <v>1483300003580</v>
      </c>
      <c r="M49">
        <v>20250415</v>
      </c>
      <c r="N49" t="s">
        <v>222</v>
      </c>
      <c r="P49" t="s">
        <v>291</v>
      </c>
      <c r="Q49" t="s">
        <v>61</v>
      </c>
      <c r="R49">
        <v>1500</v>
      </c>
      <c r="S49">
        <v>0</v>
      </c>
      <c r="T49">
        <v>4771374</v>
      </c>
      <c r="U49" t="s">
        <v>382</v>
      </c>
      <c r="V49" t="s">
        <v>383</v>
      </c>
      <c r="W49" t="s">
        <v>51</v>
      </c>
      <c r="Y49" t="s">
        <v>52</v>
      </c>
      <c r="Z49">
        <v>1064</v>
      </c>
      <c r="AH49">
        <v>0</v>
      </c>
      <c r="AI49">
        <v>202504</v>
      </c>
      <c r="AJ49" t="s">
        <v>68</v>
      </c>
      <c r="AK49">
        <v>0</v>
      </c>
      <c r="AL49">
        <v>1</v>
      </c>
      <c r="AO49">
        <v>0</v>
      </c>
      <c r="AP49">
        <v>999</v>
      </c>
      <c r="AQ49">
        <v>600</v>
      </c>
      <c r="AR49">
        <v>600999</v>
      </c>
      <c r="AS49" t="s">
        <v>53</v>
      </c>
      <c r="AU49" t="s">
        <v>53</v>
      </c>
      <c r="AV49">
        <v>1000</v>
      </c>
      <c r="AW49">
        <v>1186.4000000000001</v>
      </c>
      <c r="AX49">
        <v>1500</v>
      </c>
      <c r="AY49">
        <v>1680.386</v>
      </c>
      <c r="AZ49">
        <v>1992.48</v>
      </c>
      <c r="BA49">
        <v>2399.98</v>
      </c>
      <c r="BB49">
        <v>2739.2040000000002</v>
      </c>
      <c r="BC49">
        <v>3000</v>
      </c>
      <c r="BD49">
        <v>3500</v>
      </c>
      <c r="BE49">
        <v>4000</v>
      </c>
      <c r="BF49">
        <v>4800</v>
      </c>
      <c r="BG49">
        <v>5000</v>
      </c>
      <c r="BH49">
        <v>5024.4139999999998</v>
      </c>
      <c r="BI49">
        <v>5617.9639999999999</v>
      </c>
      <c r="BJ49">
        <v>9836.84</v>
      </c>
      <c r="BK49">
        <v>12377.16</v>
      </c>
      <c r="BL49">
        <v>16956.52800000002</v>
      </c>
      <c r="BM49">
        <v>20247.331999999999</v>
      </c>
      <c r="BN49">
        <v>29364.69400000001</v>
      </c>
      <c r="BO49">
        <v>45000</v>
      </c>
      <c r="BP49">
        <v>1149602.8999999999</v>
      </c>
      <c r="BQ49">
        <v>1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 x14ac:dyDescent="0.35">
      <c r="A50">
        <v>337267</v>
      </c>
      <c r="B50" t="s">
        <v>289</v>
      </c>
      <c r="C50" t="s">
        <v>290</v>
      </c>
      <c r="D50" s="1">
        <v>45763</v>
      </c>
      <c r="E50">
        <v>53850</v>
      </c>
      <c r="F50">
        <v>119</v>
      </c>
      <c r="G50" t="s">
        <v>69</v>
      </c>
      <c r="H50" t="s">
        <v>48</v>
      </c>
      <c r="I50" t="s">
        <v>49</v>
      </c>
      <c r="K50" t="s">
        <v>384</v>
      </c>
      <c r="L50">
        <v>1193308875001</v>
      </c>
      <c r="M50">
        <v>20250415</v>
      </c>
      <c r="N50" t="s">
        <v>222</v>
      </c>
      <c r="P50" t="s">
        <v>303</v>
      </c>
      <c r="Q50" t="s">
        <v>61</v>
      </c>
      <c r="R50">
        <v>2800</v>
      </c>
      <c r="S50">
        <v>0</v>
      </c>
      <c r="T50">
        <v>4926288</v>
      </c>
      <c r="U50" t="s">
        <v>385</v>
      </c>
      <c r="V50" t="s">
        <v>386</v>
      </c>
      <c r="W50" t="s">
        <v>73</v>
      </c>
      <c r="X50" t="s">
        <v>387</v>
      </c>
      <c r="Y50" t="s">
        <v>52</v>
      </c>
      <c r="Z50">
        <v>656</v>
      </c>
      <c r="AH50">
        <v>0</v>
      </c>
      <c r="AI50">
        <v>202504</v>
      </c>
      <c r="AJ50" t="s">
        <v>68</v>
      </c>
      <c r="AK50">
        <v>0</v>
      </c>
      <c r="AL50">
        <v>1</v>
      </c>
      <c r="AO50">
        <v>0</v>
      </c>
      <c r="AP50">
        <v>999</v>
      </c>
      <c r="AQ50">
        <v>615</v>
      </c>
      <c r="AR50">
        <v>615999</v>
      </c>
      <c r="AT50">
        <v>1</v>
      </c>
      <c r="AU50" t="s">
        <v>65</v>
      </c>
      <c r="AV50">
        <v>1000</v>
      </c>
      <c r="AW50">
        <v>1186.4000000000001</v>
      </c>
      <c r="AX50">
        <v>1500</v>
      </c>
      <c r="AY50">
        <v>1680.386</v>
      </c>
      <c r="AZ50">
        <v>1992.48</v>
      </c>
      <c r="BA50">
        <v>2399.98</v>
      </c>
      <c r="BB50">
        <v>2739.2040000000002</v>
      </c>
      <c r="BC50">
        <v>3000</v>
      </c>
      <c r="BD50">
        <v>3500</v>
      </c>
      <c r="BE50">
        <v>4000</v>
      </c>
      <c r="BF50">
        <v>4800</v>
      </c>
      <c r="BG50">
        <v>5000</v>
      </c>
      <c r="BH50">
        <v>5024.4139999999998</v>
      </c>
      <c r="BI50">
        <v>5617.9639999999999</v>
      </c>
      <c r="BJ50">
        <v>9836.84</v>
      </c>
      <c r="BK50">
        <v>12377.16</v>
      </c>
      <c r="BL50">
        <v>16956.52800000002</v>
      </c>
      <c r="BM50">
        <v>20247.331999999999</v>
      </c>
      <c r="BN50">
        <v>29364.69400000001</v>
      </c>
      <c r="BO50">
        <v>45000</v>
      </c>
      <c r="BP50">
        <v>1149602.8999999999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 x14ac:dyDescent="0.35">
      <c r="A51">
        <v>337265</v>
      </c>
      <c r="B51" t="s">
        <v>289</v>
      </c>
      <c r="C51" t="s">
        <v>290</v>
      </c>
      <c r="D51" s="1">
        <v>45763</v>
      </c>
      <c r="E51">
        <v>53850</v>
      </c>
      <c r="F51">
        <v>145</v>
      </c>
      <c r="G51" t="s">
        <v>77</v>
      </c>
      <c r="H51" t="s">
        <v>48</v>
      </c>
      <c r="I51" t="s">
        <v>49</v>
      </c>
      <c r="K51">
        <v>202504157899952</v>
      </c>
      <c r="L51">
        <v>1453300003997</v>
      </c>
      <c r="M51">
        <v>20250415</v>
      </c>
      <c r="N51" t="s">
        <v>222</v>
      </c>
      <c r="P51" t="s">
        <v>303</v>
      </c>
      <c r="Q51" t="s">
        <v>61</v>
      </c>
      <c r="R51">
        <v>12377.16</v>
      </c>
      <c r="S51">
        <v>0</v>
      </c>
      <c r="T51">
        <v>3737833</v>
      </c>
      <c r="U51">
        <v>10171711210</v>
      </c>
      <c r="V51" t="s">
        <v>388</v>
      </c>
      <c r="W51" t="s">
        <v>58</v>
      </c>
      <c r="X51" t="s">
        <v>86</v>
      </c>
      <c r="Y51" t="s">
        <v>52</v>
      </c>
      <c r="AH51">
        <v>0</v>
      </c>
      <c r="AI51">
        <v>202504</v>
      </c>
      <c r="AJ51" t="s">
        <v>68</v>
      </c>
      <c r="AK51">
        <v>0</v>
      </c>
      <c r="AL51">
        <v>1</v>
      </c>
      <c r="AO51">
        <v>0</v>
      </c>
      <c r="AP51">
        <v>463</v>
      </c>
      <c r="AQ51">
        <v>430</v>
      </c>
      <c r="AR51">
        <v>430463</v>
      </c>
      <c r="AS51" t="s">
        <v>65</v>
      </c>
      <c r="AU51" t="s">
        <v>65</v>
      </c>
      <c r="AV51">
        <v>1000</v>
      </c>
      <c r="AW51">
        <v>1186.4000000000001</v>
      </c>
      <c r="AX51">
        <v>1500</v>
      </c>
      <c r="AY51">
        <v>1680.386</v>
      </c>
      <c r="AZ51">
        <v>1992.48</v>
      </c>
      <c r="BA51">
        <v>2399.98</v>
      </c>
      <c r="BB51">
        <v>2739.2040000000002</v>
      </c>
      <c r="BC51">
        <v>3000</v>
      </c>
      <c r="BD51">
        <v>3500</v>
      </c>
      <c r="BE51">
        <v>4000</v>
      </c>
      <c r="BF51">
        <v>4800</v>
      </c>
      <c r="BG51">
        <v>5000</v>
      </c>
      <c r="BH51">
        <v>5024.4139999999998</v>
      </c>
      <c r="BI51">
        <v>5617.9639999999999</v>
      </c>
      <c r="BJ51">
        <v>9836.84</v>
      </c>
      <c r="BK51">
        <v>12377.16</v>
      </c>
      <c r="BL51">
        <v>16956.52800000002</v>
      </c>
      <c r="BM51">
        <v>20247.331999999999</v>
      </c>
      <c r="BN51">
        <v>29364.69400000001</v>
      </c>
      <c r="BO51">
        <v>45000</v>
      </c>
      <c r="BP51">
        <v>1149602.8999999999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 x14ac:dyDescent="0.35">
      <c r="A52">
        <v>337258</v>
      </c>
      <c r="B52" t="s">
        <v>289</v>
      </c>
      <c r="C52" t="s">
        <v>290</v>
      </c>
      <c r="D52" s="1">
        <v>45762</v>
      </c>
      <c r="E52">
        <v>53850</v>
      </c>
      <c r="F52">
        <v>200</v>
      </c>
      <c r="G52" t="s">
        <v>106</v>
      </c>
      <c r="H52" t="s">
        <v>48</v>
      </c>
      <c r="I52" t="s">
        <v>49</v>
      </c>
      <c r="K52">
        <v>202504147896571</v>
      </c>
      <c r="L52">
        <v>2003300003730</v>
      </c>
      <c r="M52">
        <v>20250414</v>
      </c>
      <c r="N52" t="s">
        <v>222</v>
      </c>
      <c r="P52" t="s">
        <v>136</v>
      </c>
      <c r="Q52" t="s">
        <v>50</v>
      </c>
      <c r="R52">
        <v>250000</v>
      </c>
      <c r="S52">
        <v>0</v>
      </c>
      <c r="T52">
        <v>3731305</v>
      </c>
      <c r="U52" t="s">
        <v>112</v>
      </c>
      <c r="V52" t="s">
        <v>113</v>
      </c>
      <c r="W52" t="s">
        <v>51</v>
      </c>
      <c r="Y52" t="s">
        <v>52</v>
      </c>
      <c r="Z52">
        <v>1837</v>
      </c>
      <c r="AH52">
        <v>0</v>
      </c>
      <c r="AI52">
        <v>202504</v>
      </c>
      <c r="AJ52" t="s">
        <v>68</v>
      </c>
      <c r="AK52">
        <v>0</v>
      </c>
      <c r="AL52">
        <v>1</v>
      </c>
      <c r="AO52">
        <v>0</v>
      </c>
      <c r="AP52">
        <v>999</v>
      </c>
      <c r="AQ52">
        <v>600</v>
      </c>
      <c r="AR52">
        <v>600999</v>
      </c>
      <c r="AS52" t="s">
        <v>53</v>
      </c>
      <c r="AU52" t="s">
        <v>53</v>
      </c>
      <c r="AV52">
        <v>1000</v>
      </c>
      <c r="AW52">
        <v>1186.4000000000001</v>
      </c>
      <c r="AX52">
        <v>1500</v>
      </c>
      <c r="AY52">
        <v>1680.386</v>
      </c>
      <c r="AZ52">
        <v>1992.48</v>
      </c>
      <c r="BA52">
        <v>2399.98</v>
      </c>
      <c r="BB52">
        <v>2739.2040000000002</v>
      </c>
      <c r="BC52">
        <v>3000</v>
      </c>
      <c r="BD52">
        <v>3500</v>
      </c>
      <c r="BE52">
        <v>4000</v>
      </c>
      <c r="BF52">
        <v>4800</v>
      </c>
      <c r="BG52">
        <v>5000</v>
      </c>
      <c r="BH52">
        <v>5024.4139999999998</v>
      </c>
      <c r="BI52">
        <v>5617.9639999999999</v>
      </c>
      <c r="BJ52">
        <v>9836.84</v>
      </c>
      <c r="BK52">
        <v>12377.16</v>
      </c>
      <c r="BL52">
        <v>16956.52800000002</v>
      </c>
      <c r="BM52">
        <v>20247.331999999999</v>
      </c>
      <c r="BN52">
        <v>29364.69400000001</v>
      </c>
      <c r="BO52">
        <v>45000</v>
      </c>
      <c r="BP52">
        <v>1149602.8999999999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0</v>
      </c>
    </row>
    <row r="53" spans="1:89" x14ac:dyDescent="0.35">
      <c r="A53">
        <v>337253</v>
      </c>
      <c r="B53" t="s">
        <v>289</v>
      </c>
      <c r="C53" t="s">
        <v>290</v>
      </c>
      <c r="D53" s="1">
        <v>45762</v>
      </c>
      <c r="E53">
        <v>53850</v>
      </c>
      <c r="F53">
        <v>137</v>
      </c>
      <c r="G53" t="s">
        <v>83</v>
      </c>
      <c r="H53" t="s">
        <v>48</v>
      </c>
      <c r="I53" t="s">
        <v>49</v>
      </c>
      <c r="K53">
        <v>202504147895250</v>
      </c>
      <c r="L53">
        <v>1373300005994</v>
      </c>
      <c r="M53">
        <v>20250414</v>
      </c>
      <c r="N53" t="s">
        <v>222</v>
      </c>
      <c r="P53" t="s">
        <v>291</v>
      </c>
      <c r="Q53" t="s">
        <v>50</v>
      </c>
      <c r="R53">
        <v>41391.440000000002</v>
      </c>
      <c r="S53">
        <v>0</v>
      </c>
      <c r="T53">
        <v>3734872</v>
      </c>
      <c r="U53">
        <v>1896670708</v>
      </c>
      <c r="V53" t="s">
        <v>292</v>
      </c>
      <c r="W53" t="s">
        <v>58</v>
      </c>
      <c r="X53" t="s">
        <v>293</v>
      </c>
      <c r="Y53" t="s">
        <v>52</v>
      </c>
      <c r="Z53">
        <v>1867</v>
      </c>
      <c r="AH53">
        <v>0</v>
      </c>
      <c r="AI53">
        <v>202504</v>
      </c>
      <c r="AJ53" t="s">
        <v>68</v>
      </c>
      <c r="AK53">
        <v>0</v>
      </c>
      <c r="AL53">
        <v>1</v>
      </c>
      <c r="AO53">
        <v>0</v>
      </c>
      <c r="AP53">
        <v>999</v>
      </c>
      <c r="AQ53">
        <v>430</v>
      </c>
      <c r="AR53">
        <v>430999</v>
      </c>
      <c r="AT53">
        <v>1</v>
      </c>
      <c r="AU53" t="s">
        <v>59</v>
      </c>
      <c r="AV53">
        <v>1000</v>
      </c>
      <c r="AW53">
        <v>1186.4000000000001</v>
      </c>
      <c r="AX53">
        <v>1500</v>
      </c>
      <c r="AY53">
        <v>1680.386</v>
      </c>
      <c r="AZ53">
        <v>1992.48</v>
      </c>
      <c r="BA53">
        <v>2399.98</v>
      </c>
      <c r="BB53">
        <v>2739.2040000000002</v>
      </c>
      <c r="BC53">
        <v>3000</v>
      </c>
      <c r="BD53">
        <v>3500</v>
      </c>
      <c r="BE53">
        <v>4000</v>
      </c>
      <c r="BF53">
        <v>4800</v>
      </c>
      <c r="BG53">
        <v>5000</v>
      </c>
      <c r="BH53">
        <v>5024.4139999999998</v>
      </c>
      <c r="BI53">
        <v>5617.9639999999999</v>
      </c>
      <c r="BJ53">
        <v>9836.84</v>
      </c>
      <c r="BK53">
        <v>12377.16</v>
      </c>
      <c r="BL53">
        <v>16956.52800000002</v>
      </c>
      <c r="BM53">
        <v>20247.331999999999</v>
      </c>
      <c r="BN53">
        <v>29364.69400000001</v>
      </c>
      <c r="BO53">
        <v>45000</v>
      </c>
      <c r="BP53">
        <v>1149602.8999999999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0</v>
      </c>
      <c r="CK53">
        <v>0</v>
      </c>
    </row>
    <row r="54" spans="1:89" x14ac:dyDescent="0.35">
      <c r="A54">
        <v>337248</v>
      </c>
      <c r="B54" t="s">
        <v>289</v>
      </c>
      <c r="C54" t="s">
        <v>290</v>
      </c>
      <c r="D54" s="1">
        <v>45762</v>
      </c>
      <c r="E54">
        <v>53850</v>
      </c>
      <c r="F54">
        <v>121</v>
      </c>
      <c r="G54" t="s">
        <v>85</v>
      </c>
      <c r="H54" t="s">
        <v>48</v>
      </c>
      <c r="I54" t="s">
        <v>49</v>
      </c>
      <c r="K54" t="s">
        <v>389</v>
      </c>
      <c r="L54">
        <v>1213300001913</v>
      </c>
      <c r="M54">
        <v>20250414</v>
      </c>
      <c r="N54" t="s">
        <v>222</v>
      </c>
      <c r="P54" t="s">
        <v>291</v>
      </c>
      <c r="Q54" t="s">
        <v>61</v>
      </c>
      <c r="R54">
        <v>2820</v>
      </c>
      <c r="S54">
        <v>0</v>
      </c>
      <c r="T54">
        <v>4794759</v>
      </c>
      <c r="U54">
        <v>7627090728</v>
      </c>
      <c r="V54" t="s">
        <v>390</v>
      </c>
      <c r="W54" t="s">
        <v>58</v>
      </c>
      <c r="X54" t="s">
        <v>64</v>
      </c>
      <c r="Y54" t="s">
        <v>52</v>
      </c>
      <c r="Z54">
        <v>928</v>
      </c>
      <c r="AH54">
        <v>0</v>
      </c>
      <c r="AI54">
        <v>202504</v>
      </c>
      <c r="AJ54" t="s">
        <v>55</v>
      </c>
      <c r="AK54">
        <v>0</v>
      </c>
      <c r="AL54">
        <v>1</v>
      </c>
      <c r="AO54">
        <v>0</v>
      </c>
      <c r="AP54">
        <v>620</v>
      </c>
      <c r="AQ54">
        <v>430</v>
      </c>
      <c r="AR54">
        <v>430620</v>
      </c>
      <c r="AS54" t="s">
        <v>65</v>
      </c>
      <c r="AU54" t="s">
        <v>65</v>
      </c>
      <c r="AV54">
        <v>1000</v>
      </c>
      <c r="AW54">
        <v>1186.4000000000001</v>
      </c>
      <c r="AX54">
        <v>1500</v>
      </c>
      <c r="AY54">
        <v>1680.386</v>
      </c>
      <c r="AZ54">
        <v>1992.48</v>
      </c>
      <c r="BA54">
        <v>2399.98</v>
      </c>
      <c r="BB54">
        <v>2739.2040000000002</v>
      </c>
      <c r="BC54">
        <v>3000</v>
      </c>
      <c r="BD54">
        <v>3500</v>
      </c>
      <c r="BE54">
        <v>4000</v>
      </c>
      <c r="BF54">
        <v>4800</v>
      </c>
      <c r="BG54">
        <v>5000</v>
      </c>
      <c r="BH54">
        <v>5024.4139999999998</v>
      </c>
      <c r="BI54">
        <v>5617.9639999999999</v>
      </c>
      <c r="BJ54">
        <v>9836.84</v>
      </c>
      <c r="BK54">
        <v>12377.16</v>
      </c>
      <c r="BL54">
        <v>16956.52800000002</v>
      </c>
      <c r="BM54">
        <v>20247.331999999999</v>
      </c>
      <c r="BN54">
        <v>29364.69400000001</v>
      </c>
      <c r="BO54">
        <v>45000</v>
      </c>
      <c r="BP54">
        <v>1149602.8999999999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 x14ac:dyDescent="0.35">
      <c r="A55">
        <v>337247</v>
      </c>
      <c r="B55" t="s">
        <v>289</v>
      </c>
      <c r="C55" t="s">
        <v>290</v>
      </c>
      <c r="D55" s="1">
        <v>45762</v>
      </c>
      <c r="E55">
        <v>53850</v>
      </c>
      <c r="F55">
        <v>261</v>
      </c>
      <c r="G55" t="s">
        <v>96</v>
      </c>
      <c r="H55" t="s">
        <v>48</v>
      </c>
      <c r="I55" t="s">
        <v>49</v>
      </c>
      <c r="K55" t="s">
        <v>391</v>
      </c>
      <c r="L55">
        <v>2613300001265</v>
      </c>
      <c r="M55">
        <v>20250414</v>
      </c>
      <c r="N55" t="s">
        <v>222</v>
      </c>
      <c r="P55" t="s">
        <v>296</v>
      </c>
      <c r="Q55" t="s">
        <v>61</v>
      </c>
      <c r="R55">
        <v>1500</v>
      </c>
      <c r="S55">
        <v>0</v>
      </c>
      <c r="T55">
        <v>1625403</v>
      </c>
      <c r="U55" t="s">
        <v>392</v>
      </c>
      <c r="V55" t="s">
        <v>393</v>
      </c>
      <c r="W55" t="s">
        <v>51</v>
      </c>
      <c r="Y55" t="s">
        <v>52</v>
      </c>
      <c r="Z55">
        <v>1755</v>
      </c>
      <c r="AH55">
        <v>0</v>
      </c>
      <c r="AI55">
        <v>202504</v>
      </c>
      <c r="AJ55" t="s">
        <v>68</v>
      </c>
      <c r="AK55">
        <v>0</v>
      </c>
      <c r="AL55">
        <v>1</v>
      </c>
      <c r="AO55">
        <v>0</v>
      </c>
      <c r="AP55">
        <v>999</v>
      </c>
      <c r="AQ55">
        <v>600</v>
      </c>
      <c r="AR55">
        <v>600999</v>
      </c>
      <c r="AS55" t="s">
        <v>53</v>
      </c>
      <c r="AU55" t="s">
        <v>53</v>
      </c>
      <c r="AV55">
        <v>1000</v>
      </c>
      <c r="AW55">
        <v>1186.4000000000001</v>
      </c>
      <c r="AX55">
        <v>1500</v>
      </c>
      <c r="AY55">
        <v>1680.386</v>
      </c>
      <c r="AZ55">
        <v>1992.48</v>
      </c>
      <c r="BA55">
        <v>2399.98</v>
      </c>
      <c r="BB55">
        <v>2739.2040000000002</v>
      </c>
      <c r="BC55">
        <v>3000</v>
      </c>
      <c r="BD55">
        <v>3500</v>
      </c>
      <c r="BE55">
        <v>4000</v>
      </c>
      <c r="BF55">
        <v>4800</v>
      </c>
      <c r="BG55">
        <v>5000</v>
      </c>
      <c r="BH55">
        <v>5024.4139999999998</v>
      </c>
      <c r="BI55">
        <v>5617.9639999999999</v>
      </c>
      <c r="BJ55">
        <v>9836.84</v>
      </c>
      <c r="BK55">
        <v>12377.16</v>
      </c>
      <c r="BL55">
        <v>16956.52800000002</v>
      </c>
      <c r="BM55">
        <v>20247.331999999999</v>
      </c>
      <c r="BN55">
        <v>29364.69400000001</v>
      </c>
      <c r="BO55">
        <v>45000</v>
      </c>
      <c r="BP55">
        <v>1149602.8999999999</v>
      </c>
      <c r="BQ55">
        <v>1</v>
      </c>
      <c r="BR55">
        <v>1</v>
      </c>
      <c r="BS55">
        <v>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 x14ac:dyDescent="0.35">
      <c r="A56">
        <v>337244</v>
      </c>
      <c r="B56" t="s">
        <v>289</v>
      </c>
      <c r="C56" t="s">
        <v>290</v>
      </c>
      <c r="D56" s="1">
        <v>45762</v>
      </c>
      <c r="E56">
        <v>53850</v>
      </c>
      <c r="F56">
        <v>102</v>
      </c>
      <c r="G56" t="s">
        <v>56</v>
      </c>
      <c r="H56" t="s">
        <v>48</v>
      </c>
      <c r="I56" t="s">
        <v>49</v>
      </c>
      <c r="K56">
        <v>202504147896582</v>
      </c>
      <c r="L56">
        <v>1023308727580</v>
      </c>
      <c r="M56">
        <v>20250414</v>
      </c>
      <c r="N56" t="s">
        <v>222</v>
      </c>
      <c r="P56" t="s">
        <v>394</v>
      </c>
      <c r="Q56" t="s">
        <v>61</v>
      </c>
      <c r="R56">
        <v>8466.74</v>
      </c>
      <c r="S56">
        <v>0</v>
      </c>
      <c r="T56">
        <v>3727650</v>
      </c>
      <c r="U56">
        <v>8924460721</v>
      </c>
      <c r="V56" t="s">
        <v>395</v>
      </c>
      <c r="W56" t="s">
        <v>58</v>
      </c>
      <c r="X56" t="s">
        <v>396</v>
      </c>
      <c r="Y56" t="s">
        <v>52</v>
      </c>
      <c r="Z56">
        <v>1306</v>
      </c>
      <c r="AH56">
        <v>0</v>
      </c>
      <c r="AI56">
        <v>202504</v>
      </c>
      <c r="AJ56" t="s">
        <v>203</v>
      </c>
      <c r="AK56">
        <v>1</v>
      </c>
      <c r="AL56">
        <v>1</v>
      </c>
      <c r="AO56">
        <v>0</v>
      </c>
      <c r="AP56">
        <v>999</v>
      </c>
      <c r="AQ56">
        <v>430</v>
      </c>
      <c r="AR56">
        <v>430999</v>
      </c>
      <c r="AT56">
        <v>1</v>
      </c>
      <c r="AU56" t="s">
        <v>59</v>
      </c>
      <c r="AV56">
        <v>1000</v>
      </c>
      <c r="AW56">
        <v>1186.4000000000001</v>
      </c>
      <c r="AX56">
        <v>1500</v>
      </c>
      <c r="AY56">
        <v>1680.386</v>
      </c>
      <c r="AZ56">
        <v>1992.48</v>
      </c>
      <c r="BA56">
        <v>2399.98</v>
      </c>
      <c r="BB56">
        <v>2739.2040000000002</v>
      </c>
      <c r="BC56">
        <v>3000</v>
      </c>
      <c r="BD56">
        <v>3500</v>
      </c>
      <c r="BE56">
        <v>4000</v>
      </c>
      <c r="BF56">
        <v>4800</v>
      </c>
      <c r="BG56">
        <v>5000</v>
      </c>
      <c r="BH56">
        <v>5024.4139999999998</v>
      </c>
      <c r="BI56">
        <v>5617.9639999999999</v>
      </c>
      <c r="BJ56">
        <v>9836.84</v>
      </c>
      <c r="BK56">
        <v>12377.16</v>
      </c>
      <c r="BL56">
        <v>16956.52800000002</v>
      </c>
      <c r="BM56">
        <v>20247.331999999999</v>
      </c>
      <c r="BN56">
        <v>29364.69400000001</v>
      </c>
      <c r="BO56">
        <v>45000</v>
      </c>
      <c r="BP56">
        <v>1149602.8999999999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 x14ac:dyDescent="0.35">
      <c r="A57">
        <v>337242</v>
      </c>
      <c r="B57" t="s">
        <v>289</v>
      </c>
      <c r="C57" t="s">
        <v>290</v>
      </c>
      <c r="D57" s="1">
        <v>45762</v>
      </c>
      <c r="E57">
        <v>53850</v>
      </c>
      <c r="F57">
        <v>118</v>
      </c>
      <c r="G57" t="s">
        <v>130</v>
      </c>
      <c r="H57" t="s">
        <v>48</v>
      </c>
      <c r="I57" t="s">
        <v>49</v>
      </c>
      <c r="K57">
        <v>202504147895391</v>
      </c>
      <c r="L57">
        <v>1183306279346</v>
      </c>
      <c r="M57">
        <v>20250414</v>
      </c>
      <c r="N57" t="s">
        <v>222</v>
      </c>
      <c r="P57" t="s">
        <v>303</v>
      </c>
      <c r="Q57" t="s">
        <v>50</v>
      </c>
      <c r="R57">
        <v>6866.83</v>
      </c>
      <c r="S57">
        <v>0</v>
      </c>
      <c r="T57">
        <v>4890743</v>
      </c>
      <c r="U57">
        <v>8059830722</v>
      </c>
      <c r="V57" t="s">
        <v>397</v>
      </c>
      <c r="W57" t="s">
        <v>58</v>
      </c>
      <c r="X57" t="s">
        <v>398</v>
      </c>
      <c r="Y57" t="s">
        <v>52</v>
      </c>
      <c r="Z57">
        <v>1203</v>
      </c>
      <c r="AH57">
        <v>0</v>
      </c>
      <c r="AI57">
        <v>202504</v>
      </c>
      <c r="AJ57" t="s">
        <v>203</v>
      </c>
      <c r="AK57">
        <v>1</v>
      </c>
      <c r="AL57">
        <v>1</v>
      </c>
      <c r="AO57">
        <v>0</v>
      </c>
      <c r="AP57">
        <v>999</v>
      </c>
      <c r="AQ57">
        <v>430</v>
      </c>
      <c r="AR57">
        <v>430999</v>
      </c>
      <c r="AT57">
        <v>1</v>
      </c>
      <c r="AU57" t="s">
        <v>59</v>
      </c>
      <c r="AV57">
        <v>1000</v>
      </c>
      <c r="AW57">
        <v>1186.4000000000001</v>
      </c>
      <c r="AX57">
        <v>1500</v>
      </c>
      <c r="AY57">
        <v>1680.386</v>
      </c>
      <c r="AZ57">
        <v>1992.48</v>
      </c>
      <c r="BA57">
        <v>2399.98</v>
      </c>
      <c r="BB57">
        <v>2739.2040000000002</v>
      </c>
      <c r="BC57">
        <v>3000</v>
      </c>
      <c r="BD57">
        <v>3500</v>
      </c>
      <c r="BE57">
        <v>4000</v>
      </c>
      <c r="BF57">
        <v>4800</v>
      </c>
      <c r="BG57">
        <v>5000</v>
      </c>
      <c r="BH57">
        <v>5024.4139999999998</v>
      </c>
      <c r="BI57">
        <v>5617.9639999999999</v>
      </c>
      <c r="BJ57">
        <v>9836.84</v>
      </c>
      <c r="BK57">
        <v>12377.16</v>
      </c>
      <c r="BL57">
        <v>16956.52800000002</v>
      </c>
      <c r="BM57">
        <v>20247.331999999999</v>
      </c>
      <c r="BN57">
        <v>29364.69400000001</v>
      </c>
      <c r="BO57">
        <v>45000</v>
      </c>
      <c r="BP57">
        <v>1149602.8999999999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 x14ac:dyDescent="0.35">
      <c r="A58">
        <v>337237</v>
      </c>
      <c r="B58" t="s">
        <v>289</v>
      </c>
      <c r="C58" t="s">
        <v>290</v>
      </c>
      <c r="D58" s="1">
        <v>45762</v>
      </c>
      <c r="E58">
        <v>53850</v>
      </c>
      <c r="F58">
        <v>259</v>
      </c>
      <c r="G58" t="s">
        <v>63</v>
      </c>
      <c r="H58" t="s">
        <v>48</v>
      </c>
      <c r="I58" t="s">
        <v>49</v>
      </c>
      <c r="K58">
        <v>202504147895069</v>
      </c>
      <c r="L58">
        <v>2593300000091</v>
      </c>
      <c r="M58">
        <v>20250414</v>
      </c>
      <c r="N58" t="s">
        <v>222</v>
      </c>
      <c r="P58" t="s">
        <v>303</v>
      </c>
      <c r="Q58" t="s">
        <v>50</v>
      </c>
      <c r="R58">
        <v>5000</v>
      </c>
      <c r="S58">
        <v>0</v>
      </c>
      <c r="T58">
        <v>4731214</v>
      </c>
      <c r="U58">
        <v>5978380722</v>
      </c>
      <c r="V58" t="s">
        <v>399</v>
      </c>
      <c r="W58" t="s">
        <v>341</v>
      </c>
      <c r="X58" t="s">
        <v>359</v>
      </c>
      <c r="Y58" t="s">
        <v>52</v>
      </c>
      <c r="Z58">
        <v>1530</v>
      </c>
      <c r="AH58">
        <v>0</v>
      </c>
      <c r="AI58">
        <v>202504</v>
      </c>
      <c r="AJ58" t="s">
        <v>205</v>
      </c>
      <c r="AK58">
        <v>1</v>
      </c>
      <c r="AL58">
        <v>1</v>
      </c>
      <c r="AO58">
        <v>0</v>
      </c>
      <c r="AP58">
        <v>999</v>
      </c>
      <c r="AQ58">
        <v>482</v>
      </c>
      <c r="AR58">
        <v>482999</v>
      </c>
      <c r="AT58">
        <v>1</v>
      </c>
      <c r="AU58" t="s">
        <v>71</v>
      </c>
      <c r="AV58">
        <v>1000</v>
      </c>
      <c r="AW58">
        <v>1186.4000000000001</v>
      </c>
      <c r="AX58">
        <v>1500</v>
      </c>
      <c r="AY58">
        <v>1680.386</v>
      </c>
      <c r="AZ58">
        <v>1992.48</v>
      </c>
      <c r="BA58">
        <v>2399.98</v>
      </c>
      <c r="BB58">
        <v>2739.2040000000002</v>
      </c>
      <c r="BC58">
        <v>3000</v>
      </c>
      <c r="BD58">
        <v>3500</v>
      </c>
      <c r="BE58">
        <v>4000</v>
      </c>
      <c r="BF58">
        <v>4800</v>
      </c>
      <c r="BG58">
        <v>5000</v>
      </c>
      <c r="BH58">
        <v>5024.4139999999998</v>
      </c>
      <c r="BI58">
        <v>5617.9639999999999</v>
      </c>
      <c r="BJ58">
        <v>9836.84</v>
      </c>
      <c r="BK58">
        <v>12377.16</v>
      </c>
      <c r="BL58">
        <v>16956.52800000002</v>
      </c>
      <c r="BM58">
        <v>20247.331999999999</v>
      </c>
      <c r="BN58">
        <v>29364.69400000001</v>
      </c>
      <c r="BO58">
        <v>45000</v>
      </c>
      <c r="BP58">
        <v>1149602.8999999999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 x14ac:dyDescent="0.35">
      <c r="A59">
        <v>337225</v>
      </c>
      <c r="B59" t="s">
        <v>289</v>
      </c>
      <c r="C59" t="s">
        <v>290</v>
      </c>
      <c r="D59" s="1">
        <v>45762</v>
      </c>
      <c r="E59">
        <v>53850</v>
      </c>
      <c r="F59">
        <v>259</v>
      </c>
      <c r="G59" t="s">
        <v>63</v>
      </c>
      <c r="H59" t="s">
        <v>48</v>
      </c>
      <c r="I59" t="s">
        <v>49</v>
      </c>
      <c r="K59" t="s">
        <v>400</v>
      </c>
      <c r="L59">
        <v>2593300000091</v>
      </c>
      <c r="M59">
        <v>20250414</v>
      </c>
      <c r="N59" t="s">
        <v>222</v>
      </c>
      <c r="P59" t="s">
        <v>303</v>
      </c>
      <c r="Q59" t="s">
        <v>50</v>
      </c>
      <c r="R59">
        <v>2500</v>
      </c>
      <c r="S59">
        <v>0</v>
      </c>
      <c r="T59">
        <v>4731214</v>
      </c>
      <c r="U59">
        <v>5978380722</v>
      </c>
      <c r="V59" t="s">
        <v>399</v>
      </c>
      <c r="W59" t="s">
        <v>341</v>
      </c>
      <c r="X59" t="s">
        <v>359</v>
      </c>
      <c r="Y59" t="s">
        <v>52</v>
      </c>
      <c r="Z59">
        <v>1530</v>
      </c>
      <c r="AH59">
        <v>0</v>
      </c>
      <c r="AI59">
        <v>202504</v>
      </c>
      <c r="AJ59" t="s">
        <v>205</v>
      </c>
      <c r="AK59">
        <v>1</v>
      </c>
      <c r="AL59">
        <v>1</v>
      </c>
      <c r="AO59">
        <v>0</v>
      </c>
      <c r="AP59">
        <v>999</v>
      </c>
      <c r="AQ59">
        <v>482</v>
      </c>
      <c r="AR59">
        <v>482999</v>
      </c>
      <c r="AT59">
        <v>1</v>
      </c>
      <c r="AU59" t="s">
        <v>71</v>
      </c>
      <c r="AV59">
        <v>1000</v>
      </c>
      <c r="AW59">
        <v>1186.4000000000001</v>
      </c>
      <c r="AX59">
        <v>1500</v>
      </c>
      <c r="AY59">
        <v>1680.386</v>
      </c>
      <c r="AZ59">
        <v>1992.48</v>
      </c>
      <c r="BA59">
        <v>2399.98</v>
      </c>
      <c r="BB59">
        <v>2739.2040000000002</v>
      </c>
      <c r="BC59">
        <v>3000</v>
      </c>
      <c r="BD59">
        <v>3500</v>
      </c>
      <c r="BE59">
        <v>4000</v>
      </c>
      <c r="BF59">
        <v>4800</v>
      </c>
      <c r="BG59">
        <v>5000</v>
      </c>
      <c r="BH59">
        <v>5024.4139999999998</v>
      </c>
      <c r="BI59">
        <v>5617.9639999999999</v>
      </c>
      <c r="BJ59">
        <v>9836.84</v>
      </c>
      <c r="BK59">
        <v>12377.16</v>
      </c>
      <c r="BL59">
        <v>16956.52800000002</v>
      </c>
      <c r="BM59">
        <v>20247.331999999999</v>
      </c>
      <c r="BN59">
        <v>29364.69400000001</v>
      </c>
      <c r="BO59">
        <v>45000</v>
      </c>
      <c r="BP59">
        <v>1149602.8999999999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 x14ac:dyDescent="0.35">
      <c r="A60">
        <v>337224</v>
      </c>
      <c r="B60" t="s">
        <v>289</v>
      </c>
      <c r="C60" t="s">
        <v>290</v>
      </c>
      <c r="D60" s="1">
        <v>45762</v>
      </c>
      <c r="E60">
        <v>53850</v>
      </c>
      <c r="F60">
        <v>271</v>
      </c>
      <c r="G60" t="s">
        <v>109</v>
      </c>
      <c r="H60" t="s">
        <v>48</v>
      </c>
      <c r="I60" t="s">
        <v>49</v>
      </c>
      <c r="K60">
        <v>202504147896574</v>
      </c>
      <c r="L60">
        <v>2713300010112</v>
      </c>
      <c r="M60">
        <v>20250414</v>
      </c>
      <c r="N60" t="s">
        <v>222</v>
      </c>
      <c r="P60" t="s">
        <v>136</v>
      </c>
      <c r="Q60" t="s">
        <v>61</v>
      </c>
      <c r="R60">
        <v>5000</v>
      </c>
      <c r="S60">
        <v>0</v>
      </c>
      <c r="T60">
        <v>1611557</v>
      </c>
      <c r="U60" t="s">
        <v>401</v>
      </c>
      <c r="V60" t="s">
        <v>402</v>
      </c>
      <c r="W60" t="s">
        <v>73</v>
      </c>
      <c r="X60" t="s">
        <v>403</v>
      </c>
      <c r="Y60" t="s">
        <v>52</v>
      </c>
      <c r="Z60">
        <v>1850</v>
      </c>
      <c r="AH60">
        <v>0</v>
      </c>
      <c r="AI60">
        <v>202504</v>
      </c>
      <c r="AJ60" t="s">
        <v>55</v>
      </c>
      <c r="AK60">
        <v>0</v>
      </c>
      <c r="AL60">
        <v>1</v>
      </c>
      <c r="AO60">
        <v>0</v>
      </c>
      <c r="AP60">
        <v>999</v>
      </c>
      <c r="AQ60">
        <v>615</v>
      </c>
      <c r="AR60">
        <v>615999</v>
      </c>
      <c r="AT60">
        <v>1</v>
      </c>
      <c r="AU60" t="s">
        <v>65</v>
      </c>
      <c r="AV60">
        <v>1000</v>
      </c>
      <c r="AW60">
        <v>1186.4000000000001</v>
      </c>
      <c r="AX60">
        <v>1500</v>
      </c>
      <c r="AY60">
        <v>1680.386</v>
      </c>
      <c r="AZ60">
        <v>1992.48</v>
      </c>
      <c r="BA60">
        <v>2399.98</v>
      </c>
      <c r="BB60">
        <v>2739.2040000000002</v>
      </c>
      <c r="BC60">
        <v>3000</v>
      </c>
      <c r="BD60">
        <v>3500</v>
      </c>
      <c r="BE60">
        <v>4000</v>
      </c>
      <c r="BF60">
        <v>4800</v>
      </c>
      <c r="BG60">
        <v>5000</v>
      </c>
      <c r="BH60">
        <v>5024.4139999999998</v>
      </c>
      <c r="BI60">
        <v>5617.9639999999999</v>
      </c>
      <c r="BJ60">
        <v>9836.84</v>
      </c>
      <c r="BK60">
        <v>12377.16</v>
      </c>
      <c r="BL60">
        <v>16956.52800000002</v>
      </c>
      <c r="BM60">
        <v>20247.331999999999</v>
      </c>
      <c r="BN60">
        <v>29364.69400000001</v>
      </c>
      <c r="BO60">
        <v>45000</v>
      </c>
      <c r="BP60">
        <v>1149602.8999999999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 x14ac:dyDescent="0.35">
      <c r="A61">
        <v>337218</v>
      </c>
      <c r="B61" t="s">
        <v>289</v>
      </c>
      <c r="C61" t="s">
        <v>290</v>
      </c>
      <c r="D61" s="1">
        <v>45762</v>
      </c>
      <c r="E61">
        <v>53850</v>
      </c>
      <c r="F61">
        <v>108</v>
      </c>
      <c r="G61" t="s">
        <v>123</v>
      </c>
      <c r="H61" t="s">
        <v>48</v>
      </c>
      <c r="I61" t="s">
        <v>49</v>
      </c>
      <c r="K61" t="s">
        <v>404</v>
      </c>
      <c r="L61">
        <v>1083300000001</v>
      </c>
      <c r="M61">
        <v>20250414</v>
      </c>
      <c r="N61" t="s">
        <v>222</v>
      </c>
      <c r="P61" t="s">
        <v>405</v>
      </c>
      <c r="Q61" t="s">
        <v>50</v>
      </c>
      <c r="R61">
        <v>3500</v>
      </c>
      <c r="S61">
        <v>0</v>
      </c>
      <c r="T61">
        <v>4168326</v>
      </c>
      <c r="U61">
        <v>91060700720</v>
      </c>
      <c r="V61" t="s">
        <v>406</v>
      </c>
      <c r="W61" t="s">
        <v>93</v>
      </c>
      <c r="X61" t="s">
        <v>407</v>
      </c>
      <c r="Y61" t="s">
        <v>52</v>
      </c>
      <c r="Z61">
        <v>1931</v>
      </c>
      <c r="AH61">
        <v>0</v>
      </c>
      <c r="AI61">
        <v>202504</v>
      </c>
      <c r="AJ61" t="s">
        <v>68</v>
      </c>
      <c r="AK61">
        <v>0</v>
      </c>
      <c r="AL61">
        <v>1</v>
      </c>
      <c r="AO61">
        <v>0</v>
      </c>
      <c r="AP61">
        <v>999</v>
      </c>
      <c r="AQ61">
        <v>501</v>
      </c>
      <c r="AR61">
        <v>501999</v>
      </c>
      <c r="AT61">
        <v>1</v>
      </c>
      <c r="AU61" t="s">
        <v>65</v>
      </c>
      <c r="AV61">
        <v>1000</v>
      </c>
      <c r="AW61">
        <v>1186.4000000000001</v>
      </c>
      <c r="AX61">
        <v>1500</v>
      </c>
      <c r="AY61">
        <v>1680.386</v>
      </c>
      <c r="AZ61">
        <v>1992.48</v>
      </c>
      <c r="BA61">
        <v>2399.98</v>
      </c>
      <c r="BB61">
        <v>2739.2040000000002</v>
      </c>
      <c r="BC61">
        <v>3000</v>
      </c>
      <c r="BD61">
        <v>3500</v>
      </c>
      <c r="BE61">
        <v>4000</v>
      </c>
      <c r="BF61">
        <v>4800</v>
      </c>
      <c r="BG61">
        <v>5000</v>
      </c>
      <c r="BH61">
        <v>5024.4139999999998</v>
      </c>
      <c r="BI61">
        <v>5617.9639999999999</v>
      </c>
      <c r="BJ61">
        <v>9836.84</v>
      </c>
      <c r="BK61">
        <v>12377.16</v>
      </c>
      <c r="BL61">
        <v>16956.52800000002</v>
      </c>
      <c r="BM61">
        <v>20247.331999999999</v>
      </c>
      <c r="BN61">
        <v>29364.69400000001</v>
      </c>
      <c r="BO61">
        <v>45000</v>
      </c>
      <c r="BP61">
        <v>1149602.8999999999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 x14ac:dyDescent="0.35">
      <c r="A62">
        <v>329507</v>
      </c>
      <c r="B62" t="s">
        <v>289</v>
      </c>
      <c r="C62" t="s">
        <v>290</v>
      </c>
      <c r="D62" s="1">
        <v>45759</v>
      </c>
      <c r="E62">
        <v>53850</v>
      </c>
      <c r="F62">
        <v>109</v>
      </c>
      <c r="G62" t="s">
        <v>74</v>
      </c>
      <c r="H62" t="s">
        <v>48</v>
      </c>
      <c r="I62" t="s">
        <v>49</v>
      </c>
      <c r="K62" t="s">
        <v>689</v>
      </c>
      <c r="L62">
        <v>1093306672844</v>
      </c>
      <c r="M62">
        <v>20250411</v>
      </c>
      <c r="N62" t="s">
        <v>222</v>
      </c>
      <c r="P62" t="s">
        <v>291</v>
      </c>
      <c r="Q62" t="s">
        <v>61</v>
      </c>
      <c r="R62">
        <v>1500</v>
      </c>
      <c r="S62">
        <v>0</v>
      </c>
      <c r="T62">
        <v>440311</v>
      </c>
      <c r="U62">
        <v>3550290724</v>
      </c>
      <c r="V62" t="s">
        <v>687</v>
      </c>
      <c r="W62" t="s">
        <v>58</v>
      </c>
      <c r="X62" t="s">
        <v>237</v>
      </c>
      <c r="Y62" t="s">
        <v>52</v>
      </c>
      <c r="Z62">
        <v>1903</v>
      </c>
      <c r="AH62">
        <v>0</v>
      </c>
      <c r="AI62">
        <v>202504</v>
      </c>
      <c r="AJ62" t="s">
        <v>68</v>
      </c>
      <c r="AK62">
        <v>0</v>
      </c>
      <c r="AL62">
        <v>1</v>
      </c>
      <c r="AM62">
        <v>440311</v>
      </c>
      <c r="AN62">
        <v>1</v>
      </c>
      <c r="AO62">
        <v>0</v>
      </c>
      <c r="AP62">
        <v>451</v>
      </c>
      <c r="AQ62">
        <v>430</v>
      </c>
      <c r="AR62">
        <v>430451</v>
      </c>
      <c r="AS62" t="s">
        <v>65</v>
      </c>
      <c r="AU62" t="s">
        <v>65</v>
      </c>
      <c r="AV62">
        <v>1000</v>
      </c>
      <c r="AW62">
        <v>1186.4000000000001</v>
      </c>
      <c r="AX62">
        <v>1500</v>
      </c>
      <c r="AY62">
        <v>1680.386</v>
      </c>
      <c r="AZ62">
        <v>1992.48</v>
      </c>
      <c r="BA62">
        <v>2399.98</v>
      </c>
      <c r="BB62">
        <v>2739.2040000000002</v>
      </c>
      <c r="BC62">
        <v>3000</v>
      </c>
      <c r="BD62">
        <v>3500</v>
      </c>
      <c r="BE62">
        <v>4000</v>
      </c>
      <c r="BF62">
        <v>4800</v>
      </c>
      <c r="BG62">
        <v>5000</v>
      </c>
      <c r="BH62">
        <v>5024.4139999999998</v>
      </c>
      <c r="BI62">
        <v>5617.9639999999999</v>
      </c>
      <c r="BJ62">
        <v>9836.84</v>
      </c>
      <c r="BK62">
        <v>12377.16</v>
      </c>
      <c r="BL62">
        <v>16956.52800000002</v>
      </c>
      <c r="BM62">
        <v>20247.331999999999</v>
      </c>
      <c r="BN62">
        <v>29364.69400000001</v>
      </c>
      <c r="BO62">
        <v>45000</v>
      </c>
      <c r="BP62">
        <v>1149602.8999999999</v>
      </c>
      <c r="BQ62">
        <v>1</v>
      </c>
      <c r="BR62">
        <v>1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 x14ac:dyDescent="0.35">
      <c r="A63">
        <v>329505</v>
      </c>
      <c r="B63" t="s">
        <v>289</v>
      </c>
      <c r="C63" t="s">
        <v>290</v>
      </c>
      <c r="D63" s="1">
        <v>45759</v>
      </c>
      <c r="E63">
        <v>53850</v>
      </c>
      <c r="F63">
        <v>187</v>
      </c>
      <c r="G63" t="s">
        <v>75</v>
      </c>
      <c r="H63" t="s">
        <v>48</v>
      </c>
      <c r="I63" t="s">
        <v>49</v>
      </c>
      <c r="K63" t="s">
        <v>408</v>
      </c>
      <c r="L63">
        <v>1873300102696</v>
      </c>
      <c r="M63">
        <v>20250411</v>
      </c>
      <c r="N63" t="s">
        <v>222</v>
      </c>
      <c r="P63" t="s">
        <v>303</v>
      </c>
      <c r="Q63" t="s">
        <v>61</v>
      </c>
      <c r="R63">
        <v>2084.1799999999998</v>
      </c>
      <c r="S63">
        <v>0</v>
      </c>
      <c r="T63">
        <v>4000559</v>
      </c>
      <c r="U63">
        <v>2099160737</v>
      </c>
      <c r="V63" t="s">
        <v>117</v>
      </c>
      <c r="W63" t="s">
        <v>58</v>
      </c>
      <c r="X63" t="s">
        <v>86</v>
      </c>
      <c r="Y63" t="s">
        <v>52</v>
      </c>
      <c r="Z63">
        <v>1627</v>
      </c>
      <c r="AH63">
        <v>0</v>
      </c>
      <c r="AI63">
        <v>202504</v>
      </c>
      <c r="AJ63" t="s">
        <v>68</v>
      </c>
      <c r="AK63">
        <v>0</v>
      </c>
      <c r="AL63">
        <v>1</v>
      </c>
      <c r="AO63">
        <v>0</v>
      </c>
      <c r="AP63">
        <v>463</v>
      </c>
      <c r="AQ63">
        <v>430</v>
      </c>
      <c r="AR63">
        <v>430463</v>
      </c>
      <c r="AS63" t="s">
        <v>65</v>
      </c>
      <c r="AU63" t="s">
        <v>65</v>
      </c>
      <c r="AV63">
        <v>1000</v>
      </c>
      <c r="AW63">
        <v>1186.4000000000001</v>
      </c>
      <c r="AX63">
        <v>1500</v>
      </c>
      <c r="AY63">
        <v>1680.386</v>
      </c>
      <c r="AZ63">
        <v>1992.48</v>
      </c>
      <c r="BA63">
        <v>2399.98</v>
      </c>
      <c r="BB63">
        <v>2739.2040000000002</v>
      </c>
      <c r="BC63">
        <v>3000</v>
      </c>
      <c r="BD63">
        <v>3500</v>
      </c>
      <c r="BE63">
        <v>4000</v>
      </c>
      <c r="BF63">
        <v>4800</v>
      </c>
      <c r="BG63">
        <v>5000</v>
      </c>
      <c r="BH63">
        <v>5024.4139999999998</v>
      </c>
      <c r="BI63">
        <v>5617.9639999999999</v>
      </c>
      <c r="BJ63">
        <v>9836.84</v>
      </c>
      <c r="BK63">
        <v>12377.16</v>
      </c>
      <c r="BL63">
        <v>16956.52800000002</v>
      </c>
      <c r="BM63">
        <v>20247.331999999999</v>
      </c>
      <c r="BN63">
        <v>29364.69400000001</v>
      </c>
      <c r="BO63">
        <v>45000</v>
      </c>
      <c r="BP63">
        <v>1149602.8999999999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 x14ac:dyDescent="0.35">
      <c r="A64">
        <v>329483</v>
      </c>
      <c r="B64" t="s">
        <v>289</v>
      </c>
      <c r="C64" t="s">
        <v>290</v>
      </c>
      <c r="D64" s="1">
        <v>45759</v>
      </c>
      <c r="E64">
        <v>53850</v>
      </c>
      <c r="F64">
        <v>148</v>
      </c>
      <c r="G64" t="s">
        <v>125</v>
      </c>
      <c r="H64" t="s">
        <v>48</v>
      </c>
      <c r="I64" t="s">
        <v>49</v>
      </c>
      <c r="K64" t="s">
        <v>409</v>
      </c>
      <c r="L64">
        <v>1483300004308</v>
      </c>
      <c r="M64">
        <v>20250411</v>
      </c>
      <c r="N64" t="s">
        <v>222</v>
      </c>
      <c r="P64" t="s">
        <v>296</v>
      </c>
      <c r="Q64" t="s">
        <v>50</v>
      </c>
      <c r="R64">
        <v>1820</v>
      </c>
      <c r="S64">
        <v>0</v>
      </c>
      <c r="T64">
        <v>4898674</v>
      </c>
      <c r="U64">
        <v>2936580642</v>
      </c>
      <c r="V64" t="s">
        <v>319</v>
      </c>
      <c r="W64" t="s">
        <v>58</v>
      </c>
      <c r="X64" t="s">
        <v>320</v>
      </c>
      <c r="Y64" t="s">
        <v>52</v>
      </c>
      <c r="Z64">
        <v>1063</v>
      </c>
      <c r="AH64">
        <v>0</v>
      </c>
      <c r="AI64">
        <v>202504</v>
      </c>
      <c r="AJ64" t="s">
        <v>68</v>
      </c>
      <c r="AK64">
        <v>0</v>
      </c>
      <c r="AL64">
        <v>1</v>
      </c>
      <c r="AO64">
        <v>0</v>
      </c>
      <c r="AP64">
        <v>999</v>
      </c>
      <c r="AQ64">
        <v>430</v>
      </c>
      <c r="AR64">
        <v>430999</v>
      </c>
      <c r="AT64">
        <v>1</v>
      </c>
      <c r="AU64" t="s">
        <v>59</v>
      </c>
      <c r="AV64">
        <v>1000</v>
      </c>
      <c r="AW64">
        <v>1186.4000000000001</v>
      </c>
      <c r="AX64">
        <v>1500</v>
      </c>
      <c r="AY64">
        <v>1680.386</v>
      </c>
      <c r="AZ64">
        <v>1992.48</v>
      </c>
      <c r="BA64">
        <v>2399.98</v>
      </c>
      <c r="BB64">
        <v>2739.2040000000002</v>
      </c>
      <c r="BC64">
        <v>3000</v>
      </c>
      <c r="BD64">
        <v>3500</v>
      </c>
      <c r="BE64">
        <v>4000</v>
      </c>
      <c r="BF64">
        <v>4800</v>
      </c>
      <c r="BG64">
        <v>5000</v>
      </c>
      <c r="BH64">
        <v>5024.4139999999998</v>
      </c>
      <c r="BI64">
        <v>5617.9639999999999</v>
      </c>
      <c r="BJ64">
        <v>9836.84</v>
      </c>
      <c r="BK64">
        <v>12377.16</v>
      </c>
      <c r="BL64">
        <v>16956.52800000002</v>
      </c>
      <c r="BM64">
        <v>20247.331999999999</v>
      </c>
      <c r="BN64">
        <v>29364.69400000001</v>
      </c>
      <c r="BO64">
        <v>45000</v>
      </c>
      <c r="BP64">
        <v>1149602.8999999999</v>
      </c>
      <c r="BQ64">
        <v>1</v>
      </c>
      <c r="BR64">
        <v>1</v>
      </c>
      <c r="BS64">
        <v>1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 x14ac:dyDescent="0.35">
      <c r="A65">
        <v>329476</v>
      </c>
      <c r="B65" t="s">
        <v>289</v>
      </c>
      <c r="C65" t="s">
        <v>290</v>
      </c>
      <c r="D65" s="1">
        <v>45758</v>
      </c>
      <c r="E65">
        <v>53850</v>
      </c>
      <c r="F65">
        <v>192</v>
      </c>
      <c r="G65" t="s">
        <v>87</v>
      </c>
      <c r="H65" t="s">
        <v>48</v>
      </c>
      <c r="I65" t="s">
        <v>49</v>
      </c>
      <c r="K65">
        <v>202504107885245</v>
      </c>
      <c r="L65">
        <v>1923300181787</v>
      </c>
      <c r="M65">
        <v>20250410</v>
      </c>
      <c r="N65" t="s">
        <v>222</v>
      </c>
      <c r="P65" t="s">
        <v>291</v>
      </c>
      <c r="Q65" t="s">
        <v>61</v>
      </c>
      <c r="R65">
        <v>6629</v>
      </c>
      <c r="S65">
        <v>0</v>
      </c>
      <c r="T65">
        <v>4048836</v>
      </c>
      <c r="U65">
        <v>945510725</v>
      </c>
      <c r="V65" t="s">
        <v>410</v>
      </c>
      <c r="W65" t="s">
        <v>58</v>
      </c>
      <c r="X65" t="s">
        <v>118</v>
      </c>
      <c r="Y65" t="s">
        <v>52</v>
      </c>
      <c r="Z65">
        <v>1907</v>
      </c>
      <c r="AH65">
        <v>0</v>
      </c>
      <c r="AI65">
        <v>202504</v>
      </c>
      <c r="AJ65" t="s">
        <v>55</v>
      </c>
      <c r="AK65">
        <v>0</v>
      </c>
      <c r="AL65">
        <v>1</v>
      </c>
      <c r="AO65">
        <v>0</v>
      </c>
      <c r="AP65">
        <v>999</v>
      </c>
      <c r="AQ65">
        <v>430</v>
      </c>
      <c r="AR65">
        <v>430999</v>
      </c>
      <c r="AT65">
        <v>1</v>
      </c>
      <c r="AU65" t="s">
        <v>59</v>
      </c>
      <c r="AV65">
        <v>1000</v>
      </c>
      <c r="AW65">
        <v>1186.4000000000001</v>
      </c>
      <c r="AX65">
        <v>1500</v>
      </c>
      <c r="AY65">
        <v>1680.386</v>
      </c>
      <c r="AZ65">
        <v>1992.48</v>
      </c>
      <c r="BA65">
        <v>2399.98</v>
      </c>
      <c r="BB65">
        <v>2739.2040000000002</v>
      </c>
      <c r="BC65">
        <v>3000</v>
      </c>
      <c r="BD65">
        <v>3500</v>
      </c>
      <c r="BE65">
        <v>4000</v>
      </c>
      <c r="BF65">
        <v>4800</v>
      </c>
      <c r="BG65">
        <v>5000</v>
      </c>
      <c r="BH65">
        <v>5024.4139999999998</v>
      </c>
      <c r="BI65">
        <v>5617.9639999999999</v>
      </c>
      <c r="BJ65">
        <v>9836.84</v>
      </c>
      <c r="BK65">
        <v>12377.16</v>
      </c>
      <c r="BL65">
        <v>16956.52800000002</v>
      </c>
      <c r="BM65">
        <v>20247.331999999999</v>
      </c>
      <c r="BN65">
        <v>29364.69400000001</v>
      </c>
      <c r="BO65">
        <v>45000</v>
      </c>
      <c r="BP65">
        <v>1149602.8999999999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 x14ac:dyDescent="0.35">
      <c r="A66">
        <v>329475</v>
      </c>
      <c r="B66" t="s">
        <v>289</v>
      </c>
      <c r="C66" t="s">
        <v>290</v>
      </c>
      <c r="D66" s="1">
        <v>45758</v>
      </c>
      <c r="E66">
        <v>53850</v>
      </c>
      <c r="F66">
        <v>141</v>
      </c>
      <c r="G66" t="s">
        <v>91</v>
      </c>
      <c r="H66" t="s">
        <v>48</v>
      </c>
      <c r="I66" t="s">
        <v>49</v>
      </c>
      <c r="K66" t="s">
        <v>411</v>
      </c>
      <c r="L66">
        <v>1413300003508</v>
      </c>
      <c r="M66">
        <v>20250410</v>
      </c>
      <c r="N66" t="s">
        <v>222</v>
      </c>
      <c r="P66" t="s">
        <v>303</v>
      </c>
      <c r="Q66" t="s">
        <v>61</v>
      </c>
      <c r="R66">
        <v>1800</v>
      </c>
      <c r="S66">
        <v>0</v>
      </c>
      <c r="T66">
        <v>4955842</v>
      </c>
      <c r="U66" t="s">
        <v>412</v>
      </c>
      <c r="V66" t="s">
        <v>413</v>
      </c>
      <c r="W66" t="s">
        <v>51</v>
      </c>
      <c r="Y66" t="s">
        <v>52</v>
      </c>
      <c r="Z66">
        <v>925</v>
      </c>
      <c r="AH66">
        <v>0</v>
      </c>
      <c r="AI66">
        <v>202504</v>
      </c>
      <c r="AJ66" t="s">
        <v>203</v>
      </c>
      <c r="AK66">
        <v>1</v>
      </c>
      <c r="AL66">
        <v>1</v>
      </c>
      <c r="AO66">
        <v>0</v>
      </c>
      <c r="AP66">
        <v>999</v>
      </c>
      <c r="AQ66">
        <v>600</v>
      </c>
      <c r="AR66">
        <v>600999</v>
      </c>
      <c r="AS66" t="s">
        <v>53</v>
      </c>
      <c r="AU66" t="s">
        <v>53</v>
      </c>
      <c r="AV66">
        <v>1000</v>
      </c>
      <c r="AW66">
        <v>1186.4000000000001</v>
      </c>
      <c r="AX66">
        <v>1500</v>
      </c>
      <c r="AY66">
        <v>1680.386</v>
      </c>
      <c r="AZ66">
        <v>1992.48</v>
      </c>
      <c r="BA66">
        <v>2399.98</v>
      </c>
      <c r="BB66">
        <v>2739.2040000000002</v>
      </c>
      <c r="BC66">
        <v>3000</v>
      </c>
      <c r="BD66">
        <v>3500</v>
      </c>
      <c r="BE66">
        <v>4000</v>
      </c>
      <c r="BF66">
        <v>4800</v>
      </c>
      <c r="BG66">
        <v>5000</v>
      </c>
      <c r="BH66">
        <v>5024.4139999999998</v>
      </c>
      <c r="BI66">
        <v>5617.9639999999999</v>
      </c>
      <c r="BJ66">
        <v>9836.84</v>
      </c>
      <c r="BK66">
        <v>12377.16</v>
      </c>
      <c r="BL66">
        <v>16956.52800000002</v>
      </c>
      <c r="BM66">
        <v>20247.331999999999</v>
      </c>
      <c r="BN66">
        <v>29364.69400000001</v>
      </c>
      <c r="BO66">
        <v>45000</v>
      </c>
      <c r="BP66">
        <v>1149602.8999999999</v>
      </c>
      <c r="BQ66">
        <v>1</v>
      </c>
      <c r="BR66">
        <v>1</v>
      </c>
      <c r="BS66">
        <v>1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 x14ac:dyDescent="0.35">
      <c r="A67">
        <v>329474</v>
      </c>
      <c r="B67" t="s">
        <v>289</v>
      </c>
      <c r="C67" t="s">
        <v>290</v>
      </c>
      <c r="D67" s="1">
        <v>45758</v>
      </c>
      <c r="E67">
        <v>53850</v>
      </c>
      <c r="F67">
        <v>103</v>
      </c>
      <c r="G67" t="s">
        <v>62</v>
      </c>
      <c r="H67" t="s">
        <v>48</v>
      </c>
      <c r="I67" t="s">
        <v>49</v>
      </c>
      <c r="K67" t="s">
        <v>414</v>
      </c>
      <c r="L67">
        <v>1033301641631</v>
      </c>
      <c r="M67">
        <v>20250410</v>
      </c>
      <c r="N67" t="s">
        <v>222</v>
      </c>
      <c r="P67" t="s">
        <v>303</v>
      </c>
      <c r="Q67" t="s">
        <v>61</v>
      </c>
      <c r="R67">
        <v>2417.5100000000002</v>
      </c>
      <c r="S67">
        <v>0</v>
      </c>
      <c r="T67">
        <v>164163</v>
      </c>
      <c r="U67">
        <v>3485840726</v>
      </c>
      <c r="V67" t="s">
        <v>415</v>
      </c>
      <c r="W67" t="s">
        <v>58</v>
      </c>
      <c r="X67" t="s">
        <v>416</v>
      </c>
      <c r="Y67" t="s">
        <v>52</v>
      </c>
      <c r="Z67">
        <v>1274</v>
      </c>
      <c r="AH67">
        <v>0</v>
      </c>
      <c r="AI67">
        <v>202504</v>
      </c>
      <c r="AJ67" t="s">
        <v>203</v>
      </c>
      <c r="AK67">
        <v>1</v>
      </c>
      <c r="AL67">
        <v>1</v>
      </c>
      <c r="AO67">
        <v>0</v>
      </c>
      <c r="AP67">
        <v>453</v>
      </c>
      <c r="AQ67">
        <v>430</v>
      </c>
      <c r="AR67">
        <v>430453</v>
      </c>
      <c r="AS67" t="s">
        <v>65</v>
      </c>
      <c r="AU67" t="s">
        <v>65</v>
      </c>
      <c r="AV67">
        <v>1000</v>
      </c>
      <c r="AW67">
        <v>1186.4000000000001</v>
      </c>
      <c r="AX67">
        <v>1500</v>
      </c>
      <c r="AY67">
        <v>1680.386</v>
      </c>
      <c r="AZ67">
        <v>1992.48</v>
      </c>
      <c r="BA67">
        <v>2399.98</v>
      </c>
      <c r="BB67">
        <v>2739.2040000000002</v>
      </c>
      <c r="BC67">
        <v>3000</v>
      </c>
      <c r="BD67">
        <v>3500</v>
      </c>
      <c r="BE67">
        <v>4000</v>
      </c>
      <c r="BF67">
        <v>4800</v>
      </c>
      <c r="BG67">
        <v>5000</v>
      </c>
      <c r="BH67">
        <v>5024.4139999999998</v>
      </c>
      <c r="BI67">
        <v>5617.9639999999999</v>
      </c>
      <c r="BJ67">
        <v>9836.84</v>
      </c>
      <c r="BK67">
        <v>12377.16</v>
      </c>
      <c r="BL67">
        <v>16956.52800000002</v>
      </c>
      <c r="BM67">
        <v>20247.331999999999</v>
      </c>
      <c r="BN67">
        <v>29364.69400000001</v>
      </c>
      <c r="BO67">
        <v>45000</v>
      </c>
      <c r="BP67">
        <v>1149602.8999999999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 x14ac:dyDescent="0.35">
      <c r="A68">
        <v>329473</v>
      </c>
      <c r="B68" t="s">
        <v>289</v>
      </c>
      <c r="C68" t="s">
        <v>290</v>
      </c>
      <c r="D68" s="1">
        <v>45758</v>
      </c>
      <c r="E68">
        <v>53850</v>
      </c>
      <c r="F68">
        <v>111</v>
      </c>
      <c r="G68" t="s">
        <v>211</v>
      </c>
      <c r="H68" t="s">
        <v>48</v>
      </c>
      <c r="I68" t="s">
        <v>49</v>
      </c>
      <c r="K68" t="s">
        <v>417</v>
      </c>
      <c r="L68">
        <v>1113305626850</v>
      </c>
      <c r="M68">
        <v>20250410</v>
      </c>
      <c r="N68" t="s">
        <v>222</v>
      </c>
      <c r="P68" t="s">
        <v>291</v>
      </c>
      <c r="Q68" t="s">
        <v>50</v>
      </c>
      <c r="R68">
        <v>2500</v>
      </c>
      <c r="S68">
        <v>0</v>
      </c>
      <c r="T68">
        <v>562685</v>
      </c>
      <c r="U68" t="s">
        <v>317</v>
      </c>
      <c r="V68" t="s">
        <v>318</v>
      </c>
      <c r="W68" t="s">
        <v>51</v>
      </c>
      <c r="Y68" t="s">
        <v>52</v>
      </c>
      <c r="Z68">
        <v>593</v>
      </c>
      <c r="AH68">
        <v>0</v>
      </c>
      <c r="AI68">
        <v>202504</v>
      </c>
      <c r="AJ68" t="s">
        <v>205</v>
      </c>
      <c r="AK68">
        <v>1</v>
      </c>
      <c r="AL68">
        <v>1</v>
      </c>
      <c r="AO68">
        <v>0</v>
      </c>
      <c r="AP68">
        <v>999</v>
      </c>
      <c r="AQ68">
        <v>600</v>
      </c>
      <c r="AR68">
        <v>600999</v>
      </c>
      <c r="AS68" t="s">
        <v>53</v>
      </c>
      <c r="AU68" t="s">
        <v>53</v>
      </c>
      <c r="AV68">
        <v>1000</v>
      </c>
      <c r="AW68">
        <v>1186.4000000000001</v>
      </c>
      <c r="AX68">
        <v>1500</v>
      </c>
      <c r="AY68">
        <v>1680.386</v>
      </c>
      <c r="AZ68">
        <v>1992.48</v>
      </c>
      <c r="BA68">
        <v>2399.98</v>
      </c>
      <c r="BB68">
        <v>2739.2040000000002</v>
      </c>
      <c r="BC68">
        <v>3000</v>
      </c>
      <c r="BD68">
        <v>3500</v>
      </c>
      <c r="BE68">
        <v>4000</v>
      </c>
      <c r="BF68">
        <v>4800</v>
      </c>
      <c r="BG68">
        <v>5000</v>
      </c>
      <c r="BH68">
        <v>5024.4139999999998</v>
      </c>
      <c r="BI68">
        <v>5617.9639999999999</v>
      </c>
      <c r="BJ68">
        <v>9836.84</v>
      </c>
      <c r="BK68">
        <v>12377.16</v>
      </c>
      <c r="BL68">
        <v>16956.52800000002</v>
      </c>
      <c r="BM68">
        <v>20247.331999999999</v>
      </c>
      <c r="BN68">
        <v>29364.69400000001</v>
      </c>
      <c r="BO68">
        <v>45000</v>
      </c>
      <c r="BP68">
        <v>1149602.8999999999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 x14ac:dyDescent="0.35">
      <c r="A69">
        <v>329471</v>
      </c>
      <c r="B69" t="s">
        <v>289</v>
      </c>
      <c r="C69" t="s">
        <v>290</v>
      </c>
      <c r="D69" s="1">
        <v>45758</v>
      </c>
      <c r="E69">
        <v>53850</v>
      </c>
      <c r="F69">
        <v>109</v>
      </c>
      <c r="G69" t="s">
        <v>74</v>
      </c>
      <c r="H69" t="s">
        <v>48</v>
      </c>
      <c r="I69" t="s">
        <v>49</v>
      </c>
      <c r="K69" t="s">
        <v>690</v>
      </c>
      <c r="L69">
        <v>1093306672844</v>
      </c>
      <c r="M69">
        <v>20250410</v>
      </c>
      <c r="N69" t="s">
        <v>222</v>
      </c>
      <c r="P69" t="s">
        <v>303</v>
      </c>
      <c r="Q69" t="s">
        <v>50</v>
      </c>
      <c r="R69">
        <v>2700</v>
      </c>
      <c r="S69">
        <v>0</v>
      </c>
      <c r="T69">
        <v>440311</v>
      </c>
      <c r="U69">
        <v>3550290724</v>
      </c>
      <c r="V69" t="s">
        <v>687</v>
      </c>
      <c r="W69" t="s">
        <v>58</v>
      </c>
      <c r="X69" t="s">
        <v>237</v>
      </c>
      <c r="Y69" t="s">
        <v>52</v>
      </c>
      <c r="Z69">
        <v>1903</v>
      </c>
      <c r="AH69">
        <v>0</v>
      </c>
      <c r="AI69">
        <v>202504</v>
      </c>
      <c r="AJ69" t="s">
        <v>68</v>
      </c>
      <c r="AK69">
        <v>0</v>
      </c>
      <c r="AL69">
        <v>1</v>
      </c>
      <c r="AM69">
        <v>440311</v>
      </c>
      <c r="AN69">
        <v>1</v>
      </c>
      <c r="AO69">
        <v>0</v>
      </c>
      <c r="AP69">
        <v>451</v>
      </c>
      <c r="AQ69">
        <v>430</v>
      </c>
      <c r="AR69">
        <v>430451</v>
      </c>
      <c r="AS69" t="s">
        <v>65</v>
      </c>
      <c r="AU69" t="s">
        <v>65</v>
      </c>
      <c r="AV69">
        <v>1000</v>
      </c>
      <c r="AW69">
        <v>1186.4000000000001</v>
      </c>
      <c r="AX69">
        <v>1500</v>
      </c>
      <c r="AY69">
        <v>1680.386</v>
      </c>
      <c r="AZ69">
        <v>1992.48</v>
      </c>
      <c r="BA69">
        <v>2399.98</v>
      </c>
      <c r="BB69">
        <v>2739.2040000000002</v>
      </c>
      <c r="BC69">
        <v>3000</v>
      </c>
      <c r="BD69">
        <v>3500</v>
      </c>
      <c r="BE69">
        <v>4000</v>
      </c>
      <c r="BF69">
        <v>4800</v>
      </c>
      <c r="BG69">
        <v>5000</v>
      </c>
      <c r="BH69">
        <v>5024.4139999999998</v>
      </c>
      <c r="BI69">
        <v>5617.9639999999999</v>
      </c>
      <c r="BJ69">
        <v>9836.84</v>
      </c>
      <c r="BK69">
        <v>12377.16</v>
      </c>
      <c r="BL69">
        <v>16956.52800000002</v>
      </c>
      <c r="BM69">
        <v>20247.331999999999</v>
      </c>
      <c r="BN69">
        <v>29364.69400000001</v>
      </c>
      <c r="BO69">
        <v>45000</v>
      </c>
      <c r="BP69">
        <v>1149602.8999999999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 x14ac:dyDescent="0.35">
      <c r="A70">
        <v>329465</v>
      </c>
      <c r="B70" t="s">
        <v>289</v>
      </c>
      <c r="C70" t="s">
        <v>290</v>
      </c>
      <c r="D70" s="1">
        <v>45758</v>
      </c>
      <c r="E70">
        <v>53850</v>
      </c>
      <c r="F70">
        <v>109</v>
      </c>
      <c r="G70" t="s">
        <v>74</v>
      </c>
      <c r="H70" t="s">
        <v>48</v>
      </c>
      <c r="I70" t="s">
        <v>49</v>
      </c>
      <c r="K70" t="s">
        <v>691</v>
      </c>
      <c r="L70">
        <v>1093306672844</v>
      </c>
      <c r="M70">
        <v>20250410</v>
      </c>
      <c r="N70" t="s">
        <v>222</v>
      </c>
      <c r="P70" t="s">
        <v>303</v>
      </c>
      <c r="Q70" t="s">
        <v>50</v>
      </c>
      <c r="R70">
        <v>1800</v>
      </c>
      <c r="S70">
        <v>0</v>
      </c>
      <c r="T70">
        <v>440311</v>
      </c>
      <c r="U70">
        <v>3550290724</v>
      </c>
      <c r="V70" t="s">
        <v>687</v>
      </c>
      <c r="W70" t="s">
        <v>58</v>
      </c>
      <c r="X70" t="s">
        <v>237</v>
      </c>
      <c r="Y70" t="s">
        <v>52</v>
      </c>
      <c r="Z70">
        <v>1903</v>
      </c>
      <c r="AH70">
        <v>0</v>
      </c>
      <c r="AI70">
        <v>202504</v>
      </c>
      <c r="AJ70" t="s">
        <v>68</v>
      </c>
      <c r="AK70">
        <v>0</v>
      </c>
      <c r="AL70">
        <v>1</v>
      </c>
      <c r="AM70">
        <v>440311</v>
      </c>
      <c r="AN70">
        <v>1</v>
      </c>
      <c r="AO70">
        <v>0</v>
      </c>
      <c r="AP70">
        <v>451</v>
      </c>
      <c r="AQ70">
        <v>430</v>
      </c>
      <c r="AR70">
        <v>430451</v>
      </c>
      <c r="AS70" t="s">
        <v>65</v>
      </c>
      <c r="AU70" t="s">
        <v>65</v>
      </c>
      <c r="AV70">
        <v>1000</v>
      </c>
      <c r="AW70">
        <v>1186.4000000000001</v>
      </c>
      <c r="AX70">
        <v>1500</v>
      </c>
      <c r="AY70">
        <v>1680.386</v>
      </c>
      <c r="AZ70">
        <v>1992.48</v>
      </c>
      <c r="BA70">
        <v>2399.98</v>
      </c>
      <c r="BB70">
        <v>2739.2040000000002</v>
      </c>
      <c r="BC70">
        <v>3000</v>
      </c>
      <c r="BD70">
        <v>3500</v>
      </c>
      <c r="BE70">
        <v>4000</v>
      </c>
      <c r="BF70">
        <v>4800</v>
      </c>
      <c r="BG70">
        <v>5000</v>
      </c>
      <c r="BH70">
        <v>5024.4139999999998</v>
      </c>
      <c r="BI70">
        <v>5617.9639999999999</v>
      </c>
      <c r="BJ70">
        <v>9836.84</v>
      </c>
      <c r="BK70">
        <v>12377.16</v>
      </c>
      <c r="BL70">
        <v>16956.52800000002</v>
      </c>
      <c r="BM70">
        <v>20247.331999999999</v>
      </c>
      <c r="BN70">
        <v>29364.69400000001</v>
      </c>
      <c r="BO70">
        <v>45000</v>
      </c>
      <c r="BP70">
        <v>1149602.8999999999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 x14ac:dyDescent="0.35">
      <c r="A71">
        <v>329452</v>
      </c>
      <c r="B71" t="s">
        <v>289</v>
      </c>
      <c r="C71" t="s">
        <v>290</v>
      </c>
      <c r="D71" s="1">
        <v>45758</v>
      </c>
      <c r="E71">
        <v>53850</v>
      </c>
      <c r="F71">
        <v>145</v>
      </c>
      <c r="G71" t="s">
        <v>77</v>
      </c>
      <c r="H71" t="s">
        <v>48</v>
      </c>
      <c r="I71" t="s">
        <v>49</v>
      </c>
      <c r="K71">
        <v>202504107885171</v>
      </c>
      <c r="L71">
        <v>1453300003997</v>
      </c>
      <c r="M71">
        <v>20250410</v>
      </c>
      <c r="N71" t="s">
        <v>222</v>
      </c>
      <c r="P71" t="s">
        <v>303</v>
      </c>
      <c r="Q71" t="s">
        <v>61</v>
      </c>
      <c r="R71">
        <v>18500</v>
      </c>
      <c r="S71">
        <v>0</v>
      </c>
      <c r="T71">
        <v>3737833</v>
      </c>
      <c r="U71">
        <v>10171711210</v>
      </c>
      <c r="V71" t="s">
        <v>388</v>
      </c>
      <c r="W71" t="s">
        <v>58</v>
      </c>
      <c r="X71" t="s">
        <v>86</v>
      </c>
      <c r="Y71" t="s">
        <v>52</v>
      </c>
      <c r="AH71">
        <v>0</v>
      </c>
      <c r="AI71">
        <v>202504</v>
      </c>
      <c r="AJ71" t="s">
        <v>68</v>
      </c>
      <c r="AK71">
        <v>0</v>
      </c>
      <c r="AL71">
        <v>1</v>
      </c>
      <c r="AO71">
        <v>0</v>
      </c>
      <c r="AP71">
        <v>463</v>
      </c>
      <c r="AQ71">
        <v>430</v>
      </c>
      <c r="AR71">
        <v>430463</v>
      </c>
      <c r="AS71" t="s">
        <v>65</v>
      </c>
      <c r="AU71" t="s">
        <v>65</v>
      </c>
      <c r="AV71">
        <v>1000</v>
      </c>
      <c r="AW71">
        <v>1186.4000000000001</v>
      </c>
      <c r="AX71">
        <v>1500</v>
      </c>
      <c r="AY71">
        <v>1680.386</v>
      </c>
      <c r="AZ71">
        <v>1992.48</v>
      </c>
      <c r="BA71">
        <v>2399.98</v>
      </c>
      <c r="BB71">
        <v>2739.2040000000002</v>
      </c>
      <c r="BC71">
        <v>3000</v>
      </c>
      <c r="BD71">
        <v>3500</v>
      </c>
      <c r="BE71">
        <v>4000</v>
      </c>
      <c r="BF71">
        <v>4800</v>
      </c>
      <c r="BG71">
        <v>5000</v>
      </c>
      <c r="BH71">
        <v>5024.4139999999998</v>
      </c>
      <c r="BI71">
        <v>5617.9639999999999</v>
      </c>
      <c r="BJ71">
        <v>9836.84</v>
      </c>
      <c r="BK71">
        <v>12377.16</v>
      </c>
      <c r="BL71">
        <v>16956.52800000002</v>
      </c>
      <c r="BM71">
        <v>20247.331999999999</v>
      </c>
      <c r="BN71">
        <v>29364.69400000001</v>
      </c>
      <c r="BO71">
        <v>45000</v>
      </c>
      <c r="BP71">
        <v>1149602.8999999999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0</v>
      </c>
      <c r="CI71">
        <v>0</v>
      </c>
      <c r="CJ71">
        <v>0</v>
      </c>
      <c r="CK71">
        <v>0</v>
      </c>
    </row>
    <row r="72" spans="1:89" x14ac:dyDescent="0.35">
      <c r="A72">
        <v>329442</v>
      </c>
      <c r="B72" t="s">
        <v>289</v>
      </c>
      <c r="C72" t="s">
        <v>290</v>
      </c>
      <c r="D72" s="1">
        <v>45758</v>
      </c>
      <c r="E72">
        <v>53850</v>
      </c>
      <c r="F72">
        <v>187</v>
      </c>
      <c r="G72" t="s">
        <v>75</v>
      </c>
      <c r="H72" t="s">
        <v>48</v>
      </c>
      <c r="I72" t="s">
        <v>49</v>
      </c>
      <c r="K72" t="s">
        <v>418</v>
      </c>
      <c r="L72">
        <v>1873300102696</v>
      </c>
      <c r="M72">
        <v>20250410</v>
      </c>
      <c r="N72" t="s">
        <v>222</v>
      </c>
      <c r="P72" t="s">
        <v>303</v>
      </c>
      <c r="Q72" t="s">
        <v>61</v>
      </c>
      <c r="R72">
        <v>1472.57</v>
      </c>
      <c r="S72">
        <v>0</v>
      </c>
      <c r="T72">
        <v>4000559</v>
      </c>
      <c r="U72">
        <v>2099160737</v>
      </c>
      <c r="V72" t="s">
        <v>117</v>
      </c>
      <c r="W72" t="s">
        <v>58</v>
      </c>
      <c r="X72" t="s">
        <v>86</v>
      </c>
      <c r="Y72" t="s">
        <v>52</v>
      </c>
      <c r="Z72">
        <v>1627</v>
      </c>
      <c r="AH72">
        <v>0</v>
      </c>
      <c r="AI72">
        <v>202504</v>
      </c>
      <c r="AJ72" t="s">
        <v>68</v>
      </c>
      <c r="AK72">
        <v>0</v>
      </c>
      <c r="AL72">
        <v>1</v>
      </c>
      <c r="AO72">
        <v>0</v>
      </c>
      <c r="AP72">
        <v>463</v>
      </c>
      <c r="AQ72">
        <v>430</v>
      </c>
      <c r="AR72">
        <v>430463</v>
      </c>
      <c r="AS72" t="s">
        <v>65</v>
      </c>
      <c r="AU72" t="s">
        <v>65</v>
      </c>
      <c r="AV72">
        <v>1000</v>
      </c>
      <c r="AW72">
        <v>1186.4000000000001</v>
      </c>
      <c r="AX72">
        <v>1500</v>
      </c>
      <c r="AY72">
        <v>1680.386</v>
      </c>
      <c r="AZ72">
        <v>1992.48</v>
      </c>
      <c r="BA72">
        <v>2399.98</v>
      </c>
      <c r="BB72">
        <v>2739.2040000000002</v>
      </c>
      <c r="BC72">
        <v>3000</v>
      </c>
      <c r="BD72">
        <v>3500</v>
      </c>
      <c r="BE72">
        <v>4000</v>
      </c>
      <c r="BF72">
        <v>4800</v>
      </c>
      <c r="BG72">
        <v>5000</v>
      </c>
      <c r="BH72">
        <v>5024.4139999999998</v>
      </c>
      <c r="BI72">
        <v>5617.9639999999999</v>
      </c>
      <c r="BJ72">
        <v>9836.84</v>
      </c>
      <c r="BK72">
        <v>12377.16</v>
      </c>
      <c r="BL72">
        <v>16956.52800000002</v>
      </c>
      <c r="BM72">
        <v>20247.331999999999</v>
      </c>
      <c r="BN72">
        <v>29364.69400000001</v>
      </c>
      <c r="BO72">
        <v>45000</v>
      </c>
      <c r="BP72">
        <v>1149602.8999999999</v>
      </c>
      <c r="BQ72">
        <v>1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 x14ac:dyDescent="0.35">
      <c r="A73">
        <v>329431</v>
      </c>
      <c r="B73" t="s">
        <v>289</v>
      </c>
      <c r="C73" t="s">
        <v>290</v>
      </c>
      <c r="D73" s="1">
        <v>45757</v>
      </c>
      <c r="E73">
        <v>53850</v>
      </c>
      <c r="F73">
        <v>129</v>
      </c>
      <c r="G73" t="s">
        <v>81</v>
      </c>
      <c r="H73" t="s">
        <v>48</v>
      </c>
      <c r="I73" t="s">
        <v>49</v>
      </c>
      <c r="K73">
        <v>202504097882321</v>
      </c>
      <c r="L73">
        <v>1293300002811</v>
      </c>
      <c r="M73">
        <v>20250409</v>
      </c>
      <c r="N73" t="s">
        <v>222</v>
      </c>
      <c r="P73" t="s">
        <v>291</v>
      </c>
      <c r="Q73" t="s">
        <v>61</v>
      </c>
      <c r="R73">
        <v>9872.2000000000007</v>
      </c>
      <c r="S73">
        <v>0</v>
      </c>
      <c r="T73">
        <v>4972184</v>
      </c>
      <c r="U73">
        <v>7780290727</v>
      </c>
      <c r="V73" t="s">
        <v>355</v>
      </c>
      <c r="W73" t="s">
        <v>58</v>
      </c>
      <c r="X73" t="s">
        <v>356</v>
      </c>
      <c r="Y73" t="s">
        <v>52</v>
      </c>
      <c r="Z73">
        <v>1058</v>
      </c>
      <c r="AH73">
        <v>0</v>
      </c>
      <c r="AI73">
        <v>202504</v>
      </c>
      <c r="AJ73" t="s">
        <v>55</v>
      </c>
      <c r="AK73">
        <v>0</v>
      </c>
      <c r="AL73">
        <v>1</v>
      </c>
      <c r="AO73">
        <v>0</v>
      </c>
      <c r="AP73">
        <v>999</v>
      </c>
      <c r="AQ73">
        <v>430</v>
      </c>
      <c r="AR73">
        <v>430999</v>
      </c>
      <c r="AT73">
        <v>1</v>
      </c>
      <c r="AU73" t="s">
        <v>59</v>
      </c>
      <c r="AV73">
        <v>1000</v>
      </c>
      <c r="AW73">
        <v>1186.4000000000001</v>
      </c>
      <c r="AX73">
        <v>1500</v>
      </c>
      <c r="AY73">
        <v>1680.386</v>
      </c>
      <c r="AZ73">
        <v>1992.48</v>
      </c>
      <c r="BA73">
        <v>2399.98</v>
      </c>
      <c r="BB73">
        <v>2739.2040000000002</v>
      </c>
      <c r="BC73">
        <v>3000</v>
      </c>
      <c r="BD73">
        <v>3500</v>
      </c>
      <c r="BE73">
        <v>4000</v>
      </c>
      <c r="BF73">
        <v>4800</v>
      </c>
      <c r="BG73">
        <v>5000</v>
      </c>
      <c r="BH73">
        <v>5024.4139999999998</v>
      </c>
      <c r="BI73">
        <v>5617.9639999999999</v>
      </c>
      <c r="BJ73">
        <v>9836.84</v>
      </c>
      <c r="BK73">
        <v>12377.16</v>
      </c>
      <c r="BL73">
        <v>16956.52800000002</v>
      </c>
      <c r="BM73">
        <v>20247.331999999999</v>
      </c>
      <c r="BN73">
        <v>29364.69400000001</v>
      </c>
      <c r="BO73">
        <v>45000</v>
      </c>
      <c r="BP73">
        <v>1149602.8999999999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 x14ac:dyDescent="0.35">
      <c r="A74">
        <v>329406</v>
      </c>
      <c r="B74" t="s">
        <v>289</v>
      </c>
      <c r="C74" t="s">
        <v>290</v>
      </c>
      <c r="D74" s="1">
        <v>45757</v>
      </c>
      <c r="E74">
        <v>53850</v>
      </c>
      <c r="F74">
        <v>188</v>
      </c>
      <c r="G74" t="s">
        <v>104</v>
      </c>
      <c r="H74" t="s">
        <v>48</v>
      </c>
      <c r="I74" t="s">
        <v>49</v>
      </c>
      <c r="K74">
        <v>202504097883326</v>
      </c>
      <c r="L74">
        <v>1883300128273</v>
      </c>
      <c r="M74">
        <v>20250409</v>
      </c>
      <c r="N74" t="s">
        <v>222</v>
      </c>
      <c r="P74" t="s">
        <v>296</v>
      </c>
      <c r="Q74" t="s">
        <v>50</v>
      </c>
      <c r="R74">
        <v>6199.96</v>
      </c>
      <c r="S74">
        <v>0</v>
      </c>
      <c r="T74">
        <v>4112266</v>
      </c>
      <c r="U74" t="s">
        <v>419</v>
      </c>
      <c r="V74" t="s">
        <v>420</v>
      </c>
      <c r="W74" t="s">
        <v>51</v>
      </c>
      <c r="Y74" t="s">
        <v>52</v>
      </c>
      <c r="Z74">
        <v>433</v>
      </c>
      <c r="AH74">
        <v>0</v>
      </c>
      <c r="AI74">
        <v>202504</v>
      </c>
      <c r="AJ74" t="s">
        <v>203</v>
      </c>
      <c r="AK74">
        <v>1</v>
      </c>
      <c r="AL74">
        <v>1</v>
      </c>
      <c r="AO74">
        <v>0</v>
      </c>
      <c r="AP74">
        <v>999</v>
      </c>
      <c r="AQ74">
        <v>600</v>
      </c>
      <c r="AR74">
        <v>600999</v>
      </c>
      <c r="AS74" t="s">
        <v>53</v>
      </c>
      <c r="AU74" t="s">
        <v>53</v>
      </c>
      <c r="AV74">
        <v>1000</v>
      </c>
      <c r="AW74">
        <v>1186.4000000000001</v>
      </c>
      <c r="AX74">
        <v>1500</v>
      </c>
      <c r="AY74">
        <v>1680.386</v>
      </c>
      <c r="AZ74">
        <v>1992.48</v>
      </c>
      <c r="BA74">
        <v>2399.98</v>
      </c>
      <c r="BB74">
        <v>2739.2040000000002</v>
      </c>
      <c r="BC74">
        <v>3000</v>
      </c>
      <c r="BD74">
        <v>3500</v>
      </c>
      <c r="BE74">
        <v>4000</v>
      </c>
      <c r="BF74">
        <v>4800</v>
      </c>
      <c r="BG74">
        <v>5000</v>
      </c>
      <c r="BH74">
        <v>5024.4139999999998</v>
      </c>
      <c r="BI74">
        <v>5617.9639999999999</v>
      </c>
      <c r="BJ74">
        <v>9836.84</v>
      </c>
      <c r="BK74">
        <v>12377.16</v>
      </c>
      <c r="BL74">
        <v>16956.52800000002</v>
      </c>
      <c r="BM74">
        <v>20247.331999999999</v>
      </c>
      <c r="BN74">
        <v>29364.69400000001</v>
      </c>
      <c r="BO74">
        <v>45000</v>
      </c>
      <c r="BP74">
        <v>1149602.8999999999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 x14ac:dyDescent="0.35">
      <c r="A75">
        <v>329404</v>
      </c>
      <c r="B75" t="s">
        <v>289</v>
      </c>
      <c r="C75" t="s">
        <v>290</v>
      </c>
      <c r="D75" s="1">
        <v>45757</v>
      </c>
      <c r="E75">
        <v>53850</v>
      </c>
      <c r="F75">
        <v>136</v>
      </c>
      <c r="G75" t="s">
        <v>78</v>
      </c>
      <c r="H75" t="s">
        <v>48</v>
      </c>
      <c r="I75" t="s">
        <v>49</v>
      </c>
      <c r="K75" t="s">
        <v>421</v>
      </c>
      <c r="L75">
        <v>1363300003079</v>
      </c>
      <c r="M75">
        <v>20250409</v>
      </c>
      <c r="N75" t="s">
        <v>222</v>
      </c>
      <c r="P75" t="s">
        <v>303</v>
      </c>
      <c r="Q75" t="s">
        <v>50</v>
      </c>
      <c r="R75">
        <v>3955.2</v>
      </c>
      <c r="S75">
        <v>0</v>
      </c>
      <c r="T75">
        <v>4796432</v>
      </c>
      <c r="U75">
        <v>2404690741</v>
      </c>
      <c r="V75" t="s">
        <v>422</v>
      </c>
      <c r="W75" t="s">
        <v>58</v>
      </c>
      <c r="X75" t="s">
        <v>108</v>
      </c>
      <c r="Y75" t="s">
        <v>52</v>
      </c>
      <c r="Z75">
        <v>881</v>
      </c>
      <c r="AH75">
        <v>0</v>
      </c>
      <c r="AI75">
        <v>202504</v>
      </c>
      <c r="AJ75" t="s">
        <v>68</v>
      </c>
      <c r="AK75">
        <v>0</v>
      </c>
      <c r="AL75">
        <v>1</v>
      </c>
      <c r="AO75">
        <v>0</v>
      </c>
      <c r="AP75">
        <v>999</v>
      </c>
      <c r="AQ75">
        <v>430</v>
      </c>
      <c r="AR75">
        <v>430999</v>
      </c>
      <c r="AT75">
        <v>1</v>
      </c>
      <c r="AU75" t="s">
        <v>59</v>
      </c>
      <c r="AV75">
        <v>1000</v>
      </c>
      <c r="AW75">
        <v>1186.4000000000001</v>
      </c>
      <c r="AX75">
        <v>1500</v>
      </c>
      <c r="AY75">
        <v>1680.386</v>
      </c>
      <c r="AZ75">
        <v>1992.48</v>
      </c>
      <c r="BA75">
        <v>2399.98</v>
      </c>
      <c r="BB75">
        <v>2739.2040000000002</v>
      </c>
      <c r="BC75">
        <v>3000</v>
      </c>
      <c r="BD75">
        <v>3500</v>
      </c>
      <c r="BE75">
        <v>4000</v>
      </c>
      <c r="BF75">
        <v>4800</v>
      </c>
      <c r="BG75">
        <v>5000</v>
      </c>
      <c r="BH75">
        <v>5024.4139999999998</v>
      </c>
      <c r="BI75">
        <v>5617.9639999999999</v>
      </c>
      <c r="BJ75">
        <v>9836.84</v>
      </c>
      <c r="BK75">
        <v>12377.16</v>
      </c>
      <c r="BL75">
        <v>16956.52800000002</v>
      </c>
      <c r="BM75">
        <v>20247.331999999999</v>
      </c>
      <c r="BN75">
        <v>29364.69400000001</v>
      </c>
      <c r="BO75">
        <v>45000</v>
      </c>
      <c r="BP75">
        <v>1149602.8999999999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 x14ac:dyDescent="0.35">
      <c r="A76">
        <v>329397</v>
      </c>
      <c r="B76" t="s">
        <v>289</v>
      </c>
      <c r="C76" t="s">
        <v>290</v>
      </c>
      <c r="D76" s="1">
        <v>45757</v>
      </c>
      <c r="E76">
        <v>53850</v>
      </c>
      <c r="F76">
        <v>104</v>
      </c>
      <c r="G76" t="s">
        <v>54</v>
      </c>
      <c r="H76" t="s">
        <v>48</v>
      </c>
      <c r="I76" t="s">
        <v>49</v>
      </c>
      <c r="K76" t="s">
        <v>423</v>
      </c>
      <c r="L76">
        <v>1043309506207</v>
      </c>
      <c r="M76">
        <v>20250408</v>
      </c>
      <c r="N76" t="s">
        <v>222</v>
      </c>
      <c r="P76" t="s">
        <v>303</v>
      </c>
      <c r="Q76" t="s">
        <v>50</v>
      </c>
      <c r="R76">
        <v>1058</v>
      </c>
      <c r="S76">
        <v>0</v>
      </c>
      <c r="T76">
        <v>420391</v>
      </c>
      <c r="U76" t="s">
        <v>424</v>
      </c>
      <c r="V76" t="s">
        <v>425</v>
      </c>
      <c r="W76" t="s">
        <v>73</v>
      </c>
      <c r="X76" t="s">
        <v>229</v>
      </c>
      <c r="Y76" t="s">
        <v>52</v>
      </c>
      <c r="Z76">
        <v>1902</v>
      </c>
      <c r="AH76">
        <v>0</v>
      </c>
      <c r="AI76">
        <v>202504</v>
      </c>
      <c r="AJ76" t="s">
        <v>55</v>
      </c>
      <c r="AK76">
        <v>0</v>
      </c>
      <c r="AL76">
        <v>1</v>
      </c>
      <c r="AO76">
        <v>0</v>
      </c>
      <c r="AP76">
        <v>999</v>
      </c>
      <c r="AQ76">
        <v>615</v>
      </c>
      <c r="AR76">
        <v>615999</v>
      </c>
      <c r="AT76">
        <v>1</v>
      </c>
      <c r="AU76" t="s">
        <v>65</v>
      </c>
      <c r="AV76">
        <v>1000</v>
      </c>
      <c r="AW76">
        <v>1186.4000000000001</v>
      </c>
      <c r="AX76">
        <v>1500</v>
      </c>
      <c r="AY76">
        <v>1680.386</v>
      </c>
      <c r="AZ76">
        <v>1992.48</v>
      </c>
      <c r="BA76">
        <v>2399.98</v>
      </c>
      <c r="BB76">
        <v>2739.2040000000002</v>
      </c>
      <c r="BC76">
        <v>3000</v>
      </c>
      <c r="BD76">
        <v>3500</v>
      </c>
      <c r="BE76">
        <v>4000</v>
      </c>
      <c r="BF76">
        <v>4800</v>
      </c>
      <c r="BG76">
        <v>5000</v>
      </c>
      <c r="BH76">
        <v>5024.4139999999998</v>
      </c>
      <c r="BI76">
        <v>5617.9639999999999</v>
      </c>
      <c r="BJ76">
        <v>9836.84</v>
      </c>
      <c r="BK76">
        <v>12377.16</v>
      </c>
      <c r="BL76">
        <v>16956.52800000002</v>
      </c>
      <c r="BM76">
        <v>20247.331999999999</v>
      </c>
      <c r="BN76">
        <v>29364.69400000001</v>
      </c>
      <c r="BO76">
        <v>45000</v>
      </c>
      <c r="BP76">
        <v>1149602.8999999999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 x14ac:dyDescent="0.35">
      <c r="A77">
        <v>329396</v>
      </c>
      <c r="B77" t="s">
        <v>289</v>
      </c>
      <c r="C77" t="s">
        <v>290</v>
      </c>
      <c r="D77" s="1">
        <v>45757</v>
      </c>
      <c r="E77">
        <v>53850</v>
      </c>
      <c r="F77">
        <v>104</v>
      </c>
      <c r="G77" t="s">
        <v>54</v>
      </c>
      <c r="H77" t="s">
        <v>48</v>
      </c>
      <c r="I77" t="s">
        <v>49</v>
      </c>
      <c r="K77" t="s">
        <v>426</v>
      </c>
      <c r="L77">
        <v>1043309506207</v>
      </c>
      <c r="M77">
        <v>20250408</v>
      </c>
      <c r="N77" t="s">
        <v>222</v>
      </c>
      <c r="P77" t="s">
        <v>303</v>
      </c>
      <c r="Q77" t="s">
        <v>50</v>
      </c>
      <c r="R77">
        <v>1244</v>
      </c>
      <c r="S77">
        <v>0</v>
      </c>
      <c r="T77">
        <v>420391</v>
      </c>
      <c r="U77" t="s">
        <v>424</v>
      </c>
      <c r="V77" t="s">
        <v>425</v>
      </c>
      <c r="W77" t="s">
        <v>73</v>
      </c>
      <c r="X77" t="s">
        <v>229</v>
      </c>
      <c r="Y77" t="s">
        <v>52</v>
      </c>
      <c r="Z77">
        <v>1902</v>
      </c>
      <c r="AH77">
        <v>0</v>
      </c>
      <c r="AI77">
        <v>202504</v>
      </c>
      <c r="AJ77" t="s">
        <v>55</v>
      </c>
      <c r="AK77">
        <v>0</v>
      </c>
      <c r="AL77">
        <v>1</v>
      </c>
      <c r="AO77">
        <v>0</v>
      </c>
      <c r="AP77">
        <v>999</v>
      </c>
      <c r="AQ77">
        <v>615</v>
      </c>
      <c r="AR77">
        <v>615999</v>
      </c>
      <c r="AT77">
        <v>1</v>
      </c>
      <c r="AU77" t="s">
        <v>65</v>
      </c>
      <c r="AV77">
        <v>1000</v>
      </c>
      <c r="AW77">
        <v>1186.4000000000001</v>
      </c>
      <c r="AX77">
        <v>1500</v>
      </c>
      <c r="AY77">
        <v>1680.386</v>
      </c>
      <c r="AZ77">
        <v>1992.48</v>
      </c>
      <c r="BA77">
        <v>2399.98</v>
      </c>
      <c r="BB77">
        <v>2739.2040000000002</v>
      </c>
      <c r="BC77">
        <v>3000</v>
      </c>
      <c r="BD77">
        <v>3500</v>
      </c>
      <c r="BE77">
        <v>4000</v>
      </c>
      <c r="BF77">
        <v>4800</v>
      </c>
      <c r="BG77">
        <v>5000</v>
      </c>
      <c r="BH77">
        <v>5024.4139999999998</v>
      </c>
      <c r="BI77">
        <v>5617.9639999999999</v>
      </c>
      <c r="BJ77">
        <v>9836.84</v>
      </c>
      <c r="BK77">
        <v>12377.16</v>
      </c>
      <c r="BL77">
        <v>16956.52800000002</v>
      </c>
      <c r="BM77">
        <v>20247.331999999999</v>
      </c>
      <c r="BN77">
        <v>29364.69400000001</v>
      </c>
      <c r="BO77">
        <v>45000</v>
      </c>
      <c r="BP77">
        <v>1149602.8999999999</v>
      </c>
      <c r="BQ77">
        <v>1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 x14ac:dyDescent="0.35">
      <c r="A78">
        <v>329389</v>
      </c>
      <c r="B78" t="s">
        <v>289</v>
      </c>
      <c r="C78" t="s">
        <v>290</v>
      </c>
      <c r="D78" s="1">
        <v>45756</v>
      </c>
      <c r="E78">
        <v>53850</v>
      </c>
      <c r="F78">
        <v>136</v>
      </c>
      <c r="G78" t="s">
        <v>78</v>
      </c>
      <c r="H78" t="s">
        <v>48</v>
      </c>
      <c r="I78" t="s">
        <v>49</v>
      </c>
      <c r="K78" t="s">
        <v>427</v>
      </c>
      <c r="L78">
        <v>1363300010842</v>
      </c>
      <c r="M78">
        <v>20250408</v>
      </c>
      <c r="N78" t="s">
        <v>222</v>
      </c>
      <c r="P78" t="s">
        <v>303</v>
      </c>
      <c r="Q78" t="s">
        <v>61</v>
      </c>
      <c r="R78">
        <v>1500</v>
      </c>
      <c r="S78">
        <v>0</v>
      </c>
      <c r="T78">
        <v>4855833</v>
      </c>
      <c r="U78">
        <v>2486870740</v>
      </c>
      <c r="V78" t="s">
        <v>428</v>
      </c>
      <c r="W78" t="s">
        <v>58</v>
      </c>
      <c r="X78" t="s">
        <v>230</v>
      </c>
      <c r="Y78" t="s">
        <v>52</v>
      </c>
      <c r="Z78">
        <v>1909</v>
      </c>
      <c r="AH78">
        <v>0</v>
      </c>
      <c r="AI78">
        <v>202504</v>
      </c>
      <c r="AJ78" t="s">
        <v>203</v>
      </c>
      <c r="AK78">
        <v>1</v>
      </c>
      <c r="AL78">
        <v>1</v>
      </c>
      <c r="AO78">
        <v>0</v>
      </c>
      <c r="AP78">
        <v>493</v>
      </c>
      <c r="AQ78">
        <v>430</v>
      </c>
      <c r="AR78">
        <v>430493</v>
      </c>
      <c r="AS78" t="s">
        <v>65</v>
      </c>
      <c r="AU78" t="s">
        <v>65</v>
      </c>
      <c r="AV78">
        <v>1000</v>
      </c>
      <c r="AW78">
        <v>1186.4000000000001</v>
      </c>
      <c r="AX78">
        <v>1500</v>
      </c>
      <c r="AY78">
        <v>1680.386</v>
      </c>
      <c r="AZ78">
        <v>1992.48</v>
      </c>
      <c r="BA78">
        <v>2399.98</v>
      </c>
      <c r="BB78">
        <v>2739.2040000000002</v>
      </c>
      <c r="BC78">
        <v>3000</v>
      </c>
      <c r="BD78">
        <v>3500</v>
      </c>
      <c r="BE78">
        <v>4000</v>
      </c>
      <c r="BF78">
        <v>4800</v>
      </c>
      <c r="BG78">
        <v>5000</v>
      </c>
      <c r="BH78">
        <v>5024.4139999999998</v>
      </c>
      <c r="BI78">
        <v>5617.9639999999999</v>
      </c>
      <c r="BJ78">
        <v>9836.84</v>
      </c>
      <c r="BK78">
        <v>12377.16</v>
      </c>
      <c r="BL78">
        <v>16956.52800000002</v>
      </c>
      <c r="BM78">
        <v>20247.331999999999</v>
      </c>
      <c r="BN78">
        <v>29364.69400000001</v>
      </c>
      <c r="BO78">
        <v>45000</v>
      </c>
      <c r="BP78">
        <v>1149602.8999999999</v>
      </c>
      <c r="BQ78">
        <v>1</v>
      </c>
      <c r="BR78">
        <v>1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 x14ac:dyDescent="0.35">
      <c r="A79">
        <v>329383</v>
      </c>
      <c r="B79" t="s">
        <v>289</v>
      </c>
      <c r="C79" t="s">
        <v>290</v>
      </c>
      <c r="D79" s="1">
        <v>45756</v>
      </c>
      <c r="E79">
        <v>53850</v>
      </c>
      <c r="F79">
        <v>261</v>
      </c>
      <c r="G79" t="s">
        <v>96</v>
      </c>
      <c r="H79" t="s">
        <v>48</v>
      </c>
      <c r="I79" t="s">
        <v>49</v>
      </c>
      <c r="K79" t="s">
        <v>429</v>
      </c>
      <c r="L79">
        <v>2613300001265</v>
      </c>
      <c r="M79">
        <v>20250408</v>
      </c>
      <c r="N79" t="s">
        <v>222</v>
      </c>
      <c r="P79" t="s">
        <v>296</v>
      </c>
      <c r="Q79" t="s">
        <v>61</v>
      </c>
      <c r="R79">
        <v>1000</v>
      </c>
      <c r="S79">
        <v>0</v>
      </c>
      <c r="T79">
        <v>1625403</v>
      </c>
      <c r="U79" t="s">
        <v>392</v>
      </c>
      <c r="V79" t="s">
        <v>393</v>
      </c>
      <c r="W79" t="s">
        <v>51</v>
      </c>
      <c r="Y79" t="s">
        <v>52</v>
      </c>
      <c r="Z79">
        <v>1755</v>
      </c>
      <c r="AH79">
        <v>0</v>
      </c>
      <c r="AI79">
        <v>202504</v>
      </c>
      <c r="AJ79" t="s">
        <v>68</v>
      </c>
      <c r="AK79">
        <v>0</v>
      </c>
      <c r="AL79">
        <v>1</v>
      </c>
      <c r="AO79">
        <v>0</v>
      </c>
      <c r="AP79">
        <v>999</v>
      </c>
      <c r="AQ79">
        <v>600</v>
      </c>
      <c r="AR79">
        <v>600999</v>
      </c>
      <c r="AS79" t="s">
        <v>53</v>
      </c>
      <c r="AU79" t="s">
        <v>53</v>
      </c>
      <c r="AV79">
        <v>1000</v>
      </c>
      <c r="AW79">
        <v>1186.4000000000001</v>
      </c>
      <c r="AX79">
        <v>1500</v>
      </c>
      <c r="AY79">
        <v>1680.386</v>
      </c>
      <c r="AZ79">
        <v>1992.48</v>
      </c>
      <c r="BA79">
        <v>2399.98</v>
      </c>
      <c r="BB79">
        <v>2739.2040000000002</v>
      </c>
      <c r="BC79">
        <v>3000</v>
      </c>
      <c r="BD79">
        <v>3500</v>
      </c>
      <c r="BE79">
        <v>4000</v>
      </c>
      <c r="BF79">
        <v>4800</v>
      </c>
      <c r="BG79">
        <v>5000</v>
      </c>
      <c r="BH79">
        <v>5024.4139999999998</v>
      </c>
      <c r="BI79">
        <v>5617.9639999999999</v>
      </c>
      <c r="BJ79">
        <v>9836.84</v>
      </c>
      <c r="BK79">
        <v>12377.16</v>
      </c>
      <c r="BL79">
        <v>16956.52800000002</v>
      </c>
      <c r="BM79">
        <v>20247.331999999999</v>
      </c>
      <c r="BN79">
        <v>29364.69400000001</v>
      </c>
      <c r="BO79">
        <v>45000</v>
      </c>
      <c r="BP79">
        <v>1149602.8999999999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 x14ac:dyDescent="0.35">
      <c r="A80">
        <v>329362</v>
      </c>
      <c r="B80" t="s">
        <v>289</v>
      </c>
      <c r="C80" t="s">
        <v>290</v>
      </c>
      <c r="D80" s="1">
        <v>45756</v>
      </c>
      <c r="E80">
        <v>53850</v>
      </c>
      <c r="F80">
        <v>178</v>
      </c>
      <c r="G80" t="s">
        <v>60</v>
      </c>
      <c r="H80" t="s">
        <v>48</v>
      </c>
      <c r="I80" t="s">
        <v>49</v>
      </c>
      <c r="K80" t="s">
        <v>430</v>
      </c>
      <c r="L80">
        <v>1783301004302</v>
      </c>
      <c r="M80">
        <v>20250408</v>
      </c>
      <c r="N80" t="s">
        <v>222</v>
      </c>
      <c r="P80" t="s">
        <v>136</v>
      </c>
      <c r="Q80" t="s">
        <v>50</v>
      </c>
      <c r="R80">
        <v>2399.98</v>
      </c>
      <c r="S80">
        <v>0</v>
      </c>
      <c r="T80">
        <v>4846279</v>
      </c>
      <c r="U80" t="s">
        <v>431</v>
      </c>
      <c r="V80" t="s">
        <v>432</v>
      </c>
      <c r="W80" t="s">
        <v>101</v>
      </c>
      <c r="X80" t="s">
        <v>433</v>
      </c>
      <c r="Y80" t="s">
        <v>52</v>
      </c>
      <c r="Z80">
        <v>746</v>
      </c>
      <c r="AH80">
        <v>0</v>
      </c>
      <c r="AI80">
        <v>202504</v>
      </c>
      <c r="AJ80" t="s">
        <v>68</v>
      </c>
      <c r="AK80">
        <v>0</v>
      </c>
      <c r="AL80">
        <v>1</v>
      </c>
      <c r="AO80">
        <v>0</v>
      </c>
      <c r="AP80">
        <v>999</v>
      </c>
      <c r="AQ80">
        <v>614</v>
      </c>
      <c r="AR80">
        <v>614999</v>
      </c>
      <c r="AT80">
        <v>1</v>
      </c>
      <c r="AU80" t="s">
        <v>65</v>
      </c>
      <c r="AV80">
        <v>1000</v>
      </c>
      <c r="AW80">
        <v>1186.4000000000001</v>
      </c>
      <c r="AX80">
        <v>1500</v>
      </c>
      <c r="AY80">
        <v>1680.386</v>
      </c>
      <c r="AZ80">
        <v>1992.48</v>
      </c>
      <c r="BA80">
        <v>2399.98</v>
      </c>
      <c r="BB80">
        <v>2739.2040000000002</v>
      </c>
      <c r="BC80">
        <v>3000</v>
      </c>
      <c r="BD80">
        <v>3500</v>
      </c>
      <c r="BE80">
        <v>4000</v>
      </c>
      <c r="BF80">
        <v>4800</v>
      </c>
      <c r="BG80">
        <v>5000</v>
      </c>
      <c r="BH80">
        <v>5024.4139999999998</v>
      </c>
      <c r="BI80">
        <v>5617.9639999999999</v>
      </c>
      <c r="BJ80">
        <v>9836.84</v>
      </c>
      <c r="BK80">
        <v>12377.16</v>
      </c>
      <c r="BL80">
        <v>16956.52800000002</v>
      </c>
      <c r="BM80">
        <v>20247.331999999999</v>
      </c>
      <c r="BN80">
        <v>29364.69400000001</v>
      </c>
      <c r="BO80">
        <v>45000</v>
      </c>
      <c r="BP80">
        <v>1149602.8999999999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 x14ac:dyDescent="0.35">
      <c r="A81">
        <v>329345</v>
      </c>
      <c r="B81" t="s">
        <v>289</v>
      </c>
      <c r="C81" t="s">
        <v>290</v>
      </c>
      <c r="D81" s="1">
        <v>45755</v>
      </c>
      <c r="E81">
        <v>53850</v>
      </c>
      <c r="F81">
        <v>268</v>
      </c>
      <c r="G81" t="s">
        <v>216</v>
      </c>
      <c r="H81" t="s">
        <v>48</v>
      </c>
      <c r="I81" t="s">
        <v>49</v>
      </c>
      <c r="K81">
        <v>202504077875826</v>
      </c>
      <c r="L81">
        <v>2681147800157</v>
      </c>
      <c r="M81">
        <v>20250407</v>
      </c>
      <c r="N81" t="s">
        <v>222</v>
      </c>
      <c r="P81" t="s">
        <v>350</v>
      </c>
      <c r="Q81" t="s">
        <v>50</v>
      </c>
      <c r="R81">
        <v>292246.8</v>
      </c>
      <c r="S81">
        <v>0</v>
      </c>
      <c r="T81">
        <v>1606212</v>
      </c>
      <c r="U81">
        <v>1495180794</v>
      </c>
      <c r="V81" t="s">
        <v>217</v>
      </c>
      <c r="W81" t="s">
        <v>58</v>
      </c>
      <c r="X81" t="s">
        <v>218</v>
      </c>
      <c r="Y81" t="s">
        <v>52</v>
      </c>
      <c r="Z81">
        <v>1627</v>
      </c>
      <c r="AH81">
        <v>0</v>
      </c>
      <c r="AI81">
        <v>202504</v>
      </c>
      <c r="AJ81" t="s">
        <v>203</v>
      </c>
      <c r="AK81">
        <v>1</v>
      </c>
      <c r="AL81">
        <v>1</v>
      </c>
      <c r="AO81">
        <v>0</v>
      </c>
      <c r="AP81">
        <v>999</v>
      </c>
      <c r="AQ81">
        <v>430</v>
      </c>
      <c r="AR81">
        <v>430999</v>
      </c>
      <c r="AT81">
        <v>1</v>
      </c>
      <c r="AU81" t="s">
        <v>59</v>
      </c>
      <c r="AV81">
        <v>1000</v>
      </c>
      <c r="AW81">
        <v>1186.4000000000001</v>
      </c>
      <c r="AX81">
        <v>1500</v>
      </c>
      <c r="AY81">
        <v>1680.386</v>
      </c>
      <c r="AZ81">
        <v>1992.48</v>
      </c>
      <c r="BA81">
        <v>2399.98</v>
      </c>
      <c r="BB81">
        <v>2739.2040000000002</v>
      </c>
      <c r="BC81">
        <v>3000</v>
      </c>
      <c r="BD81">
        <v>3500</v>
      </c>
      <c r="BE81">
        <v>4000</v>
      </c>
      <c r="BF81">
        <v>4800</v>
      </c>
      <c r="BG81">
        <v>5000</v>
      </c>
      <c r="BH81">
        <v>5024.4139999999998</v>
      </c>
      <c r="BI81">
        <v>5617.9639999999999</v>
      </c>
      <c r="BJ81">
        <v>9836.84</v>
      </c>
      <c r="BK81">
        <v>12377.16</v>
      </c>
      <c r="BL81">
        <v>16956.52800000002</v>
      </c>
      <c r="BM81">
        <v>20247.331999999999</v>
      </c>
      <c r="BN81">
        <v>29364.69400000001</v>
      </c>
      <c r="BO81">
        <v>45000</v>
      </c>
      <c r="BP81">
        <v>1149602.8999999999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0</v>
      </c>
    </row>
    <row r="82" spans="1:89" x14ac:dyDescent="0.35">
      <c r="A82">
        <v>329333</v>
      </c>
      <c r="B82" t="s">
        <v>289</v>
      </c>
      <c r="C82" t="s">
        <v>290</v>
      </c>
      <c r="D82" s="1">
        <v>45755</v>
      </c>
      <c r="E82">
        <v>53850</v>
      </c>
      <c r="F82">
        <v>149</v>
      </c>
      <c r="G82" t="s">
        <v>107</v>
      </c>
      <c r="H82" t="s">
        <v>48</v>
      </c>
      <c r="I82" t="s">
        <v>49</v>
      </c>
      <c r="K82">
        <v>202504077874784</v>
      </c>
      <c r="L82">
        <v>1493300663564</v>
      </c>
      <c r="M82">
        <v>20250407</v>
      </c>
      <c r="N82" t="s">
        <v>222</v>
      </c>
      <c r="P82" t="s">
        <v>303</v>
      </c>
      <c r="Q82" t="s">
        <v>61</v>
      </c>
      <c r="R82">
        <v>5486</v>
      </c>
      <c r="S82">
        <v>0</v>
      </c>
      <c r="T82">
        <v>4851736</v>
      </c>
      <c r="U82">
        <v>8243781211</v>
      </c>
      <c r="V82" t="s">
        <v>316</v>
      </c>
      <c r="W82" t="s">
        <v>58</v>
      </c>
      <c r="X82" t="s">
        <v>137</v>
      </c>
      <c r="Y82" t="s">
        <v>52</v>
      </c>
      <c r="Z82">
        <v>1256</v>
      </c>
      <c r="AH82">
        <v>0</v>
      </c>
      <c r="AI82">
        <v>202504</v>
      </c>
      <c r="AJ82" t="s">
        <v>55</v>
      </c>
      <c r="AK82">
        <v>0</v>
      </c>
      <c r="AL82">
        <v>1</v>
      </c>
      <c r="AO82">
        <v>0</v>
      </c>
      <c r="AP82">
        <v>999</v>
      </c>
      <c r="AQ82">
        <v>430</v>
      </c>
      <c r="AR82">
        <v>430999</v>
      </c>
      <c r="AT82">
        <v>1</v>
      </c>
      <c r="AU82" t="s">
        <v>59</v>
      </c>
      <c r="AV82">
        <v>1000</v>
      </c>
      <c r="AW82">
        <v>1186.4000000000001</v>
      </c>
      <c r="AX82">
        <v>1500</v>
      </c>
      <c r="AY82">
        <v>1680.386</v>
      </c>
      <c r="AZ82">
        <v>1992.48</v>
      </c>
      <c r="BA82">
        <v>2399.98</v>
      </c>
      <c r="BB82">
        <v>2739.2040000000002</v>
      </c>
      <c r="BC82">
        <v>3000</v>
      </c>
      <c r="BD82">
        <v>3500</v>
      </c>
      <c r="BE82">
        <v>4000</v>
      </c>
      <c r="BF82">
        <v>4800</v>
      </c>
      <c r="BG82">
        <v>5000</v>
      </c>
      <c r="BH82">
        <v>5024.4139999999998</v>
      </c>
      <c r="BI82">
        <v>5617.9639999999999</v>
      </c>
      <c r="BJ82">
        <v>9836.84</v>
      </c>
      <c r="BK82">
        <v>12377.16</v>
      </c>
      <c r="BL82">
        <v>16956.52800000002</v>
      </c>
      <c r="BM82">
        <v>20247.331999999999</v>
      </c>
      <c r="BN82">
        <v>29364.69400000001</v>
      </c>
      <c r="BO82">
        <v>45000</v>
      </c>
      <c r="BP82">
        <v>1149602.8999999999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 x14ac:dyDescent="0.35">
      <c r="A83">
        <v>329315</v>
      </c>
      <c r="B83" t="s">
        <v>289</v>
      </c>
      <c r="C83" t="s">
        <v>290</v>
      </c>
      <c r="D83" s="1">
        <v>45755</v>
      </c>
      <c r="E83">
        <v>53850</v>
      </c>
      <c r="F83">
        <v>268</v>
      </c>
      <c r="G83" t="s">
        <v>216</v>
      </c>
      <c r="H83" t="s">
        <v>48</v>
      </c>
      <c r="I83" t="s">
        <v>49</v>
      </c>
      <c r="K83">
        <v>202504077875827</v>
      </c>
      <c r="L83">
        <v>2681147800157</v>
      </c>
      <c r="M83">
        <v>20250407</v>
      </c>
      <c r="N83" t="s">
        <v>222</v>
      </c>
      <c r="P83" t="s">
        <v>350</v>
      </c>
      <c r="Q83" t="s">
        <v>50</v>
      </c>
      <c r="R83">
        <v>292048.43</v>
      </c>
      <c r="S83">
        <v>0</v>
      </c>
      <c r="T83">
        <v>1606212</v>
      </c>
      <c r="U83">
        <v>1495180794</v>
      </c>
      <c r="V83" t="s">
        <v>217</v>
      </c>
      <c r="W83" t="s">
        <v>58</v>
      </c>
      <c r="X83" t="s">
        <v>218</v>
      </c>
      <c r="Y83" t="s">
        <v>52</v>
      </c>
      <c r="Z83">
        <v>1627</v>
      </c>
      <c r="AH83">
        <v>0</v>
      </c>
      <c r="AI83">
        <v>202504</v>
      </c>
      <c r="AJ83" t="s">
        <v>203</v>
      </c>
      <c r="AK83">
        <v>1</v>
      </c>
      <c r="AL83">
        <v>1</v>
      </c>
      <c r="AO83">
        <v>0</v>
      </c>
      <c r="AP83">
        <v>999</v>
      </c>
      <c r="AQ83">
        <v>430</v>
      </c>
      <c r="AR83">
        <v>430999</v>
      </c>
      <c r="AT83">
        <v>1</v>
      </c>
      <c r="AU83" t="s">
        <v>59</v>
      </c>
      <c r="AV83">
        <v>1000</v>
      </c>
      <c r="AW83">
        <v>1186.4000000000001</v>
      </c>
      <c r="AX83">
        <v>1500</v>
      </c>
      <c r="AY83">
        <v>1680.386</v>
      </c>
      <c r="AZ83">
        <v>1992.48</v>
      </c>
      <c r="BA83">
        <v>2399.98</v>
      </c>
      <c r="BB83">
        <v>2739.2040000000002</v>
      </c>
      <c r="BC83">
        <v>3000</v>
      </c>
      <c r="BD83">
        <v>3500</v>
      </c>
      <c r="BE83">
        <v>4000</v>
      </c>
      <c r="BF83">
        <v>4800</v>
      </c>
      <c r="BG83">
        <v>5000</v>
      </c>
      <c r="BH83">
        <v>5024.4139999999998</v>
      </c>
      <c r="BI83">
        <v>5617.9639999999999</v>
      </c>
      <c r="BJ83">
        <v>9836.84</v>
      </c>
      <c r="BK83">
        <v>12377.16</v>
      </c>
      <c r="BL83">
        <v>16956.52800000002</v>
      </c>
      <c r="BM83">
        <v>20247.331999999999</v>
      </c>
      <c r="BN83">
        <v>29364.69400000001</v>
      </c>
      <c r="BO83">
        <v>45000</v>
      </c>
      <c r="BP83">
        <v>1149602.8999999999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0</v>
      </c>
    </row>
    <row r="84" spans="1:89" x14ac:dyDescent="0.35">
      <c r="A84">
        <v>329310</v>
      </c>
      <c r="B84" t="s">
        <v>289</v>
      </c>
      <c r="C84" t="s">
        <v>290</v>
      </c>
      <c r="D84" s="1">
        <v>45755</v>
      </c>
      <c r="E84">
        <v>53850</v>
      </c>
      <c r="F84">
        <v>168</v>
      </c>
      <c r="G84" t="s">
        <v>213</v>
      </c>
      <c r="H84" t="s">
        <v>48</v>
      </c>
      <c r="I84" t="s">
        <v>49</v>
      </c>
      <c r="K84" t="s">
        <v>434</v>
      </c>
      <c r="L84">
        <v>1683306277308</v>
      </c>
      <c r="M84">
        <v>20250404</v>
      </c>
      <c r="N84" t="s">
        <v>222</v>
      </c>
      <c r="P84" t="s">
        <v>303</v>
      </c>
      <c r="Q84" t="s">
        <v>50</v>
      </c>
      <c r="R84">
        <v>4500</v>
      </c>
      <c r="S84">
        <v>0</v>
      </c>
      <c r="T84">
        <v>4950606</v>
      </c>
      <c r="U84">
        <v>7856760728</v>
      </c>
      <c r="V84" t="s">
        <v>435</v>
      </c>
      <c r="W84" t="s">
        <v>58</v>
      </c>
      <c r="X84" t="s">
        <v>108</v>
      </c>
      <c r="Y84" t="s">
        <v>52</v>
      </c>
      <c r="Z84">
        <v>1926</v>
      </c>
      <c r="AH84">
        <v>0</v>
      </c>
      <c r="AI84">
        <v>202504</v>
      </c>
      <c r="AJ84" t="s">
        <v>55</v>
      </c>
      <c r="AK84">
        <v>0</v>
      </c>
      <c r="AL84">
        <v>1</v>
      </c>
      <c r="AO84">
        <v>0</v>
      </c>
      <c r="AP84">
        <v>999</v>
      </c>
      <c r="AQ84">
        <v>430</v>
      </c>
      <c r="AR84">
        <v>430999</v>
      </c>
      <c r="AT84">
        <v>1</v>
      </c>
      <c r="AU84" t="s">
        <v>59</v>
      </c>
      <c r="AV84">
        <v>1000</v>
      </c>
      <c r="AW84">
        <v>1186.4000000000001</v>
      </c>
      <c r="AX84">
        <v>1500</v>
      </c>
      <c r="AY84">
        <v>1680.386</v>
      </c>
      <c r="AZ84">
        <v>1992.48</v>
      </c>
      <c r="BA84">
        <v>2399.98</v>
      </c>
      <c r="BB84">
        <v>2739.2040000000002</v>
      </c>
      <c r="BC84">
        <v>3000</v>
      </c>
      <c r="BD84">
        <v>3500</v>
      </c>
      <c r="BE84">
        <v>4000</v>
      </c>
      <c r="BF84">
        <v>4800</v>
      </c>
      <c r="BG84">
        <v>5000</v>
      </c>
      <c r="BH84">
        <v>5024.4139999999998</v>
      </c>
      <c r="BI84">
        <v>5617.9639999999999</v>
      </c>
      <c r="BJ84">
        <v>9836.84</v>
      </c>
      <c r="BK84">
        <v>12377.16</v>
      </c>
      <c r="BL84">
        <v>16956.52800000002</v>
      </c>
      <c r="BM84">
        <v>20247.331999999999</v>
      </c>
      <c r="BN84">
        <v>29364.69400000001</v>
      </c>
      <c r="BO84">
        <v>45000</v>
      </c>
      <c r="BP84">
        <v>1149602.8999999999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 x14ac:dyDescent="0.35">
      <c r="A85">
        <v>329294</v>
      </c>
      <c r="B85" t="s">
        <v>289</v>
      </c>
      <c r="C85" t="s">
        <v>290</v>
      </c>
      <c r="D85" s="1">
        <v>45752</v>
      </c>
      <c r="E85">
        <v>53850</v>
      </c>
      <c r="F85">
        <v>145</v>
      </c>
      <c r="G85" t="s">
        <v>77</v>
      </c>
      <c r="H85" t="s">
        <v>48</v>
      </c>
      <c r="I85" t="s">
        <v>49</v>
      </c>
      <c r="K85">
        <v>202504047867699</v>
      </c>
      <c r="L85">
        <v>1453300003997</v>
      </c>
      <c r="M85">
        <v>20250404</v>
      </c>
      <c r="N85" t="s">
        <v>222</v>
      </c>
      <c r="P85" t="s">
        <v>303</v>
      </c>
      <c r="Q85" t="s">
        <v>61</v>
      </c>
      <c r="R85">
        <v>11000</v>
      </c>
      <c r="S85">
        <v>0</v>
      </c>
      <c r="T85">
        <v>3737833</v>
      </c>
      <c r="U85">
        <v>10171711210</v>
      </c>
      <c r="V85" t="s">
        <v>388</v>
      </c>
      <c r="W85" t="s">
        <v>58</v>
      </c>
      <c r="X85" t="s">
        <v>86</v>
      </c>
      <c r="Y85" t="s">
        <v>52</v>
      </c>
      <c r="AH85">
        <v>0</v>
      </c>
      <c r="AI85">
        <v>202504</v>
      </c>
      <c r="AJ85" t="s">
        <v>68</v>
      </c>
      <c r="AK85">
        <v>0</v>
      </c>
      <c r="AL85">
        <v>1</v>
      </c>
      <c r="AO85">
        <v>0</v>
      </c>
      <c r="AP85">
        <v>463</v>
      </c>
      <c r="AQ85">
        <v>430</v>
      </c>
      <c r="AR85">
        <v>430463</v>
      </c>
      <c r="AS85" t="s">
        <v>65</v>
      </c>
      <c r="AU85" t="s">
        <v>65</v>
      </c>
      <c r="AV85">
        <v>1000</v>
      </c>
      <c r="AW85">
        <v>1186.4000000000001</v>
      </c>
      <c r="AX85">
        <v>1500</v>
      </c>
      <c r="AY85">
        <v>1680.386</v>
      </c>
      <c r="AZ85">
        <v>1992.48</v>
      </c>
      <c r="BA85">
        <v>2399.98</v>
      </c>
      <c r="BB85">
        <v>2739.2040000000002</v>
      </c>
      <c r="BC85">
        <v>3000</v>
      </c>
      <c r="BD85">
        <v>3500</v>
      </c>
      <c r="BE85">
        <v>4000</v>
      </c>
      <c r="BF85">
        <v>4800</v>
      </c>
      <c r="BG85">
        <v>5000</v>
      </c>
      <c r="BH85">
        <v>5024.4139999999998</v>
      </c>
      <c r="BI85">
        <v>5617.9639999999999</v>
      </c>
      <c r="BJ85">
        <v>9836.84</v>
      </c>
      <c r="BK85">
        <v>12377.16</v>
      </c>
      <c r="BL85">
        <v>16956.52800000002</v>
      </c>
      <c r="BM85">
        <v>20247.331999999999</v>
      </c>
      <c r="BN85">
        <v>29364.69400000001</v>
      </c>
      <c r="BO85">
        <v>45000</v>
      </c>
      <c r="BP85">
        <v>1149602.8999999999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 x14ac:dyDescent="0.35">
      <c r="A86">
        <v>329285</v>
      </c>
      <c r="B86" t="s">
        <v>289</v>
      </c>
      <c r="C86" t="s">
        <v>290</v>
      </c>
      <c r="D86" s="1">
        <v>45752</v>
      </c>
      <c r="E86">
        <v>53850</v>
      </c>
      <c r="F86">
        <v>131</v>
      </c>
      <c r="G86" t="s">
        <v>207</v>
      </c>
      <c r="H86" t="s">
        <v>48</v>
      </c>
      <c r="I86" t="s">
        <v>49</v>
      </c>
      <c r="K86">
        <v>202504047867631</v>
      </c>
      <c r="L86">
        <v>1313300001588</v>
      </c>
      <c r="M86">
        <v>20250404</v>
      </c>
      <c r="N86" t="s">
        <v>222</v>
      </c>
      <c r="P86" t="s">
        <v>291</v>
      </c>
      <c r="Q86" t="s">
        <v>61</v>
      </c>
      <c r="R86">
        <v>17730</v>
      </c>
      <c r="S86">
        <v>0</v>
      </c>
      <c r="T86">
        <v>4121868</v>
      </c>
      <c r="U86">
        <v>5913290630</v>
      </c>
      <c r="V86" t="s">
        <v>436</v>
      </c>
      <c r="W86" t="s">
        <v>58</v>
      </c>
      <c r="X86" t="s">
        <v>437</v>
      </c>
      <c r="Y86" t="s">
        <v>52</v>
      </c>
      <c r="Z86">
        <v>739</v>
      </c>
      <c r="AH86">
        <v>0</v>
      </c>
      <c r="AI86">
        <v>202504</v>
      </c>
      <c r="AJ86" t="s">
        <v>68</v>
      </c>
      <c r="AK86">
        <v>0</v>
      </c>
      <c r="AL86">
        <v>1</v>
      </c>
      <c r="AO86">
        <v>0</v>
      </c>
      <c r="AP86">
        <v>999</v>
      </c>
      <c r="AQ86">
        <v>430</v>
      </c>
      <c r="AR86">
        <v>430999</v>
      </c>
      <c r="AT86">
        <v>1</v>
      </c>
      <c r="AU86" t="s">
        <v>59</v>
      </c>
      <c r="AV86">
        <v>1000</v>
      </c>
      <c r="AW86">
        <v>1186.4000000000001</v>
      </c>
      <c r="AX86">
        <v>1500</v>
      </c>
      <c r="AY86">
        <v>1680.386</v>
      </c>
      <c r="AZ86">
        <v>1992.48</v>
      </c>
      <c r="BA86">
        <v>2399.98</v>
      </c>
      <c r="BB86">
        <v>2739.2040000000002</v>
      </c>
      <c r="BC86">
        <v>3000</v>
      </c>
      <c r="BD86">
        <v>3500</v>
      </c>
      <c r="BE86">
        <v>4000</v>
      </c>
      <c r="BF86">
        <v>4800</v>
      </c>
      <c r="BG86">
        <v>5000</v>
      </c>
      <c r="BH86">
        <v>5024.4139999999998</v>
      </c>
      <c r="BI86">
        <v>5617.9639999999999</v>
      </c>
      <c r="BJ86">
        <v>9836.84</v>
      </c>
      <c r="BK86">
        <v>12377.16</v>
      </c>
      <c r="BL86">
        <v>16956.52800000002</v>
      </c>
      <c r="BM86">
        <v>20247.331999999999</v>
      </c>
      <c r="BN86">
        <v>29364.69400000001</v>
      </c>
      <c r="BO86">
        <v>45000</v>
      </c>
      <c r="BP86">
        <v>1149602.8999999999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0</v>
      </c>
      <c r="CI86">
        <v>0</v>
      </c>
      <c r="CJ86">
        <v>0</v>
      </c>
      <c r="CK86">
        <v>0</v>
      </c>
    </row>
    <row r="87" spans="1:89" x14ac:dyDescent="0.35">
      <c r="A87">
        <v>329266</v>
      </c>
      <c r="B87" t="s">
        <v>289</v>
      </c>
      <c r="C87" t="s">
        <v>290</v>
      </c>
      <c r="D87" s="1">
        <v>45752</v>
      </c>
      <c r="E87">
        <v>53850</v>
      </c>
      <c r="F87">
        <v>192</v>
      </c>
      <c r="G87" t="s">
        <v>87</v>
      </c>
      <c r="H87" t="s">
        <v>48</v>
      </c>
      <c r="I87" t="s">
        <v>49</v>
      </c>
      <c r="K87">
        <v>202504047867489</v>
      </c>
      <c r="L87">
        <v>1923300185011</v>
      </c>
      <c r="M87">
        <v>20250404</v>
      </c>
      <c r="N87" t="s">
        <v>222</v>
      </c>
      <c r="P87" t="s">
        <v>303</v>
      </c>
      <c r="Q87" t="s">
        <v>61</v>
      </c>
      <c r="R87">
        <v>5732</v>
      </c>
      <c r="S87">
        <v>0</v>
      </c>
      <c r="T87">
        <v>3710704</v>
      </c>
      <c r="U87" t="s">
        <v>438</v>
      </c>
      <c r="V87" t="s">
        <v>439</v>
      </c>
      <c r="W87" t="s">
        <v>73</v>
      </c>
      <c r="X87" t="s">
        <v>108</v>
      </c>
      <c r="Y87" t="s">
        <v>52</v>
      </c>
      <c r="Z87">
        <v>1907</v>
      </c>
      <c r="AH87">
        <v>0</v>
      </c>
      <c r="AI87">
        <v>202504</v>
      </c>
      <c r="AJ87" t="s">
        <v>55</v>
      </c>
      <c r="AK87">
        <v>0</v>
      </c>
      <c r="AL87">
        <v>1</v>
      </c>
      <c r="AO87">
        <v>0</v>
      </c>
      <c r="AP87">
        <v>999</v>
      </c>
      <c r="AQ87">
        <v>615</v>
      </c>
      <c r="AR87">
        <v>615999</v>
      </c>
      <c r="AT87">
        <v>1</v>
      </c>
      <c r="AU87" t="s">
        <v>65</v>
      </c>
      <c r="AV87">
        <v>1000</v>
      </c>
      <c r="AW87">
        <v>1186.4000000000001</v>
      </c>
      <c r="AX87">
        <v>1500</v>
      </c>
      <c r="AY87">
        <v>1680.386</v>
      </c>
      <c r="AZ87">
        <v>1992.48</v>
      </c>
      <c r="BA87">
        <v>2399.98</v>
      </c>
      <c r="BB87">
        <v>2739.2040000000002</v>
      </c>
      <c r="BC87">
        <v>3000</v>
      </c>
      <c r="BD87">
        <v>3500</v>
      </c>
      <c r="BE87">
        <v>4000</v>
      </c>
      <c r="BF87">
        <v>4800</v>
      </c>
      <c r="BG87">
        <v>5000</v>
      </c>
      <c r="BH87">
        <v>5024.4139999999998</v>
      </c>
      <c r="BI87">
        <v>5617.9639999999999</v>
      </c>
      <c r="BJ87">
        <v>9836.84</v>
      </c>
      <c r="BK87">
        <v>12377.16</v>
      </c>
      <c r="BL87">
        <v>16956.52800000002</v>
      </c>
      <c r="BM87">
        <v>20247.331999999999</v>
      </c>
      <c r="BN87">
        <v>29364.69400000001</v>
      </c>
      <c r="BO87">
        <v>45000</v>
      </c>
      <c r="BP87">
        <v>1149602.8999999999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 x14ac:dyDescent="0.35">
      <c r="A88">
        <v>329249</v>
      </c>
      <c r="B88" t="s">
        <v>289</v>
      </c>
      <c r="C88" t="s">
        <v>290</v>
      </c>
      <c r="D88" s="1">
        <v>45751</v>
      </c>
      <c r="E88">
        <v>53850</v>
      </c>
      <c r="F88">
        <v>199</v>
      </c>
      <c r="G88" t="s">
        <v>228</v>
      </c>
      <c r="H88" t="s">
        <v>48</v>
      </c>
      <c r="I88" t="s">
        <v>49</v>
      </c>
      <c r="K88" t="s">
        <v>440</v>
      </c>
      <c r="L88">
        <v>1993300003021</v>
      </c>
      <c r="M88">
        <v>20250403</v>
      </c>
      <c r="N88" t="s">
        <v>222</v>
      </c>
      <c r="P88" t="s">
        <v>303</v>
      </c>
      <c r="Q88" t="s">
        <v>50</v>
      </c>
      <c r="R88">
        <v>2000</v>
      </c>
      <c r="S88">
        <v>0</v>
      </c>
      <c r="T88">
        <v>4946318</v>
      </c>
      <c r="U88">
        <v>2571200746</v>
      </c>
      <c r="V88" t="s">
        <v>441</v>
      </c>
      <c r="W88" t="s">
        <v>442</v>
      </c>
      <c r="X88" t="s">
        <v>116</v>
      </c>
      <c r="Y88" t="s">
        <v>303</v>
      </c>
      <c r="Z88">
        <v>639</v>
      </c>
      <c r="AH88">
        <v>0</v>
      </c>
      <c r="AI88">
        <v>202504</v>
      </c>
      <c r="AJ88" t="s">
        <v>68</v>
      </c>
      <c r="AK88">
        <v>0</v>
      </c>
      <c r="AL88">
        <v>1</v>
      </c>
      <c r="AO88">
        <v>0</v>
      </c>
      <c r="AP88">
        <v>999</v>
      </c>
      <c r="AQ88">
        <v>758</v>
      </c>
      <c r="AR88">
        <v>758999</v>
      </c>
      <c r="AT88">
        <v>1</v>
      </c>
      <c r="AU88" t="s">
        <v>71</v>
      </c>
      <c r="AV88">
        <v>1000</v>
      </c>
      <c r="AW88">
        <v>1186.4000000000001</v>
      </c>
      <c r="AX88">
        <v>1500</v>
      </c>
      <c r="AY88">
        <v>1680.386</v>
      </c>
      <c r="AZ88">
        <v>1992.48</v>
      </c>
      <c r="BA88">
        <v>2399.98</v>
      </c>
      <c r="BB88">
        <v>2739.2040000000002</v>
      </c>
      <c r="BC88">
        <v>3000</v>
      </c>
      <c r="BD88">
        <v>3500</v>
      </c>
      <c r="BE88">
        <v>4000</v>
      </c>
      <c r="BF88">
        <v>4800</v>
      </c>
      <c r="BG88">
        <v>5000</v>
      </c>
      <c r="BH88">
        <v>5024.4139999999998</v>
      </c>
      <c r="BI88">
        <v>5617.9639999999999</v>
      </c>
      <c r="BJ88">
        <v>9836.84</v>
      </c>
      <c r="BK88">
        <v>12377.16</v>
      </c>
      <c r="BL88">
        <v>16956.52800000002</v>
      </c>
      <c r="BM88">
        <v>20247.331999999999</v>
      </c>
      <c r="BN88">
        <v>29364.69400000001</v>
      </c>
      <c r="BO88">
        <v>45000</v>
      </c>
      <c r="BP88">
        <v>1149602.8999999999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 x14ac:dyDescent="0.35">
      <c r="A89">
        <v>329246</v>
      </c>
      <c r="B89" t="s">
        <v>289</v>
      </c>
      <c r="C89" t="s">
        <v>290</v>
      </c>
      <c r="D89" s="1">
        <v>45751</v>
      </c>
      <c r="E89">
        <v>53850</v>
      </c>
      <c r="F89">
        <v>199</v>
      </c>
      <c r="G89" t="s">
        <v>228</v>
      </c>
      <c r="H89" t="s">
        <v>48</v>
      </c>
      <c r="I89" t="s">
        <v>49</v>
      </c>
      <c r="K89">
        <v>202504037864274</v>
      </c>
      <c r="L89">
        <v>1993300003021</v>
      </c>
      <c r="M89">
        <v>20250403</v>
      </c>
      <c r="N89" t="s">
        <v>222</v>
      </c>
      <c r="P89" t="s">
        <v>303</v>
      </c>
      <c r="Q89" t="s">
        <v>50</v>
      </c>
      <c r="R89">
        <v>5000</v>
      </c>
      <c r="S89">
        <v>0</v>
      </c>
      <c r="T89">
        <v>4946318</v>
      </c>
      <c r="U89">
        <v>2571200746</v>
      </c>
      <c r="V89" t="s">
        <v>441</v>
      </c>
      <c r="W89" t="s">
        <v>442</v>
      </c>
      <c r="X89" t="s">
        <v>116</v>
      </c>
      <c r="Y89" t="s">
        <v>303</v>
      </c>
      <c r="Z89">
        <v>639</v>
      </c>
      <c r="AH89">
        <v>0</v>
      </c>
      <c r="AI89">
        <v>202504</v>
      </c>
      <c r="AJ89" t="s">
        <v>68</v>
      </c>
      <c r="AK89">
        <v>0</v>
      </c>
      <c r="AL89">
        <v>1</v>
      </c>
      <c r="AO89">
        <v>0</v>
      </c>
      <c r="AP89">
        <v>999</v>
      </c>
      <c r="AQ89">
        <v>758</v>
      </c>
      <c r="AR89">
        <v>758999</v>
      </c>
      <c r="AT89">
        <v>1</v>
      </c>
      <c r="AU89" t="s">
        <v>71</v>
      </c>
      <c r="AV89">
        <v>1000</v>
      </c>
      <c r="AW89">
        <v>1186.4000000000001</v>
      </c>
      <c r="AX89">
        <v>1500</v>
      </c>
      <c r="AY89">
        <v>1680.386</v>
      </c>
      <c r="AZ89">
        <v>1992.48</v>
      </c>
      <c r="BA89">
        <v>2399.98</v>
      </c>
      <c r="BB89">
        <v>2739.2040000000002</v>
      </c>
      <c r="BC89">
        <v>3000</v>
      </c>
      <c r="BD89">
        <v>3500</v>
      </c>
      <c r="BE89">
        <v>4000</v>
      </c>
      <c r="BF89">
        <v>4800</v>
      </c>
      <c r="BG89">
        <v>5000</v>
      </c>
      <c r="BH89">
        <v>5024.4139999999998</v>
      </c>
      <c r="BI89">
        <v>5617.9639999999999</v>
      </c>
      <c r="BJ89">
        <v>9836.84</v>
      </c>
      <c r="BK89">
        <v>12377.16</v>
      </c>
      <c r="BL89">
        <v>16956.52800000002</v>
      </c>
      <c r="BM89">
        <v>20247.331999999999</v>
      </c>
      <c r="BN89">
        <v>29364.69400000001</v>
      </c>
      <c r="BO89">
        <v>45000</v>
      </c>
      <c r="BP89">
        <v>1149602.8999999999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 x14ac:dyDescent="0.35">
      <c r="A90">
        <v>329243</v>
      </c>
      <c r="B90" t="s">
        <v>289</v>
      </c>
      <c r="C90" t="s">
        <v>290</v>
      </c>
      <c r="D90" s="1">
        <v>45751</v>
      </c>
      <c r="E90">
        <v>53850</v>
      </c>
      <c r="F90">
        <v>154</v>
      </c>
      <c r="G90" t="s">
        <v>443</v>
      </c>
      <c r="H90" t="s">
        <v>48</v>
      </c>
      <c r="I90" t="s">
        <v>49</v>
      </c>
      <c r="K90">
        <v>202504037865364</v>
      </c>
      <c r="L90">
        <v>1543300004605</v>
      </c>
      <c r="M90">
        <v>20250403</v>
      </c>
      <c r="N90" t="s">
        <v>222</v>
      </c>
      <c r="P90" t="s">
        <v>364</v>
      </c>
      <c r="Q90" t="s">
        <v>61</v>
      </c>
      <c r="R90">
        <v>19999</v>
      </c>
      <c r="S90">
        <v>0</v>
      </c>
      <c r="T90">
        <v>4973543</v>
      </c>
      <c r="U90" t="s">
        <v>444</v>
      </c>
      <c r="V90" t="s">
        <v>445</v>
      </c>
      <c r="W90" t="s">
        <v>73</v>
      </c>
      <c r="X90" t="s">
        <v>446</v>
      </c>
      <c r="Y90" t="s">
        <v>52</v>
      </c>
      <c r="Z90">
        <v>741</v>
      </c>
      <c r="AH90">
        <v>0</v>
      </c>
      <c r="AI90">
        <v>202504</v>
      </c>
      <c r="AJ90" t="s">
        <v>68</v>
      </c>
      <c r="AK90">
        <v>0</v>
      </c>
      <c r="AL90">
        <v>1</v>
      </c>
      <c r="AO90">
        <v>0</v>
      </c>
      <c r="AP90">
        <v>999</v>
      </c>
      <c r="AQ90">
        <v>615</v>
      </c>
      <c r="AR90">
        <v>615999</v>
      </c>
      <c r="AT90">
        <v>1</v>
      </c>
      <c r="AU90" t="s">
        <v>65</v>
      </c>
      <c r="AV90">
        <v>1000</v>
      </c>
      <c r="AW90">
        <v>1186.4000000000001</v>
      </c>
      <c r="AX90">
        <v>1500</v>
      </c>
      <c r="AY90">
        <v>1680.386</v>
      </c>
      <c r="AZ90">
        <v>1992.48</v>
      </c>
      <c r="BA90">
        <v>2399.98</v>
      </c>
      <c r="BB90">
        <v>2739.2040000000002</v>
      </c>
      <c r="BC90">
        <v>3000</v>
      </c>
      <c r="BD90">
        <v>3500</v>
      </c>
      <c r="BE90">
        <v>4000</v>
      </c>
      <c r="BF90">
        <v>4800</v>
      </c>
      <c r="BG90">
        <v>5000</v>
      </c>
      <c r="BH90">
        <v>5024.4139999999998</v>
      </c>
      <c r="BI90">
        <v>5617.9639999999999</v>
      </c>
      <c r="BJ90">
        <v>9836.84</v>
      </c>
      <c r="BK90">
        <v>12377.16</v>
      </c>
      <c r="BL90">
        <v>16956.52800000002</v>
      </c>
      <c r="BM90">
        <v>20247.331999999999</v>
      </c>
      <c r="BN90">
        <v>29364.69400000001</v>
      </c>
      <c r="BO90">
        <v>45000</v>
      </c>
      <c r="BP90">
        <v>1149602.8999999999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0</v>
      </c>
      <c r="CI90">
        <v>0</v>
      </c>
      <c r="CJ90">
        <v>0</v>
      </c>
      <c r="CK90">
        <v>0</v>
      </c>
    </row>
    <row r="91" spans="1:89" x14ac:dyDescent="0.35">
      <c r="A91">
        <v>329221</v>
      </c>
      <c r="B91" t="s">
        <v>289</v>
      </c>
      <c r="C91" t="s">
        <v>290</v>
      </c>
      <c r="D91" s="1">
        <v>45750</v>
      </c>
      <c r="E91">
        <v>53850</v>
      </c>
      <c r="F91">
        <v>145</v>
      </c>
      <c r="G91" t="s">
        <v>77</v>
      </c>
      <c r="H91" t="s">
        <v>48</v>
      </c>
      <c r="I91" t="s">
        <v>49</v>
      </c>
      <c r="K91">
        <v>202504027861354</v>
      </c>
      <c r="L91">
        <v>1453300003997</v>
      </c>
      <c r="M91">
        <v>20250402</v>
      </c>
      <c r="N91" t="s">
        <v>222</v>
      </c>
      <c r="P91" t="s">
        <v>303</v>
      </c>
      <c r="Q91" t="s">
        <v>61</v>
      </c>
      <c r="R91">
        <v>36025.9</v>
      </c>
      <c r="S91">
        <v>0</v>
      </c>
      <c r="T91">
        <v>3737833</v>
      </c>
      <c r="U91">
        <v>10171711210</v>
      </c>
      <c r="V91" t="s">
        <v>388</v>
      </c>
      <c r="W91" t="s">
        <v>58</v>
      </c>
      <c r="X91" t="s">
        <v>86</v>
      </c>
      <c r="Y91" t="s">
        <v>52</v>
      </c>
      <c r="AH91">
        <v>0</v>
      </c>
      <c r="AI91">
        <v>202504</v>
      </c>
      <c r="AJ91" t="s">
        <v>68</v>
      </c>
      <c r="AK91">
        <v>0</v>
      </c>
      <c r="AL91">
        <v>1</v>
      </c>
      <c r="AO91">
        <v>0</v>
      </c>
      <c r="AP91">
        <v>463</v>
      </c>
      <c r="AQ91">
        <v>430</v>
      </c>
      <c r="AR91">
        <v>430463</v>
      </c>
      <c r="AS91" t="s">
        <v>65</v>
      </c>
      <c r="AU91" t="s">
        <v>65</v>
      </c>
      <c r="AV91">
        <v>1000</v>
      </c>
      <c r="AW91">
        <v>1186.4000000000001</v>
      </c>
      <c r="AX91">
        <v>1500</v>
      </c>
      <c r="AY91">
        <v>1680.386</v>
      </c>
      <c r="AZ91">
        <v>1992.48</v>
      </c>
      <c r="BA91">
        <v>2399.98</v>
      </c>
      <c r="BB91">
        <v>2739.2040000000002</v>
      </c>
      <c r="BC91">
        <v>3000</v>
      </c>
      <c r="BD91">
        <v>3500</v>
      </c>
      <c r="BE91">
        <v>4000</v>
      </c>
      <c r="BF91">
        <v>4800</v>
      </c>
      <c r="BG91">
        <v>5000</v>
      </c>
      <c r="BH91">
        <v>5024.4139999999998</v>
      </c>
      <c r="BI91">
        <v>5617.9639999999999</v>
      </c>
      <c r="BJ91">
        <v>9836.84</v>
      </c>
      <c r="BK91">
        <v>12377.16</v>
      </c>
      <c r="BL91">
        <v>16956.52800000002</v>
      </c>
      <c r="BM91">
        <v>20247.331999999999</v>
      </c>
      <c r="BN91">
        <v>29364.69400000001</v>
      </c>
      <c r="BO91">
        <v>45000</v>
      </c>
      <c r="BP91">
        <v>1149602.8999999999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0</v>
      </c>
      <c r="CK91">
        <v>0</v>
      </c>
    </row>
    <row r="92" spans="1:89" x14ac:dyDescent="0.35">
      <c r="A92">
        <v>329212</v>
      </c>
      <c r="B92" t="s">
        <v>289</v>
      </c>
      <c r="C92" t="s">
        <v>290</v>
      </c>
      <c r="D92" s="1">
        <v>45750</v>
      </c>
      <c r="E92">
        <v>53850</v>
      </c>
      <c r="F92">
        <v>149</v>
      </c>
      <c r="G92" t="s">
        <v>107</v>
      </c>
      <c r="H92" t="s">
        <v>48</v>
      </c>
      <c r="I92" t="s">
        <v>49</v>
      </c>
      <c r="K92">
        <v>202504027861454</v>
      </c>
      <c r="L92">
        <v>1493300663564</v>
      </c>
      <c r="M92">
        <v>20250402</v>
      </c>
      <c r="N92" t="s">
        <v>222</v>
      </c>
      <c r="P92" t="s">
        <v>303</v>
      </c>
      <c r="Q92" t="s">
        <v>61</v>
      </c>
      <c r="R92">
        <v>6024</v>
      </c>
      <c r="S92">
        <v>0</v>
      </c>
      <c r="T92">
        <v>4851736</v>
      </c>
      <c r="U92">
        <v>8243781211</v>
      </c>
      <c r="V92" t="s">
        <v>447</v>
      </c>
      <c r="W92" t="s">
        <v>58</v>
      </c>
      <c r="X92" t="s">
        <v>137</v>
      </c>
      <c r="Y92" t="s">
        <v>52</v>
      </c>
      <c r="Z92">
        <v>1256</v>
      </c>
      <c r="AH92">
        <v>0</v>
      </c>
      <c r="AI92">
        <v>202504</v>
      </c>
      <c r="AJ92" t="s">
        <v>55</v>
      </c>
      <c r="AK92">
        <v>0</v>
      </c>
      <c r="AL92">
        <v>1</v>
      </c>
      <c r="AO92">
        <v>0</v>
      </c>
      <c r="AP92">
        <v>999</v>
      </c>
      <c r="AQ92">
        <v>430</v>
      </c>
      <c r="AR92">
        <v>430999</v>
      </c>
      <c r="AT92">
        <v>1</v>
      </c>
      <c r="AU92" t="s">
        <v>59</v>
      </c>
      <c r="AV92">
        <v>1000</v>
      </c>
      <c r="AW92">
        <v>1186.4000000000001</v>
      </c>
      <c r="AX92">
        <v>1500</v>
      </c>
      <c r="AY92">
        <v>1680.386</v>
      </c>
      <c r="AZ92">
        <v>1992.48</v>
      </c>
      <c r="BA92">
        <v>2399.98</v>
      </c>
      <c r="BB92">
        <v>2739.2040000000002</v>
      </c>
      <c r="BC92">
        <v>3000</v>
      </c>
      <c r="BD92">
        <v>3500</v>
      </c>
      <c r="BE92">
        <v>4000</v>
      </c>
      <c r="BF92">
        <v>4800</v>
      </c>
      <c r="BG92">
        <v>5000</v>
      </c>
      <c r="BH92">
        <v>5024.4139999999998</v>
      </c>
      <c r="BI92">
        <v>5617.9639999999999</v>
      </c>
      <c r="BJ92">
        <v>9836.84</v>
      </c>
      <c r="BK92">
        <v>12377.16</v>
      </c>
      <c r="BL92">
        <v>16956.52800000002</v>
      </c>
      <c r="BM92">
        <v>20247.331999999999</v>
      </c>
      <c r="BN92">
        <v>29364.69400000001</v>
      </c>
      <c r="BO92">
        <v>45000</v>
      </c>
      <c r="BP92">
        <v>1149602.8999999999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 x14ac:dyDescent="0.35">
      <c r="A93">
        <v>329211</v>
      </c>
      <c r="B93" t="s">
        <v>289</v>
      </c>
      <c r="C93" t="s">
        <v>290</v>
      </c>
      <c r="D93" s="1">
        <v>45750</v>
      </c>
      <c r="E93">
        <v>53850</v>
      </c>
      <c r="F93">
        <v>103</v>
      </c>
      <c r="G93" t="s">
        <v>62</v>
      </c>
      <c r="H93" t="s">
        <v>48</v>
      </c>
      <c r="I93" t="s">
        <v>49</v>
      </c>
      <c r="K93" t="s">
        <v>448</v>
      </c>
      <c r="L93">
        <v>1033305050740</v>
      </c>
      <c r="M93">
        <v>20250402</v>
      </c>
      <c r="N93" t="s">
        <v>222</v>
      </c>
      <c r="P93" t="s">
        <v>291</v>
      </c>
      <c r="Q93" t="s">
        <v>50</v>
      </c>
      <c r="R93">
        <v>2050</v>
      </c>
      <c r="S93">
        <v>0</v>
      </c>
      <c r="T93">
        <v>505074</v>
      </c>
      <c r="U93">
        <v>4293180727</v>
      </c>
      <c r="V93" t="s">
        <v>449</v>
      </c>
      <c r="W93" t="s">
        <v>58</v>
      </c>
      <c r="X93" t="s">
        <v>450</v>
      </c>
      <c r="Y93" t="s">
        <v>52</v>
      </c>
      <c r="Z93">
        <v>1274</v>
      </c>
      <c r="AH93">
        <v>0</v>
      </c>
      <c r="AI93">
        <v>202504</v>
      </c>
      <c r="AJ93" t="s">
        <v>203</v>
      </c>
      <c r="AK93">
        <v>1</v>
      </c>
      <c r="AL93">
        <v>1</v>
      </c>
      <c r="AO93">
        <v>0</v>
      </c>
      <c r="AP93">
        <v>999</v>
      </c>
      <c r="AQ93">
        <v>430</v>
      </c>
      <c r="AR93">
        <v>430999</v>
      </c>
      <c r="AT93">
        <v>1</v>
      </c>
      <c r="AU93" t="s">
        <v>59</v>
      </c>
      <c r="AV93">
        <v>1000</v>
      </c>
      <c r="AW93">
        <v>1186.4000000000001</v>
      </c>
      <c r="AX93">
        <v>1500</v>
      </c>
      <c r="AY93">
        <v>1680.386</v>
      </c>
      <c r="AZ93">
        <v>1992.48</v>
      </c>
      <c r="BA93">
        <v>2399.98</v>
      </c>
      <c r="BB93">
        <v>2739.2040000000002</v>
      </c>
      <c r="BC93">
        <v>3000</v>
      </c>
      <c r="BD93">
        <v>3500</v>
      </c>
      <c r="BE93">
        <v>4000</v>
      </c>
      <c r="BF93">
        <v>4800</v>
      </c>
      <c r="BG93">
        <v>5000</v>
      </c>
      <c r="BH93">
        <v>5024.4139999999998</v>
      </c>
      <c r="BI93">
        <v>5617.9639999999999</v>
      </c>
      <c r="BJ93">
        <v>9836.84</v>
      </c>
      <c r="BK93">
        <v>12377.16</v>
      </c>
      <c r="BL93">
        <v>16956.52800000002</v>
      </c>
      <c r="BM93">
        <v>20247.331999999999</v>
      </c>
      <c r="BN93">
        <v>29364.69400000001</v>
      </c>
      <c r="BO93">
        <v>45000</v>
      </c>
      <c r="BP93">
        <v>1149602.8999999999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 x14ac:dyDescent="0.35">
      <c r="A94">
        <v>329192</v>
      </c>
      <c r="B94" t="s">
        <v>289</v>
      </c>
      <c r="C94" t="s">
        <v>290</v>
      </c>
      <c r="D94" s="1">
        <v>45749</v>
      </c>
      <c r="E94">
        <v>53850</v>
      </c>
      <c r="F94">
        <v>174</v>
      </c>
      <c r="G94" t="s">
        <v>122</v>
      </c>
      <c r="H94" t="s">
        <v>48</v>
      </c>
      <c r="I94" t="s">
        <v>49</v>
      </c>
      <c r="K94" t="s">
        <v>451</v>
      </c>
      <c r="L94">
        <v>1743302877913</v>
      </c>
      <c r="M94">
        <v>20250401</v>
      </c>
      <c r="N94" t="s">
        <v>222</v>
      </c>
      <c r="P94" t="s">
        <v>291</v>
      </c>
      <c r="Q94" t="s">
        <v>61</v>
      </c>
      <c r="R94">
        <v>4193.1000000000004</v>
      </c>
      <c r="S94">
        <v>0</v>
      </c>
      <c r="T94">
        <v>4180010</v>
      </c>
      <c r="U94">
        <v>5953650727</v>
      </c>
      <c r="V94" t="s">
        <v>452</v>
      </c>
      <c r="W94" t="s">
        <v>70</v>
      </c>
      <c r="X94" t="s">
        <v>453</v>
      </c>
      <c r="Y94" t="s">
        <v>52</v>
      </c>
      <c r="Z94">
        <v>720</v>
      </c>
      <c r="AH94">
        <v>0</v>
      </c>
      <c r="AI94">
        <v>202504</v>
      </c>
      <c r="AJ94" t="s">
        <v>205</v>
      </c>
      <c r="AK94">
        <v>1</v>
      </c>
      <c r="AL94">
        <v>1</v>
      </c>
      <c r="AO94">
        <v>0</v>
      </c>
      <c r="AP94">
        <v>999</v>
      </c>
      <c r="AQ94">
        <v>492</v>
      </c>
      <c r="AR94">
        <v>492999</v>
      </c>
      <c r="AT94">
        <v>1</v>
      </c>
      <c r="AU94" t="s">
        <v>71</v>
      </c>
      <c r="AV94">
        <v>1000</v>
      </c>
      <c r="AW94">
        <v>1186.4000000000001</v>
      </c>
      <c r="AX94">
        <v>1500</v>
      </c>
      <c r="AY94">
        <v>1680.386</v>
      </c>
      <c r="AZ94">
        <v>1992.48</v>
      </c>
      <c r="BA94">
        <v>2399.98</v>
      </c>
      <c r="BB94">
        <v>2739.2040000000002</v>
      </c>
      <c r="BC94">
        <v>3000</v>
      </c>
      <c r="BD94">
        <v>3500</v>
      </c>
      <c r="BE94">
        <v>4000</v>
      </c>
      <c r="BF94">
        <v>4800</v>
      </c>
      <c r="BG94">
        <v>5000</v>
      </c>
      <c r="BH94">
        <v>5024.4139999999998</v>
      </c>
      <c r="BI94">
        <v>5617.9639999999999</v>
      </c>
      <c r="BJ94">
        <v>9836.84</v>
      </c>
      <c r="BK94">
        <v>12377.16</v>
      </c>
      <c r="BL94">
        <v>16956.52800000002</v>
      </c>
      <c r="BM94">
        <v>20247.331999999999</v>
      </c>
      <c r="BN94">
        <v>29364.69400000001</v>
      </c>
      <c r="BO94">
        <v>45000</v>
      </c>
      <c r="BP94">
        <v>1149602.8999999999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 x14ac:dyDescent="0.35">
      <c r="A95">
        <v>329185</v>
      </c>
      <c r="B95" t="s">
        <v>289</v>
      </c>
      <c r="C95" t="s">
        <v>290</v>
      </c>
      <c r="D95" s="1">
        <v>45749</v>
      </c>
      <c r="E95">
        <v>53850</v>
      </c>
      <c r="F95">
        <v>148</v>
      </c>
      <c r="G95" t="s">
        <v>125</v>
      </c>
      <c r="H95" t="s">
        <v>48</v>
      </c>
      <c r="I95" t="s">
        <v>49</v>
      </c>
      <c r="K95">
        <v>202504017856696</v>
      </c>
      <c r="L95">
        <v>1483300004073</v>
      </c>
      <c r="M95">
        <v>20250401</v>
      </c>
      <c r="N95" t="s">
        <v>222</v>
      </c>
      <c r="P95" t="s">
        <v>291</v>
      </c>
      <c r="Q95" t="s">
        <v>50</v>
      </c>
      <c r="R95">
        <v>9000</v>
      </c>
      <c r="S95">
        <v>0</v>
      </c>
      <c r="T95">
        <v>4876039</v>
      </c>
      <c r="U95">
        <v>1670580628</v>
      </c>
      <c r="V95" t="s">
        <v>454</v>
      </c>
      <c r="W95" t="s">
        <v>58</v>
      </c>
      <c r="X95" t="s">
        <v>455</v>
      </c>
      <c r="Y95" t="s">
        <v>52</v>
      </c>
      <c r="Z95">
        <v>1063</v>
      </c>
      <c r="AH95">
        <v>0</v>
      </c>
      <c r="AI95">
        <v>202504</v>
      </c>
      <c r="AJ95" t="s">
        <v>68</v>
      </c>
      <c r="AK95">
        <v>0</v>
      </c>
      <c r="AL95">
        <v>1</v>
      </c>
      <c r="AO95">
        <v>0</v>
      </c>
      <c r="AP95">
        <v>999</v>
      </c>
      <c r="AQ95">
        <v>430</v>
      </c>
      <c r="AR95">
        <v>430999</v>
      </c>
      <c r="AT95">
        <v>1</v>
      </c>
      <c r="AU95" t="s">
        <v>59</v>
      </c>
      <c r="AV95">
        <v>1000</v>
      </c>
      <c r="AW95">
        <v>1186.4000000000001</v>
      </c>
      <c r="AX95">
        <v>1500</v>
      </c>
      <c r="AY95">
        <v>1680.386</v>
      </c>
      <c r="AZ95">
        <v>1992.48</v>
      </c>
      <c r="BA95">
        <v>2399.98</v>
      </c>
      <c r="BB95">
        <v>2739.2040000000002</v>
      </c>
      <c r="BC95">
        <v>3000</v>
      </c>
      <c r="BD95">
        <v>3500</v>
      </c>
      <c r="BE95">
        <v>4000</v>
      </c>
      <c r="BF95">
        <v>4800</v>
      </c>
      <c r="BG95">
        <v>5000</v>
      </c>
      <c r="BH95">
        <v>5024.4139999999998</v>
      </c>
      <c r="BI95">
        <v>5617.9639999999999</v>
      </c>
      <c r="BJ95">
        <v>9836.84</v>
      </c>
      <c r="BK95">
        <v>12377.16</v>
      </c>
      <c r="BL95">
        <v>16956.52800000002</v>
      </c>
      <c r="BM95">
        <v>20247.331999999999</v>
      </c>
      <c r="BN95">
        <v>29364.69400000001</v>
      </c>
      <c r="BO95">
        <v>45000</v>
      </c>
      <c r="BP95">
        <v>1149602.8999999999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 x14ac:dyDescent="0.35">
      <c r="A96">
        <v>329184</v>
      </c>
      <c r="B96" t="s">
        <v>289</v>
      </c>
      <c r="C96" t="s">
        <v>290</v>
      </c>
      <c r="D96" s="1">
        <v>45749</v>
      </c>
      <c r="E96">
        <v>53850</v>
      </c>
      <c r="F96">
        <v>128</v>
      </c>
      <c r="G96" t="s">
        <v>129</v>
      </c>
      <c r="H96" t="s">
        <v>48</v>
      </c>
      <c r="I96" t="s">
        <v>49</v>
      </c>
      <c r="K96">
        <v>202504017858290</v>
      </c>
      <c r="L96">
        <v>1283300002423</v>
      </c>
      <c r="M96">
        <v>20250401</v>
      </c>
      <c r="N96" t="s">
        <v>222</v>
      </c>
      <c r="P96" t="s">
        <v>136</v>
      </c>
      <c r="Q96" t="s">
        <v>61</v>
      </c>
      <c r="R96">
        <v>15000</v>
      </c>
      <c r="S96">
        <v>0</v>
      </c>
      <c r="T96">
        <v>4582488</v>
      </c>
      <c r="U96" t="s">
        <v>331</v>
      </c>
      <c r="V96" t="s">
        <v>332</v>
      </c>
      <c r="W96" t="s">
        <v>51</v>
      </c>
      <c r="Y96" t="s">
        <v>52</v>
      </c>
      <c r="Z96">
        <v>726</v>
      </c>
      <c r="AH96">
        <v>0</v>
      </c>
      <c r="AI96">
        <v>202504</v>
      </c>
      <c r="AJ96" t="s">
        <v>215</v>
      </c>
      <c r="AK96">
        <v>1</v>
      </c>
      <c r="AL96">
        <v>1</v>
      </c>
      <c r="AO96">
        <v>0</v>
      </c>
      <c r="AP96">
        <v>999</v>
      </c>
      <c r="AQ96">
        <v>600</v>
      </c>
      <c r="AR96">
        <v>600999</v>
      </c>
      <c r="AS96" t="s">
        <v>53</v>
      </c>
      <c r="AU96" t="s">
        <v>53</v>
      </c>
      <c r="AV96">
        <v>1000</v>
      </c>
      <c r="AW96">
        <v>1186.4000000000001</v>
      </c>
      <c r="AX96">
        <v>1500</v>
      </c>
      <c r="AY96">
        <v>1680.386</v>
      </c>
      <c r="AZ96">
        <v>1992.48</v>
      </c>
      <c r="BA96">
        <v>2399.98</v>
      </c>
      <c r="BB96">
        <v>2739.2040000000002</v>
      </c>
      <c r="BC96">
        <v>3000</v>
      </c>
      <c r="BD96">
        <v>3500</v>
      </c>
      <c r="BE96">
        <v>4000</v>
      </c>
      <c r="BF96">
        <v>4800</v>
      </c>
      <c r="BG96">
        <v>5000</v>
      </c>
      <c r="BH96">
        <v>5024.4139999999998</v>
      </c>
      <c r="BI96">
        <v>5617.9639999999999</v>
      </c>
      <c r="BJ96">
        <v>9836.84</v>
      </c>
      <c r="BK96">
        <v>12377.16</v>
      </c>
      <c r="BL96">
        <v>16956.52800000002</v>
      </c>
      <c r="BM96">
        <v>20247.331999999999</v>
      </c>
      <c r="BN96">
        <v>29364.69400000001</v>
      </c>
      <c r="BO96">
        <v>45000</v>
      </c>
      <c r="BP96">
        <v>1149602.8999999999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 x14ac:dyDescent="0.35">
      <c r="A97">
        <v>329178</v>
      </c>
      <c r="B97" t="s">
        <v>289</v>
      </c>
      <c r="C97" t="s">
        <v>290</v>
      </c>
      <c r="D97" s="1">
        <v>45749</v>
      </c>
      <c r="E97">
        <v>53850</v>
      </c>
      <c r="F97">
        <v>148</v>
      </c>
      <c r="G97" t="s">
        <v>125</v>
      </c>
      <c r="H97" t="s">
        <v>48</v>
      </c>
      <c r="I97" t="s">
        <v>49</v>
      </c>
      <c r="K97">
        <v>202504017858305</v>
      </c>
      <c r="L97">
        <v>1483300003872</v>
      </c>
      <c r="M97">
        <v>20250401</v>
      </c>
      <c r="N97" t="s">
        <v>222</v>
      </c>
      <c r="P97" t="s">
        <v>300</v>
      </c>
      <c r="Q97" t="s">
        <v>50</v>
      </c>
      <c r="R97">
        <v>5018.09</v>
      </c>
      <c r="S97">
        <v>0</v>
      </c>
      <c r="T97">
        <v>4602337</v>
      </c>
      <c r="U97">
        <v>1418030621</v>
      </c>
      <c r="V97" t="s">
        <v>126</v>
      </c>
      <c r="W97" t="s">
        <v>58</v>
      </c>
      <c r="X97" t="s">
        <v>127</v>
      </c>
      <c r="Y97" t="s">
        <v>52</v>
      </c>
      <c r="Z97">
        <v>982</v>
      </c>
      <c r="AH97">
        <v>0</v>
      </c>
      <c r="AI97">
        <v>202504</v>
      </c>
      <c r="AJ97" t="s">
        <v>55</v>
      </c>
      <c r="AK97">
        <v>0</v>
      </c>
      <c r="AL97">
        <v>1</v>
      </c>
      <c r="AO97">
        <v>0</v>
      </c>
      <c r="AP97">
        <v>999</v>
      </c>
      <c r="AQ97">
        <v>430</v>
      </c>
      <c r="AR97">
        <v>430999</v>
      </c>
      <c r="AT97">
        <v>1</v>
      </c>
      <c r="AU97" t="s">
        <v>59</v>
      </c>
      <c r="AV97">
        <v>1000</v>
      </c>
      <c r="AW97">
        <v>1186.4000000000001</v>
      </c>
      <c r="AX97">
        <v>1500</v>
      </c>
      <c r="AY97">
        <v>1680.386</v>
      </c>
      <c r="AZ97">
        <v>1992.48</v>
      </c>
      <c r="BA97">
        <v>2399.98</v>
      </c>
      <c r="BB97">
        <v>2739.2040000000002</v>
      </c>
      <c r="BC97">
        <v>3000</v>
      </c>
      <c r="BD97">
        <v>3500</v>
      </c>
      <c r="BE97">
        <v>4000</v>
      </c>
      <c r="BF97">
        <v>4800</v>
      </c>
      <c r="BG97">
        <v>5000</v>
      </c>
      <c r="BH97">
        <v>5024.4139999999998</v>
      </c>
      <c r="BI97">
        <v>5617.9639999999999</v>
      </c>
      <c r="BJ97">
        <v>9836.84</v>
      </c>
      <c r="BK97">
        <v>12377.16</v>
      </c>
      <c r="BL97">
        <v>16956.52800000002</v>
      </c>
      <c r="BM97">
        <v>20247.331999999999</v>
      </c>
      <c r="BN97">
        <v>29364.69400000001</v>
      </c>
      <c r="BO97">
        <v>45000</v>
      </c>
      <c r="BP97">
        <v>1149602.8999999999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 x14ac:dyDescent="0.35">
      <c r="A98">
        <v>329172</v>
      </c>
      <c r="B98" t="s">
        <v>289</v>
      </c>
      <c r="C98" t="s">
        <v>290</v>
      </c>
      <c r="D98" s="1">
        <v>45749</v>
      </c>
      <c r="E98">
        <v>53850</v>
      </c>
      <c r="F98">
        <v>191</v>
      </c>
      <c r="G98" t="s">
        <v>225</v>
      </c>
      <c r="H98" t="s">
        <v>48</v>
      </c>
      <c r="I98" t="s">
        <v>49</v>
      </c>
      <c r="K98" t="s">
        <v>456</v>
      </c>
      <c r="L98">
        <v>1913300068419</v>
      </c>
      <c r="M98">
        <v>20250401</v>
      </c>
      <c r="N98" t="s">
        <v>222</v>
      </c>
      <c r="P98" t="s">
        <v>303</v>
      </c>
      <c r="Q98" t="s">
        <v>61</v>
      </c>
      <c r="R98">
        <v>1840</v>
      </c>
      <c r="S98">
        <v>0</v>
      </c>
      <c r="T98">
        <v>4961778</v>
      </c>
      <c r="U98">
        <v>3279060739</v>
      </c>
      <c r="V98" t="s">
        <v>457</v>
      </c>
      <c r="W98" t="s">
        <v>58</v>
      </c>
      <c r="X98" t="s">
        <v>235</v>
      </c>
      <c r="Y98" t="s">
        <v>52</v>
      </c>
      <c r="Z98">
        <v>1915</v>
      </c>
      <c r="AH98">
        <v>0</v>
      </c>
      <c r="AI98">
        <v>202504</v>
      </c>
      <c r="AJ98" t="s">
        <v>205</v>
      </c>
      <c r="AK98">
        <v>1</v>
      </c>
      <c r="AL98">
        <v>1</v>
      </c>
      <c r="AO98">
        <v>0</v>
      </c>
      <c r="AP98">
        <v>999</v>
      </c>
      <c r="AQ98">
        <v>430</v>
      </c>
      <c r="AR98">
        <v>430999</v>
      </c>
      <c r="AT98">
        <v>1</v>
      </c>
      <c r="AU98" t="s">
        <v>59</v>
      </c>
      <c r="AV98">
        <v>1000</v>
      </c>
      <c r="AW98">
        <v>1186.4000000000001</v>
      </c>
      <c r="AX98">
        <v>1500</v>
      </c>
      <c r="AY98">
        <v>1680.386</v>
      </c>
      <c r="AZ98">
        <v>1992.48</v>
      </c>
      <c r="BA98">
        <v>2399.98</v>
      </c>
      <c r="BB98">
        <v>2739.2040000000002</v>
      </c>
      <c r="BC98">
        <v>3000</v>
      </c>
      <c r="BD98">
        <v>3500</v>
      </c>
      <c r="BE98">
        <v>4000</v>
      </c>
      <c r="BF98">
        <v>4800</v>
      </c>
      <c r="BG98">
        <v>5000</v>
      </c>
      <c r="BH98">
        <v>5024.4139999999998</v>
      </c>
      <c r="BI98">
        <v>5617.9639999999999</v>
      </c>
      <c r="BJ98">
        <v>9836.84</v>
      </c>
      <c r="BK98">
        <v>12377.16</v>
      </c>
      <c r="BL98">
        <v>16956.52800000002</v>
      </c>
      <c r="BM98">
        <v>20247.331999999999</v>
      </c>
      <c r="BN98">
        <v>29364.69400000001</v>
      </c>
      <c r="BO98">
        <v>45000</v>
      </c>
      <c r="BP98">
        <v>1149602.8999999999</v>
      </c>
      <c r="BQ98">
        <v>1</v>
      </c>
      <c r="BR98">
        <v>1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 x14ac:dyDescent="0.35">
      <c r="A99">
        <v>329170</v>
      </c>
      <c r="B99" t="s">
        <v>289</v>
      </c>
      <c r="C99" t="s">
        <v>290</v>
      </c>
      <c r="D99" s="1">
        <v>45749</v>
      </c>
      <c r="E99">
        <v>53850</v>
      </c>
      <c r="F99">
        <v>128</v>
      </c>
      <c r="G99" t="s">
        <v>129</v>
      </c>
      <c r="H99" t="s">
        <v>48</v>
      </c>
      <c r="I99" t="s">
        <v>49</v>
      </c>
      <c r="K99">
        <v>202504017858290</v>
      </c>
      <c r="L99">
        <v>1283300002423</v>
      </c>
      <c r="M99">
        <v>20250401</v>
      </c>
      <c r="N99" t="s">
        <v>222</v>
      </c>
      <c r="P99" t="s">
        <v>136</v>
      </c>
      <c r="Q99" t="s">
        <v>61</v>
      </c>
      <c r="R99">
        <v>15000</v>
      </c>
      <c r="S99">
        <v>0</v>
      </c>
      <c r="T99">
        <v>4582492</v>
      </c>
      <c r="U99" t="s">
        <v>329</v>
      </c>
      <c r="V99" t="s">
        <v>330</v>
      </c>
      <c r="W99" t="s">
        <v>51</v>
      </c>
      <c r="Y99" t="s">
        <v>52</v>
      </c>
      <c r="Z99">
        <v>726</v>
      </c>
      <c r="AH99">
        <v>0</v>
      </c>
      <c r="AI99">
        <v>202504</v>
      </c>
      <c r="AJ99" t="s">
        <v>55</v>
      </c>
      <c r="AK99">
        <v>0</v>
      </c>
      <c r="AL99">
        <v>1</v>
      </c>
      <c r="AO99">
        <v>0</v>
      </c>
      <c r="AP99">
        <v>999</v>
      </c>
      <c r="AQ99">
        <v>600</v>
      </c>
      <c r="AR99">
        <v>600999</v>
      </c>
      <c r="AS99" t="s">
        <v>53</v>
      </c>
      <c r="AU99" t="s">
        <v>53</v>
      </c>
      <c r="AV99">
        <v>1000</v>
      </c>
      <c r="AW99">
        <v>1186.4000000000001</v>
      </c>
      <c r="AX99">
        <v>1500</v>
      </c>
      <c r="AY99">
        <v>1680.386</v>
      </c>
      <c r="AZ99">
        <v>1992.48</v>
      </c>
      <c r="BA99">
        <v>2399.98</v>
      </c>
      <c r="BB99">
        <v>2739.2040000000002</v>
      </c>
      <c r="BC99">
        <v>3000</v>
      </c>
      <c r="BD99">
        <v>3500</v>
      </c>
      <c r="BE99">
        <v>4000</v>
      </c>
      <c r="BF99">
        <v>4800</v>
      </c>
      <c r="BG99">
        <v>5000</v>
      </c>
      <c r="BH99">
        <v>5024.4139999999998</v>
      </c>
      <c r="BI99">
        <v>5617.9639999999999</v>
      </c>
      <c r="BJ99">
        <v>9836.84</v>
      </c>
      <c r="BK99">
        <v>12377.16</v>
      </c>
      <c r="BL99">
        <v>16956.52800000002</v>
      </c>
      <c r="BM99">
        <v>20247.331999999999</v>
      </c>
      <c r="BN99">
        <v>29364.69400000001</v>
      </c>
      <c r="BO99">
        <v>45000</v>
      </c>
      <c r="BP99">
        <v>1149602.8999999999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 x14ac:dyDescent="0.35">
      <c r="A100">
        <v>348560</v>
      </c>
      <c r="B100" t="s">
        <v>289</v>
      </c>
      <c r="C100" t="s">
        <v>290</v>
      </c>
      <c r="D100" s="1">
        <v>45812</v>
      </c>
      <c r="E100">
        <v>53850</v>
      </c>
      <c r="F100">
        <v>147</v>
      </c>
      <c r="G100" t="s">
        <v>114</v>
      </c>
      <c r="H100" t="s">
        <v>48</v>
      </c>
      <c r="I100" t="s">
        <v>49</v>
      </c>
      <c r="K100" t="s">
        <v>458</v>
      </c>
      <c r="L100">
        <v>1473300005217</v>
      </c>
      <c r="M100">
        <v>20250530</v>
      </c>
      <c r="N100" t="s">
        <v>222</v>
      </c>
      <c r="P100" t="s">
        <v>303</v>
      </c>
      <c r="Q100" t="s">
        <v>50</v>
      </c>
      <c r="R100">
        <v>1000</v>
      </c>
      <c r="S100">
        <v>0</v>
      </c>
      <c r="T100">
        <v>3724704</v>
      </c>
      <c r="U100">
        <v>4306130610</v>
      </c>
      <c r="V100" t="s">
        <v>371</v>
      </c>
      <c r="W100" t="s">
        <v>58</v>
      </c>
      <c r="X100" t="s">
        <v>108</v>
      </c>
      <c r="Y100" t="s">
        <v>52</v>
      </c>
      <c r="Z100">
        <v>1196</v>
      </c>
      <c r="AH100">
        <v>0</v>
      </c>
      <c r="AI100">
        <v>202505</v>
      </c>
      <c r="AJ100" t="s">
        <v>55</v>
      </c>
      <c r="AK100">
        <v>0</v>
      </c>
      <c r="AL100">
        <v>1</v>
      </c>
      <c r="AO100">
        <v>0</v>
      </c>
      <c r="AP100">
        <v>999</v>
      </c>
      <c r="AQ100">
        <v>430</v>
      </c>
      <c r="AR100">
        <v>430999</v>
      </c>
      <c r="AT100">
        <v>1</v>
      </c>
      <c r="AU100" t="s">
        <v>59</v>
      </c>
      <c r="AV100">
        <v>1000</v>
      </c>
      <c r="AW100">
        <v>1186.4000000000001</v>
      </c>
      <c r="AX100">
        <v>1500</v>
      </c>
      <c r="AY100">
        <v>1680.386</v>
      </c>
      <c r="AZ100">
        <v>1992.48</v>
      </c>
      <c r="BA100">
        <v>2399.98</v>
      </c>
      <c r="BB100">
        <v>2739.2040000000002</v>
      </c>
      <c r="BC100">
        <v>3000</v>
      </c>
      <c r="BD100">
        <v>3500</v>
      </c>
      <c r="BE100">
        <v>4000</v>
      </c>
      <c r="BF100">
        <v>4800</v>
      </c>
      <c r="BG100">
        <v>5000</v>
      </c>
      <c r="BH100">
        <v>5024.4139999999998</v>
      </c>
      <c r="BI100">
        <v>5617.9639999999999</v>
      </c>
      <c r="BJ100">
        <v>9836.84</v>
      </c>
      <c r="BK100">
        <v>12377.16</v>
      </c>
      <c r="BL100">
        <v>16956.52800000002</v>
      </c>
      <c r="BM100">
        <v>20247.331999999999</v>
      </c>
      <c r="BN100">
        <v>29364.69400000001</v>
      </c>
      <c r="BO100">
        <v>45000</v>
      </c>
      <c r="BP100">
        <v>1149602.8999999999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 x14ac:dyDescent="0.35">
      <c r="A101">
        <v>348559</v>
      </c>
      <c r="B101" t="s">
        <v>289</v>
      </c>
      <c r="C101" t="s">
        <v>290</v>
      </c>
      <c r="D101" s="1">
        <v>45812</v>
      </c>
      <c r="E101">
        <v>53850</v>
      </c>
      <c r="F101">
        <v>168</v>
      </c>
      <c r="G101" t="s">
        <v>213</v>
      </c>
      <c r="H101" t="s">
        <v>48</v>
      </c>
      <c r="I101" t="s">
        <v>49</v>
      </c>
      <c r="K101" t="s">
        <v>459</v>
      </c>
      <c r="L101">
        <v>1683306277308</v>
      </c>
      <c r="M101">
        <v>20250530</v>
      </c>
      <c r="N101" t="s">
        <v>222</v>
      </c>
      <c r="P101" t="s">
        <v>303</v>
      </c>
      <c r="Q101" t="s">
        <v>50</v>
      </c>
      <c r="R101">
        <v>2100</v>
      </c>
      <c r="S101">
        <v>0</v>
      </c>
      <c r="T101">
        <v>4950606</v>
      </c>
      <c r="U101">
        <v>7856760728</v>
      </c>
      <c r="V101" t="s">
        <v>460</v>
      </c>
      <c r="W101" t="s">
        <v>58</v>
      </c>
      <c r="X101" t="s">
        <v>108</v>
      </c>
      <c r="Y101" t="s">
        <v>52</v>
      </c>
      <c r="Z101">
        <v>1926</v>
      </c>
      <c r="AH101">
        <v>0</v>
      </c>
      <c r="AI101">
        <v>202505</v>
      </c>
      <c r="AJ101" t="s">
        <v>203</v>
      </c>
      <c r="AK101">
        <v>1</v>
      </c>
      <c r="AL101">
        <v>1</v>
      </c>
      <c r="AO101">
        <v>0</v>
      </c>
      <c r="AP101">
        <v>999</v>
      </c>
      <c r="AQ101">
        <v>430</v>
      </c>
      <c r="AR101">
        <v>430999</v>
      </c>
      <c r="AT101">
        <v>1</v>
      </c>
      <c r="AU101" t="s">
        <v>59</v>
      </c>
      <c r="AV101">
        <v>1000</v>
      </c>
      <c r="AW101">
        <v>1186.4000000000001</v>
      </c>
      <c r="AX101">
        <v>1500</v>
      </c>
      <c r="AY101">
        <v>1680.386</v>
      </c>
      <c r="AZ101">
        <v>1992.48</v>
      </c>
      <c r="BA101">
        <v>2399.98</v>
      </c>
      <c r="BB101">
        <v>2739.2040000000002</v>
      </c>
      <c r="BC101">
        <v>3000</v>
      </c>
      <c r="BD101">
        <v>3500</v>
      </c>
      <c r="BE101">
        <v>4000</v>
      </c>
      <c r="BF101">
        <v>4800</v>
      </c>
      <c r="BG101">
        <v>5000</v>
      </c>
      <c r="BH101">
        <v>5024.4139999999998</v>
      </c>
      <c r="BI101">
        <v>5617.9639999999999</v>
      </c>
      <c r="BJ101">
        <v>9836.84</v>
      </c>
      <c r="BK101">
        <v>12377.16</v>
      </c>
      <c r="BL101">
        <v>16956.52800000002</v>
      </c>
      <c r="BM101">
        <v>20247.331999999999</v>
      </c>
      <c r="BN101">
        <v>29364.69400000001</v>
      </c>
      <c r="BO101">
        <v>45000</v>
      </c>
      <c r="BP101">
        <v>1149602.8999999999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 x14ac:dyDescent="0.35">
      <c r="A102">
        <v>348550</v>
      </c>
      <c r="B102" t="s">
        <v>289</v>
      </c>
      <c r="C102" t="s">
        <v>290</v>
      </c>
      <c r="D102" s="1">
        <v>45808</v>
      </c>
      <c r="E102">
        <v>53850</v>
      </c>
      <c r="F102">
        <v>171</v>
      </c>
      <c r="G102" t="s">
        <v>84</v>
      </c>
      <c r="H102" t="s">
        <v>48</v>
      </c>
      <c r="I102" t="s">
        <v>49</v>
      </c>
      <c r="K102">
        <v>202505308024312</v>
      </c>
      <c r="L102">
        <v>1713302213842</v>
      </c>
      <c r="M102">
        <v>20250530</v>
      </c>
      <c r="N102" t="s">
        <v>222</v>
      </c>
      <c r="P102" t="s">
        <v>303</v>
      </c>
      <c r="Q102" t="s">
        <v>50</v>
      </c>
      <c r="R102">
        <v>13206</v>
      </c>
      <c r="S102">
        <v>0</v>
      </c>
      <c r="T102">
        <v>4148505</v>
      </c>
      <c r="U102">
        <v>5848860721</v>
      </c>
      <c r="V102" t="s">
        <v>221</v>
      </c>
      <c r="W102" t="s">
        <v>58</v>
      </c>
      <c r="X102" t="s">
        <v>115</v>
      </c>
      <c r="Y102" t="s">
        <v>52</v>
      </c>
      <c r="Z102">
        <v>1903</v>
      </c>
      <c r="AH102">
        <v>0</v>
      </c>
      <c r="AI102">
        <v>202505</v>
      </c>
      <c r="AJ102" t="s">
        <v>215</v>
      </c>
      <c r="AK102">
        <v>1</v>
      </c>
      <c r="AL102">
        <v>1</v>
      </c>
      <c r="AO102">
        <v>0</v>
      </c>
      <c r="AP102">
        <v>999</v>
      </c>
      <c r="AQ102">
        <v>430</v>
      </c>
      <c r="AR102">
        <v>430999</v>
      </c>
      <c r="AT102">
        <v>1</v>
      </c>
      <c r="AU102" t="s">
        <v>59</v>
      </c>
      <c r="AV102">
        <v>1000</v>
      </c>
      <c r="AW102">
        <v>1186.4000000000001</v>
      </c>
      <c r="AX102">
        <v>1500</v>
      </c>
      <c r="AY102">
        <v>1680.386</v>
      </c>
      <c r="AZ102">
        <v>1992.48</v>
      </c>
      <c r="BA102">
        <v>2399.98</v>
      </c>
      <c r="BB102">
        <v>2739.2040000000002</v>
      </c>
      <c r="BC102">
        <v>3000</v>
      </c>
      <c r="BD102">
        <v>3500</v>
      </c>
      <c r="BE102">
        <v>4000</v>
      </c>
      <c r="BF102">
        <v>4800</v>
      </c>
      <c r="BG102">
        <v>5000</v>
      </c>
      <c r="BH102">
        <v>5024.4139999999998</v>
      </c>
      <c r="BI102">
        <v>5617.9639999999999</v>
      </c>
      <c r="BJ102">
        <v>9836.84</v>
      </c>
      <c r="BK102">
        <v>12377.16</v>
      </c>
      <c r="BL102">
        <v>16956.52800000002</v>
      </c>
      <c r="BM102">
        <v>20247.331999999999</v>
      </c>
      <c r="BN102">
        <v>29364.69400000001</v>
      </c>
      <c r="BO102">
        <v>45000</v>
      </c>
      <c r="BP102">
        <v>1149602.8999999999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 x14ac:dyDescent="0.35">
      <c r="A103">
        <v>348537</v>
      </c>
      <c r="B103" t="s">
        <v>289</v>
      </c>
      <c r="C103" t="s">
        <v>290</v>
      </c>
      <c r="D103" s="1">
        <v>45808</v>
      </c>
      <c r="E103">
        <v>53850</v>
      </c>
      <c r="F103">
        <v>118</v>
      </c>
      <c r="G103" t="s">
        <v>130</v>
      </c>
      <c r="H103" t="s">
        <v>48</v>
      </c>
      <c r="I103" t="s">
        <v>49</v>
      </c>
      <c r="K103" t="s">
        <v>461</v>
      </c>
      <c r="L103">
        <v>1183306279524</v>
      </c>
      <c r="M103">
        <v>20250530</v>
      </c>
      <c r="N103" t="s">
        <v>222</v>
      </c>
      <c r="P103" t="s">
        <v>136</v>
      </c>
      <c r="Q103" t="s">
        <v>61</v>
      </c>
      <c r="R103">
        <v>1650</v>
      </c>
      <c r="S103">
        <v>0</v>
      </c>
      <c r="T103">
        <v>4908948</v>
      </c>
      <c r="U103">
        <v>8176650722</v>
      </c>
      <c r="V103" t="s">
        <v>462</v>
      </c>
      <c r="W103" t="s">
        <v>58</v>
      </c>
      <c r="X103" t="s">
        <v>131</v>
      </c>
      <c r="Y103" t="s">
        <v>52</v>
      </c>
      <c r="Z103">
        <v>1649</v>
      </c>
      <c r="AH103">
        <v>0</v>
      </c>
      <c r="AI103">
        <v>202505</v>
      </c>
      <c r="AK103">
        <v>1</v>
      </c>
      <c r="AL103">
        <v>1</v>
      </c>
      <c r="AO103">
        <v>0</v>
      </c>
      <c r="AP103">
        <v>433</v>
      </c>
      <c r="AQ103">
        <v>430</v>
      </c>
      <c r="AR103">
        <v>430433</v>
      </c>
      <c r="AS103" t="s">
        <v>65</v>
      </c>
      <c r="AU103" t="s">
        <v>65</v>
      </c>
      <c r="AV103">
        <v>1000</v>
      </c>
      <c r="AW103">
        <v>1186.4000000000001</v>
      </c>
      <c r="AX103">
        <v>1500</v>
      </c>
      <c r="AY103">
        <v>1680.386</v>
      </c>
      <c r="AZ103">
        <v>1992.48</v>
      </c>
      <c r="BA103">
        <v>2399.98</v>
      </c>
      <c r="BB103">
        <v>2739.2040000000002</v>
      </c>
      <c r="BC103">
        <v>3000</v>
      </c>
      <c r="BD103">
        <v>3500</v>
      </c>
      <c r="BE103">
        <v>4000</v>
      </c>
      <c r="BF103">
        <v>4800</v>
      </c>
      <c r="BG103">
        <v>5000</v>
      </c>
      <c r="BH103">
        <v>5024.4139999999998</v>
      </c>
      <c r="BI103">
        <v>5617.9639999999999</v>
      </c>
      <c r="BJ103">
        <v>9836.84</v>
      </c>
      <c r="BK103">
        <v>12377.16</v>
      </c>
      <c r="BL103">
        <v>16956.52800000002</v>
      </c>
      <c r="BM103">
        <v>20247.331999999999</v>
      </c>
      <c r="BN103">
        <v>29364.69400000001</v>
      </c>
      <c r="BO103">
        <v>45000</v>
      </c>
      <c r="BP103">
        <v>1149602.8999999999</v>
      </c>
      <c r="BQ103">
        <v>1</v>
      </c>
      <c r="BR103">
        <v>1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 x14ac:dyDescent="0.35">
      <c r="A104">
        <v>348512</v>
      </c>
      <c r="B104" t="s">
        <v>289</v>
      </c>
      <c r="C104" t="s">
        <v>290</v>
      </c>
      <c r="D104" s="1">
        <v>45808</v>
      </c>
      <c r="E104">
        <v>53850</v>
      </c>
      <c r="F104">
        <v>274</v>
      </c>
      <c r="G104" t="s">
        <v>134</v>
      </c>
      <c r="H104" t="s">
        <v>48</v>
      </c>
      <c r="I104" t="s">
        <v>49</v>
      </c>
      <c r="K104" t="s">
        <v>463</v>
      </c>
      <c r="L104">
        <v>2743300000272</v>
      </c>
      <c r="M104">
        <v>20250530</v>
      </c>
      <c r="N104" t="s">
        <v>222</v>
      </c>
      <c r="P104" t="s">
        <v>303</v>
      </c>
      <c r="Q104" t="s">
        <v>61</v>
      </c>
      <c r="R104">
        <v>1630.18</v>
      </c>
      <c r="S104">
        <v>0</v>
      </c>
      <c r="T104">
        <v>1622875</v>
      </c>
      <c r="U104">
        <v>1689300695</v>
      </c>
      <c r="V104" t="s">
        <v>312</v>
      </c>
      <c r="W104" t="s">
        <v>58</v>
      </c>
      <c r="X104" t="s">
        <v>105</v>
      </c>
      <c r="Y104" t="s">
        <v>52</v>
      </c>
      <c r="Z104">
        <v>1413</v>
      </c>
      <c r="AH104">
        <v>0</v>
      </c>
      <c r="AI104">
        <v>202505</v>
      </c>
      <c r="AK104">
        <v>1</v>
      </c>
      <c r="AL104">
        <v>1</v>
      </c>
      <c r="AO104">
        <v>0</v>
      </c>
      <c r="AP104">
        <v>999</v>
      </c>
      <c r="AQ104">
        <v>430</v>
      </c>
      <c r="AR104">
        <v>430999</v>
      </c>
      <c r="AT104">
        <v>1</v>
      </c>
      <c r="AU104" t="s">
        <v>59</v>
      </c>
      <c r="AV104">
        <v>1000</v>
      </c>
      <c r="AW104">
        <v>1186.4000000000001</v>
      </c>
      <c r="AX104">
        <v>1500</v>
      </c>
      <c r="AY104">
        <v>1680.386</v>
      </c>
      <c r="AZ104">
        <v>1992.48</v>
      </c>
      <c r="BA104">
        <v>2399.98</v>
      </c>
      <c r="BB104">
        <v>2739.2040000000002</v>
      </c>
      <c r="BC104">
        <v>3000</v>
      </c>
      <c r="BD104">
        <v>3500</v>
      </c>
      <c r="BE104">
        <v>4000</v>
      </c>
      <c r="BF104">
        <v>4800</v>
      </c>
      <c r="BG104">
        <v>5000</v>
      </c>
      <c r="BH104">
        <v>5024.4139999999998</v>
      </c>
      <c r="BI104">
        <v>5617.9639999999999</v>
      </c>
      <c r="BJ104">
        <v>9836.84</v>
      </c>
      <c r="BK104">
        <v>12377.16</v>
      </c>
      <c r="BL104">
        <v>16956.52800000002</v>
      </c>
      <c r="BM104">
        <v>20247.331999999999</v>
      </c>
      <c r="BN104">
        <v>29364.69400000001</v>
      </c>
      <c r="BO104">
        <v>45000</v>
      </c>
      <c r="BP104">
        <v>1149602.8999999999</v>
      </c>
      <c r="BQ104">
        <v>1</v>
      </c>
      <c r="BR104">
        <v>1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 x14ac:dyDescent="0.35">
      <c r="A105">
        <v>348491</v>
      </c>
      <c r="B105" t="s">
        <v>289</v>
      </c>
      <c r="C105" t="s">
        <v>290</v>
      </c>
      <c r="D105" s="1">
        <v>45807</v>
      </c>
      <c r="E105">
        <v>53850</v>
      </c>
      <c r="F105">
        <v>271</v>
      </c>
      <c r="G105" t="s">
        <v>109</v>
      </c>
      <c r="H105" t="s">
        <v>48</v>
      </c>
      <c r="I105" t="s">
        <v>49</v>
      </c>
      <c r="K105">
        <v>202505298022166</v>
      </c>
      <c r="L105">
        <v>2713300010112</v>
      </c>
      <c r="M105">
        <v>20250529</v>
      </c>
      <c r="N105" t="s">
        <v>222</v>
      </c>
      <c r="P105" t="s">
        <v>136</v>
      </c>
      <c r="Q105" t="s">
        <v>61</v>
      </c>
      <c r="R105">
        <v>5000</v>
      </c>
      <c r="S105">
        <v>0</v>
      </c>
      <c r="T105">
        <v>1611557</v>
      </c>
      <c r="U105" t="s">
        <v>401</v>
      </c>
      <c r="V105" t="s">
        <v>402</v>
      </c>
      <c r="W105" t="s">
        <v>73</v>
      </c>
      <c r="X105" t="s">
        <v>403</v>
      </c>
      <c r="Y105" t="s">
        <v>52</v>
      </c>
      <c r="Z105">
        <v>1850</v>
      </c>
      <c r="AH105">
        <v>0</v>
      </c>
      <c r="AI105">
        <v>202505</v>
      </c>
      <c r="AJ105" t="s">
        <v>55</v>
      </c>
      <c r="AK105">
        <v>0</v>
      </c>
      <c r="AL105">
        <v>1</v>
      </c>
      <c r="AO105">
        <v>0</v>
      </c>
      <c r="AP105">
        <v>999</v>
      </c>
      <c r="AQ105">
        <v>615</v>
      </c>
      <c r="AR105">
        <v>615999</v>
      </c>
      <c r="AT105">
        <v>1</v>
      </c>
      <c r="AU105" t="s">
        <v>65</v>
      </c>
      <c r="AV105">
        <v>1000</v>
      </c>
      <c r="AW105">
        <v>1186.4000000000001</v>
      </c>
      <c r="AX105">
        <v>1500</v>
      </c>
      <c r="AY105">
        <v>1680.386</v>
      </c>
      <c r="AZ105">
        <v>1992.48</v>
      </c>
      <c r="BA105">
        <v>2399.98</v>
      </c>
      <c r="BB105">
        <v>2739.2040000000002</v>
      </c>
      <c r="BC105">
        <v>3000</v>
      </c>
      <c r="BD105">
        <v>3500</v>
      </c>
      <c r="BE105">
        <v>4000</v>
      </c>
      <c r="BF105">
        <v>4800</v>
      </c>
      <c r="BG105">
        <v>5000</v>
      </c>
      <c r="BH105">
        <v>5024.4139999999998</v>
      </c>
      <c r="BI105">
        <v>5617.9639999999999</v>
      </c>
      <c r="BJ105">
        <v>9836.84</v>
      </c>
      <c r="BK105">
        <v>12377.16</v>
      </c>
      <c r="BL105">
        <v>16956.52800000002</v>
      </c>
      <c r="BM105">
        <v>20247.331999999999</v>
      </c>
      <c r="BN105">
        <v>29364.69400000001</v>
      </c>
      <c r="BO105">
        <v>45000</v>
      </c>
      <c r="BP105">
        <v>1149602.8999999999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 x14ac:dyDescent="0.35">
      <c r="A106">
        <v>348485</v>
      </c>
      <c r="B106" t="s">
        <v>289</v>
      </c>
      <c r="C106" t="s">
        <v>290</v>
      </c>
      <c r="D106" s="1">
        <v>45807</v>
      </c>
      <c r="E106">
        <v>53850</v>
      </c>
      <c r="F106">
        <v>267</v>
      </c>
      <c r="G106" t="s">
        <v>206</v>
      </c>
      <c r="H106" t="s">
        <v>48</v>
      </c>
      <c r="I106" t="s">
        <v>49</v>
      </c>
      <c r="K106">
        <v>202505298021783</v>
      </c>
      <c r="L106">
        <v>2673300003629</v>
      </c>
      <c r="M106">
        <v>20250529</v>
      </c>
      <c r="N106" t="s">
        <v>222</v>
      </c>
      <c r="P106" t="s">
        <v>303</v>
      </c>
      <c r="Q106" t="s">
        <v>61</v>
      </c>
      <c r="R106">
        <v>9000</v>
      </c>
      <c r="S106">
        <v>0</v>
      </c>
      <c r="T106">
        <v>1702554</v>
      </c>
      <c r="U106" t="s">
        <v>464</v>
      </c>
      <c r="V106" t="s">
        <v>465</v>
      </c>
      <c r="W106" t="s">
        <v>101</v>
      </c>
      <c r="X106" t="s">
        <v>466</v>
      </c>
      <c r="Y106" t="s">
        <v>52</v>
      </c>
      <c r="Z106">
        <v>1878</v>
      </c>
      <c r="AH106">
        <v>0</v>
      </c>
      <c r="AI106">
        <v>202505</v>
      </c>
      <c r="AJ106" t="s">
        <v>203</v>
      </c>
      <c r="AK106">
        <v>1</v>
      </c>
      <c r="AL106">
        <v>1</v>
      </c>
      <c r="AO106">
        <v>0</v>
      </c>
      <c r="AP106">
        <v>999</v>
      </c>
      <c r="AQ106">
        <v>614</v>
      </c>
      <c r="AR106">
        <v>614999</v>
      </c>
      <c r="AT106">
        <v>1</v>
      </c>
      <c r="AU106" t="s">
        <v>65</v>
      </c>
      <c r="AV106">
        <v>1000</v>
      </c>
      <c r="AW106">
        <v>1186.4000000000001</v>
      </c>
      <c r="AX106">
        <v>1500</v>
      </c>
      <c r="AY106">
        <v>1680.386</v>
      </c>
      <c r="AZ106">
        <v>1992.48</v>
      </c>
      <c r="BA106">
        <v>2399.98</v>
      </c>
      <c r="BB106">
        <v>2739.2040000000002</v>
      </c>
      <c r="BC106">
        <v>3000</v>
      </c>
      <c r="BD106">
        <v>3500</v>
      </c>
      <c r="BE106">
        <v>4000</v>
      </c>
      <c r="BF106">
        <v>4800</v>
      </c>
      <c r="BG106">
        <v>5000</v>
      </c>
      <c r="BH106">
        <v>5024.4139999999998</v>
      </c>
      <c r="BI106">
        <v>5617.9639999999999</v>
      </c>
      <c r="BJ106">
        <v>9836.84</v>
      </c>
      <c r="BK106">
        <v>12377.16</v>
      </c>
      <c r="BL106">
        <v>16956.52800000002</v>
      </c>
      <c r="BM106">
        <v>20247.331999999999</v>
      </c>
      <c r="BN106">
        <v>29364.69400000001</v>
      </c>
      <c r="BO106">
        <v>45000</v>
      </c>
      <c r="BP106">
        <v>1149602.8999999999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 x14ac:dyDescent="0.35">
      <c r="A107">
        <v>348471</v>
      </c>
      <c r="B107" t="s">
        <v>289</v>
      </c>
      <c r="C107" t="s">
        <v>290</v>
      </c>
      <c r="D107" s="1">
        <v>45807</v>
      </c>
      <c r="E107">
        <v>53850</v>
      </c>
      <c r="F107">
        <v>104</v>
      </c>
      <c r="G107" t="s">
        <v>54</v>
      </c>
      <c r="H107" t="s">
        <v>48</v>
      </c>
      <c r="I107" t="s">
        <v>49</v>
      </c>
      <c r="K107" t="s">
        <v>467</v>
      </c>
      <c r="L107">
        <v>1043309506207</v>
      </c>
      <c r="M107">
        <v>20250529</v>
      </c>
      <c r="N107" t="s">
        <v>222</v>
      </c>
      <c r="P107" t="s">
        <v>303</v>
      </c>
      <c r="Q107" t="s">
        <v>50</v>
      </c>
      <c r="R107">
        <v>2500</v>
      </c>
      <c r="S107">
        <v>0</v>
      </c>
      <c r="T107">
        <v>420391</v>
      </c>
      <c r="U107" t="s">
        <v>424</v>
      </c>
      <c r="V107" t="s">
        <v>425</v>
      </c>
      <c r="W107" t="s">
        <v>73</v>
      </c>
      <c r="X107" t="s">
        <v>229</v>
      </c>
      <c r="Y107" t="s">
        <v>52</v>
      </c>
      <c r="Z107">
        <v>1902</v>
      </c>
      <c r="AH107">
        <v>0</v>
      </c>
      <c r="AI107">
        <v>202505</v>
      </c>
      <c r="AJ107" t="s">
        <v>55</v>
      </c>
      <c r="AK107">
        <v>0</v>
      </c>
      <c r="AL107">
        <v>1</v>
      </c>
      <c r="AO107">
        <v>0</v>
      </c>
      <c r="AP107">
        <v>999</v>
      </c>
      <c r="AQ107">
        <v>615</v>
      </c>
      <c r="AR107">
        <v>615999</v>
      </c>
      <c r="AT107">
        <v>1</v>
      </c>
      <c r="AU107" t="s">
        <v>65</v>
      </c>
      <c r="AV107">
        <v>1000</v>
      </c>
      <c r="AW107">
        <v>1186.4000000000001</v>
      </c>
      <c r="AX107">
        <v>1500</v>
      </c>
      <c r="AY107">
        <v>1680.386</v>
      </c>
      <c r="AZ107">
        <v>1992.48</v>
      </c>
      <c r="BA107">
        <v>2399.98</v>
      </c>
      <c r="BB107">
        <v>2739.2040000000002</v>
      </c>
      <c r="BC107">
        <v>3000</v>
      </c>
      <c r="BD107">
        <v>3500</v>
      </c>
      <c r="BE107">
        <v>4000</v>
      </c>
      <c r="BF107">
        <v>4800</v>
      </c>
      <c r="BG107">
        <v>5000</v>
      </c>
      <c r="BH107">
        <v>5024.4139999999998</v>
      </c>
      <c r="BI107">
        <v>5617.9639999999999</v>
      </c>
      <c r="BJ107">
        <v>9836.84</v>
      </c>
      <c r="BK107">
        <v>12377.16</v>
      </c>
      <c r="BL107">
        <v>16956.52800000002</v>
      </c>
      <c r="BM107">
        <v>20247.331999999999</v>
      </c>
      <c r="BN107">
        <v>29364.69400000001</v>
      </c>
      <c r="BO107">
        <v>45000</v>
      </c>
      <c r="BP107">
        <v>1149602.8999999999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 x14ac:dyDescent="0.35">
      <c r="A108">
        <v>348470</v>
      </c>
      <c r="B108" t="s">
        <v>289</v>
      </c>
      <c r="C108" t="s">
        <v>290</v>
      </c>
      <c r="D108" s="1">
        <v>45807</v>
      </c>
      <c r="E108">
        <v>53850</v>
      </c>
      <c r="F108">
        <v>261</v>
      </c>
      <c r="G108" t="s">
        <v>96</v>
      </c>
      <c r="H108" t="s">
        <v>48</v>
      </c>
      <c r="I108" t="s">
        <v>49</v>
      </c>
      <c r="K108" t="s">
        <v>468</v>
      </c>
      <c r="L108">
        <v>2613300010222</v>
      </c>
      <c r="M108">
        <v>20250529</v>
      </c>
      <c r="N108" t="s">
        <v>222</v>
      </c>
      <c r="P108" t="s">
        <v>136</v>
      </c>
      <c r="Q108" t="s">
        <v>61</v>
      </c>
      <c r="R108">
        <v>1760</v>
      </c>
      <c r="S108">
        <v>0</v>
      </c>
      <c r="T108">
        <v>4994040</v>
      </c>
      <c r="U108">
        <v>997390943</v>
      </c>
      <c r="V108" t="s">
        <v>469</v>
      </c>
      <c r="W108" t="s">
        <v>58</v>
      </c>
      <c r="X108" t="s">
        <v>470</v>
      </c>
      <c r="Y108" t="s">
        <v>52</v>
      </c>
      <c r="Z108">
        <v>1782</v>
      </c>
      <c r="AH108">
        <v>0</v>
      </c>
      <c r="AI108">
        <v>202505</v>
      </c>
      <c r="AJ108" t="s">
        <v>68</v>
      </c>
      <c r="AK108">
        <v>0</v>
      </c>
      <c r="AL108">
        <v>1</v>
      </c>
      <c r="AO108">
        <v>0</v>
      </c>
      <c r="AP108">
        <v>999</v>
      </c>
      <c r="AQ108">
        <v>430</v>
      </c>
      <c r="AR108">
        <v>430999</v>
      </c>
      <c r="AT108">
        <v>1</v>
      </c>
      <c r="AU108" t="s">
        <v>59</v>
      </c>
      <c r="AV108">
        <v>1000</v>
      </c>
      <c r="AW108">
        <v>1186.4000000000001</v>
      </c>
      <c r="AX108">
        <v>1500</v>
      </c>
      <c r="AY108">
        <v>1680.386</v>
      </c>
      <c r="AZ108">
        <v>1992.48</v>
      </c>
      <c r="BA108">
        <v>2399.98</v>
      </c>
      <c r="BB108">
        <v>2739.2040000000002</v>
      </c>
      <c r="BC108">
        <v>3000</v>
      </c>
      <c r="BD108">
        <v>3500</v>
      </c>
      <c r="BE108">
        <v>4000</v>
      </c>
      <c r="BF108">
        <v>4800</v>
      </c>
      <c r="BG108">
        <v>5000</v>
      </c>
      <c r="BH108">
        <v>5024.4139999999998</v>
      </c>
      <c r="BI108">
        <v>5617.9639999999999</v>
      </c>
      <c r="BJ108">
        <v>9836.84</v>
      </c>
      <c r="BK108">
        <v>12377.16</v>
      </c>
      <c r="BL108">
        <v>16956.52800000002</v>
      </c>
      <c r="BM108">
        <v>20247.331999999999</v>
      </c>
      <c r="BN108">
        <v>29364.69400000001</v>
      </c>
      <c r="BO108">
        <v>45000</v>
      </c>
      <c r="BP108">
        <v>1149602.8999999999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 x14ac:dyDescent="0.35">
      <c r="A109">
        <v>348467</v>
      </c>
      <c r="B109" t="s">
        <v>289</v>
      </c>
      <c r="C109" t="s">
        <v>290</v>
      </c>
      <c r="D109" s="1">
        <v>45807</v>
      </c>
      <c r="E109">
        <v>53850</v>
      </c>
      <c r="F109">
        <v>121</v>
      </c>
      <c r="G109" t="s">
        <v>85</v>
      </c>
      <c r="H109" t="s">
        <v>48</v>
      </c>
      <c r="I109" t="s">
        <v>49</v>
      </c>
      <c r="K109" t="s">
        <v>471</v>
      </c>
      <c r="L109">
        <v>1213300010474</v>
      </c>
      <c r="M109">
        <v>20250529</v>
      </c>
      <c r="N109" t="s">
        <v>222</v>
      </c>
      <c r="P109" t="s">
        <v>296</v>
      </c>
      <c r="Q109" t="s">
        <v>61</v>
      </c>
      <c r="R109">
        <v>3056.06</v>
      </c>
      <c r="S109">
        <v>0</v>
      </c>
      <c r="T109">
        <v>4797139</v>
      </c>
      <c r="U109" t="s">
        <v>309</v>
      </c>
      <c r="V109" t="s">
        <v>310</v>
      </c>
      <c r="W109" t="s">
        <v>51</v>
      </c>
      <c r="Y109" t="s">
        <v>52</v>
      </c>
      <c r="Z109">
        <v>964</v>
      </c>
      <c r="AH109">
        <v>0</v>
      </c>
      <c r="AI109">
        <v>202505</v>
      </c>
      <c r="AJ109" t="s">
        <v>203</v>
      </c>
      <c r="AK109">
        <v>1</v>
      </c>
      <c r="AL109">
        <v>1</v>
      </c>
      <c r="AO109">
        <v>0</v>
      </c>
      <c r="AP109">
        <v>999</v>
      </c>
      <c r="AQ109">
        <v>600</v>
      </c>
      <c r="AR109">
        <v>600999</v>
      </c>
      <c r="AS109" t="s">
        <v>53</v>
      </c>
      <c r="AU109" t="s">
        <v>53</v>
      </c>
      <c r="AV109">
        <v>1000</v>
      </c>
      <c r="AW109">
        <v>1186.4000000000001</v>
      </c>
      <c r="AX109">
        <v>1500</v>
      </c>
      <c r="AY109">
        <v>1680.386</v>
      </c>
      <c r="AZ109">
        <v>1992.48</v>
      </c>
      <c r="BA109">
        <v>2399.98</v>
      </c>
      <c r="BB109">
        <v>2739.2040000000002</v>
      </c>
      <c r="BC109">
        <v>3000</v>
      </c>
      <c r="BD109">
        <v>3500</v>
      </c>
      <c r="BE109">
        <v>4000</v>
      </c>
      <c r="BF109">
        <v>4800</v>
      </c>
      <c r="BG109">
        <v>5000</v>
      </c>
      <c r="BH109">
        <v>5024.4139999999998</v>
      </c>
      <c r="BI109">
        <v>5617.9639999999999</v>
      </c>
      <c r="BJ109">
        <v>9836.84</v>
      </c>
      <c r="BK109">
        <v>12377.16</v>
      </c>
      <c r="BL109">
        <v>16956.52800000002</v>
      </c>
      <c r="BM109">
        <v>20247.331999999999</v>
      </c>
      <c r="BN109">
        <v>29364.69400000001</v>
      </c>
      <c r="BO109">
        <v>45000</v>
      </c>
      <c r="BP109">
        <v>1149602.8999999999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 x14ac:dyDescent="0.35">
      <c r="A110">
        <v>348466</v>
      </c>
      <c r="B110" t="s">
        <v>289</v>
      </c>
      <c r="C110" t="s">
        <v>290</v>
      </c>
      <c r="D110" s="1">
        <v>45807</v>
      </c>
      <c r="E110">
        <v>53850</v>
      </c>
      <c r="F110">
        <v>173</v>
      </c>
      <c r="G110" t="s">
        <v>226</v>
      </c>
      <c r="H110" t="s">
        <v>48</v>
      </c>
      <c r="I110" t="s">
        <v>49</v>
      </c>
      <c r="K110" t="s">
        <v>472</v>
      </c>
      <c r="L110">
        <v>1733302705346</v>
      </c>
      <c r="M110">
        <v>20250529</v>
      </c>
      <c r="N110" t="s">
        <v>222</v>
      </c>
      <c r="P110" t="s">
        <v>291</v>
      </c>
      <c r="Q110" t="s">
        <v>61</v>
      </c>
      <c r="R110">
        <v>1690</v>
      </c>
      <c r="S110">
        <v>0</v>
      </c>
      <c r="T110">
        <v>4669709</v>
      </c>
      <c r="U110">
        <v>7222880721</v>
      </c>
      <c r="V110" t="s">
        <v>473</v>
      </c>
      <c r="W110" t="s">
        <v>58</v>
      </c>
      <c r="X110" t="s">
        <v>124</v>
      </c>
      <c r="Y110" t="s">
        <v>52</v>
      </c>
      <c r="Z110">
        <v>1530</v>
      </c>
      <c r="AH110">
        <v>0</v>
      </c>
      <c r="AI110">
        <v>202505</v>
      </c>
      <c r="AJ110" t="s">
        <v>203</v>
      </c>
      <c r="AK110">
        <v>1</v>
      </c>
      <c r="AL110">
        <v>1</v>
      </c>
      <c r="AO110">
        <v>0</v>
      </c>
      <c r="AP110">
        <v>999</v>
      </c>
      <c r="AQ110">
        <v>430</v>
      </c>
      <c r="AR110">
        <v>430999</v>
      </c>
      <c r="AT110">
        <v>1</v>
      </c>
      <c r="AU110" t="s">
        <v>59</v>
      </c>
      <c r="AV110">
        <v>1000</v>
      </c>
      <c r="AW110">
        <v>1186.4000000000001</v>
      </c>
      <c r="AX110">
        <v>1500</v>
      </c>
      <c r="AY110">
        <v>1680.386</v>
      </c>
      <c r="AZ110">
        <v>1992.48</v>
      </c>
      <c r="BA110">
        <v>2399.98</v>
      </c>
      <c r="BB110">
        <v>2739.2040000000002</v>
      </c>
      <c r="BC110">
        <v>3000</v>
      </c>
      <c r="BD110">
        <v>3500</v>
      </c>
      <c r="BE110">
        <v>4000</v>
      </c>
      <c r="BF110">
        <v>4800</v>
      </c>
      <c r="BG110">
        <v>5000</v>
      </c>
      <c r="BH110">
        <v>5024.4139999999998</v>
      </c>
      <c r="BI110">
        <v>5617.9639999999999</v>
      </c>
      <c r="BJ110">
        <v>9836.84</v>
      </c>
      <c r="BK110">
        <v>12377.16</v>
      </c>
      <c r="BL110">
        <v>16956.52800000002</v>
      </c>
      <c r="BM110">
        <v>20247.331999999999</v>
      </c>
      <c r="BN110">
        <v>29364.69400000001</v>
      </c>
      <c r="BO110">
        <v>45000</v>
      </c>
      <c r="BP110">
        <v>1149602.8999999999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 x14ac:dyDescent="0.35">
      <c r="A111">
        <v>348458</v>
      </c>
      <c r="B111" t="s">
        <v>289</v>
      </c>
      <c r="C111" t="s">
        <v>290</v>
      </c>
      <c r="D111" s="1">
        <v>45807</v>
      </c>
      <c r="E111">
        <v>53850</v>
      </c>
      <c r="F111">
        <v>129</v>
      </c>
      <c r="G111" t="s">
        <v>81</v>
      </c>
      <c r="H111" t="s">
        <v>48</v>
      </c>
      <c r="I111" t="s">
        <v>49</v>
      </c>
      <c r="K111">
        <v>202505298021998</v>
      </c>
      <c r="L111">
        <v>1293300002811</v>
      </c>
      <c r="M111">
        <v>20250529</v>
      </c>
      <c r="N111" t="s">
        <v>222</v>
      </c>
      <c r="P111" t="s">
        <v>291</v>
      </c>
      <c r="Q111" t="s">
        <v>61</v>
      </c>
      <c r="R111">
        <v>15638.64</v>
      </c>
      <c r="S111">
        <v>0</v>
      </c>
      <c r="T111">
        <v>4972184</v>
      </c>
      <c r="U111">
        <v>7780290727</v>
      </c>
      <c r="V111" t="s">
        <v>355</v>
      </c>
      <c r="W111" t="s">
        <v>58</v>
      </c>
      <c r="X111" t="s">
        <v>356</v>
      </c>
      <c r="Y111" t="s">
        <v>52</v>
      </c>
      <c r="Z111">
        <v>1058</v>
      </c>
      <c r="AH111">
        <v>0</v>
      </c>
      <c r="AI111">
        <v>202505</v>
      </c>
      <c r="AJ111" t="s">
        <v>55</v>
      </c>
      <c r="AK111">
        <v>0</v>
      </c>
      <c r="AL111">
        <v>1</v>
      </c>
      <c r="AO111">
        <v>0</v>
      </c>
      <c r="AP111">
        <v>999</v>
      </c>
      <c r="AQ111">
        <v>430</v>
      </c>
      <c r="AR111">
        <v>430999</v>
      </c>
      <c r="AT111">
        <v>1</v>
      </c>
      <c r="AU111" t="s">
        <v>59</v>
      </c>
      <c r="AV111">
        <v>1000</v>
      </c>
      <c r="AW111">
        <v>1186.4000000000001</v>
      </c>
      <c r="AX111">
        <v>1500</v>
      </c>
      <c r="AY111">
        <v>1680.386</v>
      </c>
      <c r="AZ111">
        <v>1992.48</v>
      </c>
      <c r="BA111">
        <v>2399.98</v>
      </c>
      <c r="BB111">
        <v>2739.2040000000002</v>
      </c>
      <c r="BC111">
        <v>3000</v>
      </c>
      <c r="BD111">
        <v>3500</v>
      </c>
      <c r="BE111">
        <v>4000</v>
      </c>
      <c r="BF111">
        <v>4800</v>
      </c>
      <c r="BG111">
        <v>5000</v>
      </c>
      <c r="BH111">
        <v>5024.4139999999998</v>
      </c>
      <c r="BI111">
        <v>5617.9639999999999</v>
      </c>
      <c r="BJ111">
        <v>9836.84</v>
      </c>
      <c r="BK111">
        <v>12377.16</v>
      </c>
      <c r="BL111">
        <v>16956.52800000002</v>
      </c>
      <c r="BM111">
        <v>20247.331999999999</v>
      </c>
      <c r="BN111">
        <v>29364.69400000001</v>
      </c>
      <c r="BO111">
        <v>45000</v>
      </c>
      <c r="BP111">
        <v>1149602.8999999999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 x14ac:dyDescent="0.35">
      <c r="A112">
        <v>348450</v>
      </c>
      <c r="B112" t="s">
        <v>289</v>
      </c>
      <c r="C112" t="s">
        <v>290</v>
      </c>
      <c r="D112" s="1">
        <v>45806</v>
      </c>
      <c r="E112">
        <v>53850</v>
      </c>
      <c r="F112">
        <v>149</v>
      </c>
      <c r="G112" t="s">
        <v>107</v>
      </c>
      <c r="H112" t="s">
        <v>48</v>
      </c>
      <c r="I112" t="s">
        <v>49</v>
      </c>
      <c r="K112">
        <v>202505288019224</v>
      </c>
      <c r="L112">
        <v>1493300663564</v>
      </c>
      <c r="M112">
        <v>20250528</v>
      </c>
      <c r="N112" t="s">
        <v>222</v>
      </c>
      <c r="P112" t="s">
        <v>303</v>
      </c>
      <c r="Q112" t="s">
        <v>61</v>
      </c>
      <c r="R112">
        <v>29966.5</v>
      </c>
      <c r="S112">
        <v>0</v>
      </c>
      <c r="T112">
        <v>4851736</v>
      </c>
      <c r="U112">
        <v>8243781211</v>
      </c>
      <c r="V112" t="s">
        <v>447</v>
      </c>
      <c r="W112" t="s">
        <v>58</v>
      </c>
      <c r="X112" t="s">
        <v>137</v>
      </c>
      <c r="Y112" t="s">
        <v>52</v>
      </c>
      <c r="Z112">
        <v>1256</v>
      </c>
      <c r="AH112">
        <v>0</v>
      </c>
      <c r="AI112">
        <v>202505</v>
      </c>
      <c r="AJ112" t="s">
        <v>68</v>
      </c>
      <c r="AK112">
        <v>0</v>
      </c>
      <c r="AL112">
        <v>1</v>
      </c>
      <c r="AO112">
        <v>0</v>
      </c>
      <c r="AP112">
        <v>999</v>
      </c>
      <c r="AQ112">
        <v>430</v>
      </c>
      <c r="AR112">
        <v>430999</v>
      </c>
      <c r="AT112">
        <v>1</v>
      </c>
      <c r="AU112" t="s">
        <v>59</v>
      </c>
      <c r="AV112">
        <v>1000</v>
      </c>
      <c r="AW112">
        <v>1186.4000000000001</v>
      </c>
      <c r="AX112">
        <v>1500</v>
      </c>
      <c r="AY112">
        <v>1680.386</v>
      </c>
      <c r="AZ112">
        <v>1992.48</v>
      </c>
      <c r="BA112">
        <v>2399.98</v>
      </c>
      <c r="BB112">
        <v>2739.2040000000002</v>
      </c>
      <c r="BC112">
        <v>3000</v>
      </c>
      <c r="BD112">
        <v>3500</v>
      </c>
      <c r="BE112">
        <v>4000</v>
      </c>
      <c r="BF112">
        <v>4800</v>
      </c>
      <c r="BG112">
        <v>5000</v>
      </c>
      <c r="BH112">
        <v>5024.4139999999998</v>
      </c>
      <c r="BI112">
        <v>5617.9639999999999</v>
      </c>
      <c r="BJ112">
        <v>9836.84</v>
      </c>
      <c r="BK112">
        <v>12377.16</v>
      </c>
      <c r="BL112">
        <v>16956.52800000002</v>
      </c>
      <c r="BM112">
        <v>20247.331999999999</v>
      </c>
      <c r="BN112">
        <v>29364.69400000001</v>
      </c>
      <c r="BO112">
        <v>45000</v>
      </c>
      <c r="BP112">
        <v>1149602.8999999999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0</v>
      </c>
      <c r="CK112">
        <v>0</v>
      </c>
    </row>
    <row r="113" spans="1:89" x14ac:dyDescent="0.35">
      <c r="A113">
        <v>348443</v>
      </c>
      <c r="B113" t="s">
        <v>289</v>
      </c>
      <c r="C113" t="s">
        <v>290</v>
      </c>
      <c r="D113" s="1">
        <v>45806</v>
      </c>
      <c r="E113">
        <v>53850</v>
      </c>
      <c r="F113">
        <v>103</v>
      </c>
      <c r="G113" t="s">
        <v>62</v>
      </c>
      <c r="H113" t="s">
        <v>48</v>
      </c>
      <c r="I113" t="s">
        <v>49</v>
      </c>
      <c r="K113" t="s">
        <v>474</v>
      </c>
      <c r="L113">
        <v>1033301641631</v>
      </c>
      <c r="M113">
        <v>20250528</v>
      </c>
      <c r="N113" t="s">
        <v>222</v>
      </c>
      <c r="P113" t="s">
        <v>303</v>
      </c>
      <c r="Q113" t="s">
        <v>61</v>
      </c>
      <c r="R113">
        <v>1823.17</v>
      </c>
      <c r="S113">
        <v>0</v>
      </c>
      <c r="T113">
        <v>164163</v>
      </c>
      <c r="U113">
        <v>3485840726</v>
      </c>
      <c r="V113" t="s">
        <v>415</v>
      </c>
      <c r="W113" t="s">
        <v>58</v>
      </c>
      <c r="X113" t="s">
        <v>416</v>
      </c>
      <c r="Y113" t="s">
        <v>52</v>
      </c>
      <c r="Z113">
        <v>1274</v>
      </c>
      <c r="AH113">
        <v>0</v>
      </c>
      <c r="AI113">
        <v>202505</v>
      </c>
      <c r="AJ113" t="s">
        <v>203</v>
      </c>
      <c r="AK113">
        <v>1</v>
      </c>
      <c r="AL113">
        <v>1</v>
      </c>
      <c r="AO113">
        <v>0</v>
      </c>
      <c r="AP113">
        <v>453</v>
      </c>
      <c r="AQ113">
        <v>430</v>
      </c>
      <c r="AR113">
        <v>430453</v>
      </c>
      <c r="AS113" t="s">
        <v>65</v>
      </c>
      <c r="AU113" t="s">
        <v>65</v>
      </c>
      <c r="AV113">
        <v>1000</v>
      </c>
      <c r="AW113">
        <v>1186.4000000000001</v>
      </c>
      <c r="AX113">
        <v>1500</v>
      </c>
      <c r="AY113">
        <v>1680.386</v>
      </c>
      <c r="AZ113">
        <v>1992.48</v>
      </c>
      <c r="BA113">
        <v>2399.98</v>
      </c>
      <c r="BB113">
        <v>2739.2040000000002</v>
      </c>
      <c r="BC113">
        <v>3000</v>
      </c>
      <c r="BD113">
        <v>3500</v>
      </c>
      <c r="BE113">
        <v>4000</v>
      </c>
      <c r="BF113">
        <v>4800</v>
      </c>
      <c r="BG113">
        <v>5000</v>
      </c>
      <c r="BH113">
        <v>5024.4139999999998</v>
      </c>
      <c r="BI113">
        <v>5617.9639999999999</v>
      </c>
      <c r="BJ113">
        <v>9836.84</v>
      </c>
      <c r="BK113">
        <v>12377.16</v>
      </c>
      <c r="BL113">
        <v>16956.52800000002</v>
      </c>
      <c r="BM113">
        <v>20247.331999999999</v>
      </c>
      <c r="BN113">
        <v>29364.69400000001</v>
      </c>
      <c r="BO113">
        <v>45000</v>
      </c>
      <c r="BP113">
        <v>1149602.8999999999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 x14ac:dyDescent="0.35">
      <c r="A114">
        <v>348419</v>
      </c>
      <c r="B114" t="s">
        <v>289</v>
      </c>
      <c r="C114" t="s">
        <v>290</v>
      </c>
      <c r="D114" s="1">
        <v>45806</v>
      </c>
      <c r="E114">
        <v>53850</v>
      </c>
      <c r="F114">
        <v>128</v>
      </c>
      <c r="G114" t="s">
        <v>129</v>
      </c>
      <c r="H114" t="s">
        <v>48</v>
      </c>
      <c r="I114" t="s">
        <v>49</v>
      </c>
      <c r="K114">
        <v>202505288019284</v>
      </c>
      <c r="L114">
        <v>1283300002423</v>
      </c>
      <c r="M114">
        <v>20250528</v>
      </c>
      <c r="N114" t="s">
        <v>222</v>
      </c>
      <c r="P114" t="s">
        <v>136</v>
      </c>
      <c r="Q114" t="s">
        <v>61</v>
      </c>
      <c r="R114">
        <v>13128.9</v>
      </c>
      <c r="S114">
        <v>0</v>
      </c>
      <c r="T114">
        <v>4582492</v>
      </c>
      <c r="U114" t="s">
        <v>329</v>
      </c>
      <c r="V114" t="s">
        <v>330</v>
      </c>
      <c r="W114" t="s">
        <v>51</v>
      </c>
      <c r="Y114" t="s">
        <v>52</v>
      </c>
      <c r="Z114">
        <v>726</v>
      </c>
      <c r="AH114">
        <v>0</v>
      </c>
      <c r="AI114">
        <v>202505</v>
      </c>
      <c r="AJ114" t="s">
        <v>55</v>
      </c>
      <c r="AK114">
        <v>0</v>
      </c>
      <c r="AL114">
        <v>1</v>
      </c>
      <c r="AO114">
        <v>0</v>
      </c>
      <c r="AP114">
        <v>999</v>
      </c>
      <c r="AQ114">
        <v>600</v>
      </c>
      <c r="AR114">
        <v>600999</v>
      </c>
      <c r="AS114" t="s">
        <v>53</v>
      </c>
      <c r="AU114" t="s">
        <v>53</v>
      </c>
      <c r="AV114">
        <v>1000</v>
      </c>
      <c r="AW114">
        <v>1186.4000000000001</v>
      </c>
      <c r="AX114">
        <v>1500</v>
      </c>
      <c r="AY114">
        <v>1680.386</v>
      </c>
      <c r="AZ114">
        <v>1992.48</v>
      </c>
      <c r="BA114">
        <v>2399.98</v>
      </c>
      <c r="BB114">
        <v>2739.2040000000002</v>
      </c>
      <c r="BC114">
        <v>3000</v>
      </c>
      <c r="BD114">
        <v>3500</v>
      </c>
      <c r="BE114">
        <v>4000</v>
      </c>
      <c r="BF114">
        <v>4800</v>
      </c>
      <c r="BG114">
        <v>5000</v>
      </c>
      <c r="BH114">
        <v>5024.4139999999998</v>
      </c>
      <c r="BI114">
        <v>5617.9639999999999</v>
      </c>
      <c r="BJ114">
        <v>9836.84</v>
      </c>
      <c r="BK114">
        <v>12377.16</v>
      </c>
      <c r="BL114">
        <v>16956.52800000002</v>
      </c>
      <c r="BM114">
        <v>20247.331999999999</v>
      </c>
      <c r="BN114">
        <v>29364.69400000001</v>
      </c>
      <c r="BO114">
        <v>45000</v>
      </c>
      <c r="BP114">
        <v>1149602.8999999999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 x14ac:dyDescent="0.35">
      <c r="A115">
        <v>348411</v>
      </c>
      <c r="B115" t="s">
        <v>289</v>
      </c>
      <c r="C115" t="s">
        <v>290</v>
      </c>
      <c r="D115" s="1">
        <v>45806</v>
      </c>
      <c r="E115">
        <v>53850</v>
      </c>
      <c r="F115">
        <v>128</v>
      </c>
      <c r="G115" t="s">
        <v>129</v>
      </c>
      <c r="H115" t="s">
        <v>48</v>
      </c>
      <c r="I115" t="s">
        <v>49</v>
      </c>
      <c r="K115">
        <v>202505288019284</v>
      </c>
      <c r="L115">
        <v>1283300002423</v>
      </c>
      <c r="M115">
        <v>20250528</v>
      </c>
      <c r="N115" t="s">
        <v>222</v>
      </c>
      <c r="P115" t="s">
        <v>136</v>
      </c>
      <c r="Q115" t="s">
        <v>61</v>
      </c>
      <c r="R115">
        <v>13128.9</v>
      </c>
      <c r="S115">
        <v>0</v>
      </c>
      <c r="T115">
        <v>4582488</v>
      </c>
      <c r="U115" t="s">
        <v>331</v>
      </c>
      <c r="V115" t="s">
        <v>332</v>
      </c>
      <c r="W115" t="s">
        <v>51</v>
      </c>
      <c r="Y115" t="s">
        <v>52</v>
      </c>
      <c r="Z115">
        <v>726</v>
      </c>
      <c r="AH115">
        <v>0</v>
      </c>
      <c r="AI115">
        <v>202505</v>
      </c>
      <c r="AJ115" t="s">
        <v>215</v>
      </c>
      <c r="AK115">
        <v>1</v>
      </c>
      <c r="AL115">
        <v>1</v>
      </c>
      <c r="AO115">
        <v>0</v>
      </c>
      <c r="AP115">
        <v>999</v>
      </c>
      <c r="AQ115">
        <v>600</v>
      </c>
      <c r="AR115">
        <v>600999</v>
      </c>
      <c r="AS115" t="s">
        <v>53</v>
      </c>
      <c r="AU115" t="s">
        <v>53</v>
      </c>
      <c r="AV115">
        <v>1000</v>
      </c>
      <c r="AW115">
        <v>1186.4000000000001</v>
      </c>
      <c r="AX115">
        <v>1500</v>
      </c>
      <c r="AY115">
        <v>1680.386</v>
      </c>
      <c r="AZ115">
        <v>1992.48</v>
      </c>
      <c r="BA115">
        <v>2399.98</v>
      </c>
      <c r="BB115">
        <v>2739.2040000000002</v>
      </c>
      <c r="BC115">
        <v>3000</v>
      </c>
      <c r="BD115">
        <v>3500</v>
      </c>
      <c r="BE115">
        <v>4000</v>
      </c>
      <c r="BF115">
        <v>4800</v>
      </c>
      <c r="BG115">
        <v>5000</v>
      </c>
      <c r="BH115">
        <v>5024.4139999999998</v>
      </c>
      <c r="BI115">
        <v>5617.9639999999999</v>
      </c>
      <c r="BJ115">
        <v>9836.84</v>
      </c>
      <c r="BK115">
        <v>12377.16</v>
      </c>
      <c r="BL115">
        <v>16956.52800000002</v>
      </c>
      <c r="BM115">
        <v>20247.331999999999</v>
      </c>
      <c r="BN115">
        <v>29364.69400000001</v>
      </c>
      <c r="BO115">
        <v>45000</v>
      </c>
      <c r="BP115">
        <v>1149602.8999999999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 x14ac:dyDescent="0.35">
      <c r="A116">
        <v>348400</v>
      </c>
      <c r="B116" t="s">
        <v>289</v>
      </c>
      <c r="C116" t="s">
        <v>290</v>
      </c>
      <c r="D116" s="1">
        <v>45805</v>
      </c>
      <c r="E116">
        <v>53850</v>
      </c>
      <c r="F116">
        <v>200</v>
      </c>
      <c r="G116" t="s">
        <v>106</v>
      </c>
      <c r="H116" t="s">
        <v>48</v>
      </c>
      <c r="I116" t="s">
        <v>49</v>
      </c>
      <c r="K116">
        <v>202505278016245</v>
      </c>
      <c r="L116">
        <v>2003300003730</v>
      </c>
      <c r="M116">
        <v>20250527</v>
      </c>
      <c r="N116" t="s">
        <v>222</v>
      </c>
      <c r="P116" t="s">
        <v>136</v>
      </c>
      <c r="Q116" t="s">
        <v>50</v>
      </c>
      <c r="R116">
        <v>35000</v>
      </c>
      <c r="S116">
        <v>0</v>
      </c>
      <c r="T116">
        <v>3731305</v>
      </c>
      <c r="U116" t="s">
        <v>112</v>
      </c>
      <c r="V116" t="s">
        <v>113</v>
      </c>
      <c r="W116" t="s">
        <v>51</v>
      </c>
      <c r="Y116" t="s">
        <v>52</v>
      </c>
      <c r="Z116">
        <v>1837</v>
      </c>
      <c r="AH116">
        <v>0</v>
      </c>
      <c r="AI116">
        <v>202505</v>
      </c>
      <c r="AJ116" t="s">
        <v>68</v>
      </c>
      <c r="AK116">
        <v>0</v>
      </c>
      <c r="AL116">
        <v>1</v>
      </c>
      <c r="AO116">
        <v>0</v>
      </c>
      <c r="AP116">
        <v>999</v>
      </c>
      <c r="AQ116">
        <v>600</v>
      </c>
      <c r="AR116">
        <v>600999</v>
      </c>
      <c r="AS116" t="s">
        <v>53</v>
      </c>
      <c r="AU116" t="s">
        <v>53</v>
      </c>
      <c r="AV116">
        <v>1000</v>
      </c>
      <c r="AW116">
        <v>1186.4000000000001</v>
      </c>
      <c r="AX116">
        <v>1500</v>
      </c>
      <c r="AY116">
        <v>1680.386</v>
      </c>
      <c r="AZ116">
        <v>1992.48</v>
      </c>
      <c r="BA116">
        <v>2399.98</v>
      </c>
      <c r="BB116">
        <v>2739.2040000000002</v>
      </c>
      <c r="BC116">
        <v>3000</v>
      </c>
      <c r="BD116">
        <v>3500</v>
      </c>
      <c r="BE116">
        <v>4000</v>
      </c>
      <c r="BF116">
        <v>4800</v>
      </c>
      <c r="BG116">
        <v>5000</v>
      </c>
      <c r="BH116">
        <v>5024.4139999999998</v>
      </c>
      <c r="BI116">
        <v>5617.9639999999999</v>
      </c>
      <c r="BJ116">
        <v>9836.84</v>
      </c>
      <c r="BK116">
        <v>12377.16</v>
      </c>
      <c r="BL116">
        <v>16956.52800000002</v>
      </c>
      <c r="BM116">
        <v>20247.331999999999</v>
      </c>
      <c r="BN116">
        <v>29364.69400000001</v>
      </c>
      <c r="BO116">
        <v>45000</v>
      </c>
      <c r="BP116">
        <v>1149602.8999999999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0</v>
      </c>
      <c r="CK116">
        <v>0</v>
      </c>
    </row>
    <row r="117" spans="1:89" x14ac:dyDescent="0.35">
      <c r="A117">
        <v>348380</v>
      </c>
      <c r="B117" t="s">
        <v>289</v>
      </c>
      <c r="C117" t="s">
        <v>290</v>
      </c>
      <c r="D117" s="1">
        <v>45805</v>
      </c>
      <c r="E117">
        <v>53850</v>
      </c>
      <c r="F117">
        <v>137</v>
      </c>
      <c r="G117" t="s">
        <v>83</v>
      </c>
      <c r="H117" t="s">
        <v>48</v>
      </c>
      <c r="I117" t="s">
        <v>49</v>
      </c>
      <c r="K117">
        <v>202505278017205</v>
      </c>
      <c r="L117">
        <v>1373300005994</v>
      </c>
      <c r="M117">
        <v>20250527</v>
      </c>
      <c r="N117" t="s">
        <v>222</v>
      </c>
      <c r="P117" t="s">
        <v>291</v>
      </c>
      <c r="Q117" t="s">
        <v>50</v>
      </c>
      <c r="R117">
        <v>46876.5</v>
      </c>
      <c r="S117">
        <v>0</v>
      </c>
      <c r="T117">
        <v>3734872</v>
      </c>
      <c r="U117">
        <v>1896670708</v>
      </c>
      <c r="V117" t="s">
        <v>292</v>
      </c>
      <c r="W117" t="s">
        <v>58</v>
      </c>
      <c r="X117" t="s">
        <v>293</v>
      </c>
      <c r="Y117" t="s">
        <v>52</v>
      </c>
      <c r="Z117">
        <v>1867</v>
      </c>
      <c r="AH117">
        <v>0</v>
      </c>
      <c r="AI117">
        <v>202505</v>
      </c>
      <c r="AJ117" t="s">
        <v>68</v>
      </c>
      <c r="AK117">
        <v>0</v>
      </c>
      <c r="AL117">
        <v>1</v>
      </c>
      <c r="AO117">
        <v>0</v>
      </c>
      <c r="AP117">
        <v>999</v>
      </c>
      <c r="AQ117">
        <v>430</v>
      </c>
      <c r="AR117">
        <v>430999</v>
      </c>
      <c r="AT117">
        <v>1</v>
      </c>
      <c r="AU117" t="s">
        <v>59</v>
      </c>
      <c r="AV117">
        <v>1000</v>
      </c>
      <c r="AW117">
        <v>1186.4000000000001</v>
      </c>
      <c r="AX117">
        <v>1500</v>
      </c>
      <c r="AY117">
        <v>1680.386</v>
      </c>
      <c r="AZ117">
        <v>1992.48</v>
      </c>
      <c r="BA117">
        <v>2399.98</v>
      </c>
      <c r="BB117">
        <v>2739.2040000000002</v>
      </c>
      <c r="BC117">
        <v>3000</v>
      </c>
      <c r="BD117">
        <v>3500</v>
      </c>
      <c r="BE117">
        <v>4000</v>
      </c>
      <c r="BF117">
        <v>4800</v>
      </c>
      <c r="BG117">
        <v>5000</v>
      </c>
      <c r="BH117">
        <v>5024.4139999999998</v>
      </c>
      <c r="BI117">
        <v>5617.9639999999999</v>
      </c>
      <c r="BJ117">
        <v>9836.84</v>
      </c>
      <c r="BK117">
        <v>12377.16</v>
      </c>
      <c r="BL117">
        <v>16956.52800000002</v>
      </c>
      <c r="BM117">
        <v>20247.331999999999</v>
      </c>
      <c r="BN117">
        <v>29364.69400000001</v>
      </c>
      <c r="BO117">
        <v>45000</v>
      </c>
      <c r="BP117">
        <v>1149602.8999999999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0</v>
      </c>
    </row>
    <row r="118" spans="1:89" x14ac:dyDescent="0.35">
      <c r="A118">
        <v>348349</v>
      </c>
      <c r="B118" t="s">
        <v>289</v>
      </c>
      <c r="C118" t="s">
        <v>290</v>
      </c>
      <c r="D118" s="1">
        <v>45804</v>
      </c>
      <c r="E118">
        <v>53850</v>
      </c>
      <c r="F118">
        <v>282</v>
      </c>
      <c r="G118" t="s">
        <v>110</v>
      </c>
      <c r="H118" t="s">
        <v>48</v>
      </c>
      <c r="I118" t="s">
        <v>49</v>
      </c>
      <c r="K118" t="s">
        <v>475</v>
      </c>
      <c r="L118">
        <v>2823300001773</v>
      </c>
      <c r="M118">
        <v>20250526</v>
      </c>
      <c r="N118" t="s">
        <v>222</v>
      </c>
      <c r="P118" t="s">
        <v>136</v>
      </c>
      <c r="Q118" t="s">
        <v>61</v>
      </c>
      <c r="R118">
        <v>3000</v>
      </c>
      <c r="S118">
        <v>0</v>
      </c>
      <c r="T118">
        <v>1669726</v>
      </c>
      <c r="U118" t="s">
        <v>314</v>
      </c>
      <c r="V118" t="s">
        <v>315</v>
      </c>
      <c r="W118" t="s">
        <v>51</v>
      </c>
      <c r="Y118" t="s">
        <v>52</v>
      </c>
      <c r="Z118">
        <v>1802</v>
      </c>
      <c r="AH118">
        <v>0</v>
      </c>
      <c r="AI118">
        <v>202505</v>
      </c>
      <c r="AJ118" t="s">
        <v>55</v>
      </c>
      <c r="AK118">
        <v>0</v>
      </c>
      <c r="AL118">
        <v>1</v>
      </c>
      <c r="AO118">
        <v>0</v>
      </c>
      <c r="AP118">
        <v>999</v>
      </c>
      <c r="AQ118">
        <v>600</v>
      </c>
      <c r="AR118">
        <v>600999</v>
      </c>
      <c r="AS118" t="s">
        <v>53</v>
      </c>
      <c r="AU118" t="s">
        <v>53</v>
      </c>
      <c r="AV118">
        <v>1000</v>
      </c>
      <c r="AW118">
        <v>1186.4000000000001</v>
      </c>
      <c r="AX118">
        <v>1500</v>
      </c>
      <c r="AY118">
        <v>1680.386</v>
      </c>
      <c r="AZ118">
        <v>1992.48</v>
      </c>
      <c r="BA118">
        <v>2399.98</v>
      </c>
      <c r="BB118">
        <v>2739.2040000000002</v>
      </c>
      <c r="BC118">
        <v>3000</v>
      </c>
      <c r="BD118">
        <v>3500</v>
      </c>
      <c r="BE118">
        <v>4000</v>
      </c>
      <c r="BF118">
        <v>4800</v>
      </c>
      <c r="BG118">
        <v>5000</v>
      </c>
      <c r="BH118">
        <v>5024.4139999999998</v>
      </c>
      <c r="BI118">
        <v>5617.9639999999999</v>
      </c>
      <c r="BJ118">
        <v>9836.84</v>
      </c>
      <c r="BK118">
        <v>12377.16</v>
      </c>
      <c r="BL118">
        <v>16956.52800000002</v>
      </c>
      <c r="BM118">
        <v>20247.331999999999</v>
      </c>
      <c r="BN118">
        <v>29364.69400000001</v>
      </c>
      <c r="BO118">
        <v>45000</v>
      </c>
      <c r="BP118">
        <v>1149602.8999999999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 x14ac:dyDescent="0.35">
      <c r="A119">
        <v>348338</v>
      </c>
      <c r="B119" t="s">
        <v>289</v>
      </c>
      <c r="C119" t="s">
        <v>290</v>
      </c>
      <c r="D119" s="1">
        <v>45804</v>
      </c>
      <c r="E119">
        <v>53850</v>
      </c>
      <c r="F119">
        <v>282</v>
      </c>
      <c r="G119" t="s">
        <v>110</v>
      </c>
      <c r="H119" t="s">
        <v>48</v>
      </c>
      <c r="I119" t="s">
        <v>49</v>
      </c>
      <c r="K119" t="s">
        <v>476</v>
      </c>
      <c r="L119">
        <v>2823300001773</v>
      </c>
      <c r="M119">
        <v>20250526</v>
      </c>
      <c r="N119" t="s">
        <v>222</v>
      </c>
      <c r="P119" t="s">
        <v>136</v>
      </c>
      <c r="Q119" t="s">
        <v>61</v>
      </c>
      <c r="R119">
        <v>3000</v>
      </c>
      <c r="S119">
        <v>0</v>
      </c>
      <c r="T119">
        <v>1669726</v>
      </c>
      <c r="U119" t="s">
        <v>314</v>
      </c>
      <c r="V119" t="s">
        <v>315</v>
      </c>
      <c r="W119" t="s">
        <v>51</v>
      </c>
      <c r="Y119" t="s">
        <v>52</v>
      </c>
      <c r="Z119">
        <v>1802</v>
      </c>
      <c r="AH119">
        <v>0</v>
      </c>
      <c r="AI119">
        <v>202505</v>
      </c>
      <c r="AJ119" t="s">
        <v>55</v>
      </c>
      <c r="AK119">
        <v>0</v>
      </c>
      <c r="AL119">
        <v>1</v>
      </c>
      <c r="AO119">
        <v>0</v>
      </c>
      <c r="AP119">
        <v>999</v>
      </c>
      <c r="AQ119">
        <v>600</v>
      </c>
      <c r="AR119">
        <v>600999</v>
      </c>
      <c r="AS119" t="s">
        <v>53</v>
      </c>
      <c r="AU119" t="s">
        <v>53</v>
      </c>
      <c r="AV119">
        <v>1000</v>
      </c>
      <c r="AW119">
        <v>1186.4000000000001</v>
      </c>
      <c r="AX119">
        <v>1500</v>
      </c>
      <c r="AY119">
        <v>1680.386</v>
      </c>
      <c r="AZ119">
        <v>1992.48</v>
      </c>
      <c r="BA119">
        <v>2399.98</v>
      </c>
      <c r="BB119">
        <v>2739.2040000000002</v>
      </c>
      <c r="BC119">
        <v>3000</v>
      </c>
      <c r="BD119">
        <v>3500</v>
      </c>
      <c r="BE119">
        <v>4000</v>
      </c>
      <c r="BF119">
        <v>4800</v>
      </c>
      <c r="BG119">
        <v>5000</v>
      </c>
      <c r="BH119">
        <v>5024.4139999999998</v>
      </c>
      <c r="BI119">
        <v>5617.9639999999999</v>
      </c>
      <c r="BJ119">
        <v>9836.84</v>
      </c>
      <c r="BK119">
        <v>12377.16</v>
      </c>
      <c r="BL119">
        <v>16956.52800000002</v>
      </c>
      <c r="BM119">
        <v>20247.331999999999</v>
      </c>
      <c r="BN119">
        <v>29364.69400000001</v>
      </c>
      <c r="BO119">
        <v>45000</v>
      </c>
      <c r="BP119">
        <v>1149602.8999999999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 x14ac:dyDescent="0.35">
      <c r="A120">
        <v>348286</v>
      </c>
      <c r="B120" t="s">
        <v>289</v>
      </c>
      <c r="C120" t="s">
        <v>290</v>
      </c>
      <c r="D120" s="1">
        <v>45801</v>
      </c>
      <c r="E120">
        <v>53850</v>
      </c>
      <c r="F120">
        <v>109</v>
      </c>
      <c r="G120" t="s">
        <v>74</v>
      </c>
      <c r="H120" t="s">
        <v>48</v>
      </c>
      <c r="I120" t="s">
        <v>49</v>
      </c>
      <c r="K120" t="s">
        <v>692</v>
      </c>
      <c r="L120">
        <v>1093306672844</v>
      </c>
      <c r="M120">
        <v>20250523</v>
      </c>
      <c r="N120" t="s">
        <v>222</v>
      </c>
      <c r="P120" t="s">
        <v>303</v>
      </c>
      <c r="Q120" t="s">
        <v>50</v>
      </c>
      <c r="R120">
        <v>4800</v>
      </c>
      <c r="S120">
        <v>0</v>
      </c>
      <c r="T120">
        <v>440311</v>
      </c>
      <c r="U120">
        <v>3550290724</v>
      </c>
      <c r="V120" t="s">
        <v>687</v>
      </c>
      <c r="W120" t="s">
        <v>58</v>
      </c>
      <c r="X120" t="s">
        <v>237</v>
      </c>
      <c r="Y120" t="s">
        <v>52</v>
      </c>
      <c r="Z120">
        <v>1903</v>
      </c>
      <c r="AH120">
        <v>0</v>
      </c>
      <c r="AI120">
        <v>202505</v>
      </c>
      <c r="AJ120" t="s">
        <v>68</v>
      </c>
      <c r="AK120">
        <v>0</v>
      </c>
      <c r="AL120">
        <v>1</v>
      </c>
      <c r="AM120">
        <v>440311</v>
      </c>
      <c r="AN120">
        <v>1</v>
      </c>
      <c r="AO120">
        <v>0</v>
      </c>
      <c r="AP120">
        <v>451</v>
      </c>
      <c r="AQ120">
        <v>430</v>
      </c>
      <c r="AR120">
        <v>430451</v>
      </c>
      <c r="AS120" t="s">
        <v>65</v>
      </c>
      <c r="AU120" t="s">
        <v>65</v>
      </c>
      <c r="AV120">
        <v>1000</v>
      </c>
      <c r="AW120">
        <v>1186.4000000000001</v>
      </c>
      <c r="AX120">
        <v>1500</v>
      </c>
      <c r="AY120">
        <v>1680.386</v>
      </c>
      <c r="AZ120">
        <v>1992.48</v>
      </c>
      <c r="BA120">
        <v>2399.98</v>
      </c>
      <c r="BB120">
        <v>2739.2040000000002</v>
      </c>
      <c r="BC120">
        <v>3000</v>
      </c>
      <c r="BD120">
        <v>3500</v>
      </c>
      <c r="BE120">
        <v>4000</v>
      </c>
      <c r="BF120">
        <v>4800</v>
      </c>
      <c r="BG120">
        <v>5000</v>
      </c>
      <c r="BH120">
        <v>5024.4139999999998</v>
      </c>
      <c r="BI120">
        <v>5617.9639999999999</v>
      </c>
      <c r="BJ120">
        <v>9836.84</v>
      </c>
      <c r="BK120">
        <v>12377.16</v>
      </c>
      <c r="BL120">
        <v>16956.52800000002</v>
      </c>
      <c r="BM120">
        <v>20247.331999999999</v>
      </c>
      <c r="BN120">
        <v>29364.69400000001</v>
      </c>
      <c r="BO120">
        <v>45000</v>
      </c>
      <c r="BP120">
        <v>1149602.8999999999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 x14ac:dyDescent="0.35">
      <c r="A121">
        <v>348267</v>
      </c>
      <c r="B121" t="s">
        <v>289</v>
      </c>
      <c r="C121" t="s">
        <v>290</v>
      </c>
      <c r="D121" s="1">
        <v>45800</v>
      </c>
      <c r="E121">
        <v>53850</v>
      </c>
      <c r="F121">
        <v>173</v>
      </c>
      <c r="G121" t="s">
        <v>226</v>
      </c>
      <c r="H121" t="s">
        <v>48</v>
      </c>
      <c r="I121" t="s">
        <v>49</v>
      </c>
      <c r="K121" t="s">
        <v>693</v>
      </c>
      <c r="L121">
        <v>1733302704312</v>
      </c>
      <c r="M121">
        <v>20250522</v>
      </c>
      <c r="N121" t="s">
        <v>222</v>
      </c>
      <c r="P121" t="s">
        <v>303</v>
      </c>
      <c r="Q121" t="s">
        <v>61</v>
      </c>
      <c r="R121">
        <v>1641.6</v>
      </c>
      <c r="S121">
        <v>0</v>
      </c>
      <c r="T121">
        <v>4386378</v>
      </c>
      <c r="U121" t="s">
        <v>694</v>
      </c>
      <c r="V121" t="s">
        <v>695</v>
      </c>
      <c r="W121" t="s">
        <v>101</v>
      </c>
      <c r="X121" t="s">
        <v>696</v>
      </c>
      <c r="Y121" t="s">
        <v>52</v>
      </c>
      <c r="Z121">
        <v>1530</v>
      </c>
      <c r="AH121">
        <v>0</v>
      </c>
      <c r="AI121">
        <v>202505</v>
      </c>
      <c r="AJ121" t="s">
        <v>68</v>
      </c>
      <c r="AK121">
        <v>0</v>
      </c>
      <c r="AL121">
        <v>1</v>
      </c>
      <c r="AM121">
        <v>4386378</v>
      </c>
      <c r="AN121">
        <v>1</v>
      </c>
      <c r="AO121">
        <v>0</v>
      </c>
      <c r="AP121">
        <v>999</v>
      </c>
      <c r="AQ121">
        <v>614</v>
      </c>
      <c r="AR121">
        <v>614999</v>
      </c>
      <c r="AT121">
        <v>1</v>
      </c>
      <c r="AU121" t="s">
        <v>65</v>
      </c>
      <c r="AV121">
        <v>1000</v>
      </c>
      <c r="AW121">
        <v>1186.4000000000001</v>
      </c>
      <c r="AX121">
        <v>1500</v>
      </c>
      <c r="AY121">
        <v>1680.386</v>
      </c>
      <c r="AZ121">
        <v>1992.48</v>
      </c>
      <c r="BA121">
        <v>2399.98</v>
      </c>
      <c r="BB121">
        <v>2739.2040000000002</v>
      </c>
      <c r="BC121">
        <v>3000</v>
      </c>
      <c r="BD121">
        <v>3500</v>
      </c>
      <c r="BE121">
        <v>4000</v>
      </c>
      <c r="BF121">
        <v>4800</v>
      </c>
      <c r="BG121">
        <v>5000</v>
      </c>
      <c r="BH121">
        <v>5024.4139999999998</v>
      </c>
      <c r="BI121">
        <v>5617.9639999999999</v>
      </c>
      <c r="BJ121">
        <v>9836.84</v>
      </c>
      <c r="BK121">
        <v>12377.16</v>
      </c>
      <c r="BL121">
        <v>16956.52800000002</v>
      </c>
      <c r="BM121">
        <v>20247.331999999999</v>
      </c>
      <c r="BN121">
        <v>29364.69400000001</v>
      </c>
      <c r="BO121">
        <v>45000</v>
      </c>
      <c r="BP121">
        <v>1149602.8999999999</v>
      </c>
      <c r="BQ121">
        <v>1</v>
      </c>
      <c r="BR121">
        <v>1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 x14ac:dyDescent="0.35">
      <c r="A122">
        <v>348262</v>
      </c>
      <c r="B122" t="s">
        <v>289</v>
      </c>
      <c r="C122" t="s">
        <v>290</v>
      </c>
      <c r="D122" s="1">
        <v>45800</v>
      </c>
      <c r="E122">
        <v>53850</v>
      </c>
      <c r="F122">
        <v>261</v>
      </c>
      <c r="G122" t="s">
        <v>96</v>
      </c>
      <c r="H122" t="s">
        <v>48</v>
      </c>
      <c r="I122" t="s">
        <v>49</v>
      </c>
      <c r="K122" t="s">
        <v>477</v>
      </c>
      <c r="L122">
        <v>2613300001265</v>
      </c>
      <c r="M122">
        <v>20250522</v>
      </c>
      <c r="N122" t="s">
        <v>222</v>
      </c>
      <c r="P122" t="s">
        <v>296</v>
      </c>
      <c r="Q122" t="s">
        <v>61</v>
      </c>
      <c r="R122">
        <v>1200.5</v>
      </c>
      <c r="S122">
        <v>0</v>
      </c>
      <c r="T122">
        <v>1625403</v>
      </c>
      <c r="U122" t="s">
        <v>392</v>
      </c>
      <c r="V122" t="s">
        <v>393</v>
      </c>
      <c r="W122" t="s">
        <v>51</v>
      </c>
      <c r="Y122" t="s">
        <v>52</v>
      </c>
      <c r="Z122">
        <v>1755</v>
      </c>
      <c r="AH122">
        <v>0</v>
      </c>
      <c r="AI122">
        <v>202505</v>
      </c>
      <c r="AJ122" t="s">
        <v>68</v>
      </c>
      <c r="AK122">
        <v>0</v>
      </c>
      <c r="AL122">
        <v>1</v>
      </c>
      <c r="AO122">
        <v>0</v>
      </c>
      <c r="AP122">
        <v>999</v>
      </c>
      <c r="AQ122">
        <v>600</v>
      </c>
      <c r="AR122">
        <v>600999</v>
      </c>
      <c r="AS122" t="s">
        <v>53</v>
      </c>
      <c r="AU122" t="s">
        <v>53</v>
      </c>
      <c r="AV122">
        <v>1000</v>
      </c>
      <c r="AW122">
        <v>1186.4000000000001</v>
      </c>
      <c r="AX122">
        <v>1500</v>
      </c>
      <c r="AY122">
        <v>1680.386</v>
      </c>
      <c r="AZ122">
        <v>1992.48</v>
      </c>
      <c r="BA122">
        <v>2399.98</v>
      </c>
      <c r="BB122">
        <v>2739.2040000000002</v>
      </c>
      <c r="BC122">
        <v>3000</v>
      </c>
      <c r="BD122">
        <v>3500</v>
      </c>
      <c r="BE122">
        <v>4000</v>
      </c>
      <c r="BF122">
        <v>4800</v>
      </c>
      <c r="BG122">
        <v>5000</v>
      </c>
      <c r="BH122">
        <v>5024.4139999999998</v>
      </c>
      <c r="BI122">
        <v>5617.9639999999999</v>
      </c>
      <c r="BJ122">
        <v>9836.84</v>
      </c>
      <c r="BK122">
        <v>12377.16</v>
      </c>
      <c r="BL122">
        <v>16956.52800000002</v>
      </c>
      <c r="BM122">
        <v>20247.331999999999</v>
      </c>
      <c r="BN122">
        <v>29364.69400000001</v>
      </c>
      <c r="BO122">
        <v>45000</v>
      </c>
      <c r="BP122">
        <v>1149602.8999999999</v>
      </c>
      <c r="BQ122">
        <v>1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 x14ac:dyDescent="0.35">
      <c r="A123">
        <v>348259</v>
      </c>
      <c r="B123" t="s">
        <v>289</v>
      </c>
      <c r="C123" t="s">
        <v>290</v>
      </c>
      <c r="D123" s="1">
        <v>45800</v>
      </c>
      <c r="E123">
        <v>53850</v>
      </c>
      <c r="F123">
        <v>189</v>
      </c>
      <c r="G123" t="s">
        <v>223</v>
      </c>
      <c r="H123" t="s">
        <v>48</v>
      </c>
      <c r="I123" t="s">
        <v>49</v>
      </c>
      <c r="K123">
        <v>202505228001235</v>
      </c>
      <c r="L123">
        <v>1893300039198</v>
      </c>
      <c r="M123">
        <v>20250522</v>
      </c>
      <c r="N123" t="s">
        <v>222</v>
      </c>
      <c r="P123" t="s">
        <v>303</v>
      </c>
      <c r="Q123" t="s">
        <v>50</v>
      </c>
      <c r="R123">
        <v>52800</v>
      </c>
      <c r="S123">
        <v>0</v>
      </c>
      <c r="T123">
        <v>4946691</v>
      </c>
      <c r="U123">
        <v>3168470734</v>
      </c>
      <c r="V123" t="s">
        <v>478</v>
      </c>
      <c r="W123" t="s">
        <v>58</v>
      </c>
      <c r="X123" t="s">
        <v>479</v>
      </c>
      <c r="Y123" t="s">
        <v>52</v>
      </c>
      <c r="Z123">
        <v>1381</v>
      </c>
      <c r="AH123">
        <v>0</v>
      </c>
      <c r="AI123">
        <v>202505</v>
      </c>
      <c r="AJ123" t="s">
        <v>203</v>
      </c>
      <c r="AK123">
        <v>1</v>
      </c>
      <c r="AL123">
        <v>1</v>
      </c>
      <c r="AO123">
        <v>0</v>
      </c>
      <c r="AP123">
        <v>999</v>
      </c>
      <c r="AQ123">
        <v>430</v>
      </c>
      <c r="AR123">
        <v>430999</v>
      </c>
      <c r="AT123">
        <v>1</v>
      </c>
      <c r="AU123" t="s">
        <v>59</v>
      </c>
      <c r="AV123">
        <v>1000</v>
      </c>
      <c r="AW123">
        <v>1186.4000000000001</v>
      </c>
      <c r="AX123">
        <v>1500</v>
      </c>
      <c r="AY123">
        <v>1680.386</v>
      </c>
      <c r="AZ123">
        <v>1992.48</v>
      </c>
      <c r="BA123">
        <v>2399.98</v>
      </c>
      <c r="BB123">
        <v>2739.2040000000002</v>
      </c>
      <c r="BC123">
        <v>3000</v>
      </c>
      <c r="BD123">
        <v>3500</v>
      </c>
      <c r="BE123">
        <v>4000</v>
      </c>
      <c r="BF123">
        <v>4800</v>
      </c>
      <c r="BG123">
        <v>5000</v>
      </c>
      <c r="BH123">
        <v>5024.4139999999998</v>
      </c>
      <c r="BI123">
        <v>5617.9639999999999</v>
      </c>
      <c r="BJ123">
        <v>9836.84</v>
      </c>
      <c r="BK123">
        <v>12377.16</v>
      </c>
      <c r="BL123">
        <v>16956.52800000002</v>
      </c>
      <c r="BM123">
        <v>20247.331999999999</v>
      </c>
      <c r="BN123">
        <v>29364.69400000001</v>
      </c>
      <c r="BO123">
        <v>45000</v>
      </c>
      <c r="BP123">
        <v>1149602.8999999999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0</v>
      </c>
    </row>
    <row r="124" spans="1:89" x14ac:dyDescent="0.35">
      <c r="A124">
        <v>348258</v>
      </c>
      <c r="B124" t="s">
        <v>289</v>
      </c>
      <c r="C124" t="s">
        <v>290</v>
      </c>
      <c r="D124" s="1">
        <v>45800</v>
      </c>
      <c r="E124">
        <v>53850</v>
      </c>
      <c r="F124">
        <v>116</v>
      </c>
      <c r="G124" t="s">
        <v>209</v>
      </c>
      <c r="H124" t="s">
        <v>48</v>
      </c>
      <c r="I124" t="s">
        <v>49</v>
      </c>
      <c r="K124" t="s">
        <v>480</v>
      </c>
      <c r="L124">
        <v>1423300308490</v>
      </c>
      <c r="M124">
        <v>20250522</v>
      </c>
      <c r="N124" t="s">
        <v>222</v>
      </c>
      <c r="P124" t="s">
        <v>303</v>
      </c>
      <c r="Q124" t="s">
        <v>61</v>
      </c>
      <c r="R124">
        <v>1865</v>
      </c>
      <c r="S124">
        <v>0</v>
      </c>
      <c r="T124">
        <v>4793312</v>
      </c>
      <c r="U124">
        <v>2314700747</v>
      </c>
      <c r="V124" t="s">
        <v>328</v>
      </c>
      <c r="W124" t="s">
        <v>58</v>
      </c>
      <c r="X124" t="s">
        <v>137</v>
      </c>
      <c r="Y124" t="s">
        <v>52</v>
      </c>
      <c r="Z124">
        <v>417</v>
      </c>
      <c r="AH124">
        <v>0</v>
      </c>
      <c r="AI124">
        <v>202505</v>
      </c>
      <c r="AJ124" t="s">
        <v>203</v>
      </c>
      <c r="AK124">
        <v>1</v>
      </c>
      <c r="AL124">
        <v>1</v>
      </c>
      <c r="AO124">
        <v>0</v>
      </c>
      <c r="AP124">
        <v>999</v>
      </c>
      <c r="AQ124">
        <v>430</v>
      </c>
      <c r="AR124">
        <v>430999</v>
      </c>
      <c r="AT124">
        <v>1</v>
      </c>
      <c r="AU124" t="s">
        <v>59</v>
      </c>
      <c r="AV124">
        <v>1000</v>
      </c>
      <c r="AW124">
        <v>1186.4000000000001</v>
      </c>
      <c r="AX124">
        <v>1500</v>
      </c>
      <c r="AY124">
        <v>1680.386</v>
      </c>
      <c r="AZ124">
        <v>1992.48</v>
      </c>
      <c r="BA124">
        <v>2399.98</v>
      </c>
      <c r="BB124">
        <v>2739.2040000000002</v>
      </c>
      <c r="BC124">
        <v>3000</v>
      </c>
      <c r="BD124">
        <v>3500</v>
      </c>
      <c r="BE124">
        <v>4000</v>
      </c>
      <c r="BF124">
        <v>4800</v>
      </c>
      <c r="BG124">
        <v>5000</v>
      </c>
      <c r="BH124">
        <v>5024.4139999999998</v>
      </c>
      <c r="BI124">
        <v>5617.9639999999999</v>
      </c>
      <c r="BJ124">
        <v>9836.84</v>
      </c>
      <c r="BK124">
        <v>12377.16</v>
      </c>
      <c r="BL124">
        <v>16956.52800000002</v>
      </c>
      <c r="BM124">
        <v>20247.331999999999</v>
      </c>
      <c r="BN124">
        <v>29364.69400000001</v>
      </c>
      <c r="BO124">
        <v>45000</v>
      </c>
      <c r="BP124">
        <v>1149602.8999999999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 x14ac:dyDescent="0.35">
      <c r="A125">
        <v>348256</v>
      </c>
      <c r="B125" t="s">
        <v>289</v>
      </c>
      <c r="C125" t="s">
        <v>290</v>
      </c>
      <c r="D125" s="1">
        <v>45800</v>
      </c>
      <c r="E125">
        <v>53850</v>
      </c>
      <c r="F125">
        <v>187</v>
      </c>
      <c r="G125" t="s">
        <v>75</v>
      </c>
      <c r="H125" t="s">
        <v>48</v>
      </c>
      <c r="I125" t="s">
        <v>49</v>
      </c>
      <c r="K125">
        <v>202505228002422</v>
      </c>
      <c r="L125">
        <v>1873300102696</v>
      </c>
      <c r="M125">
        <v>20250522</v>
      </c>
      <c r="N125" t="s">
        <v>222</v>
      </c>
      <c r="P125" t="s">
        <v>303</v>
      </c>
      <c r="Q125" t="s">
        <v>61</v>
      </c>
      <c r="R125">
        <v>5028.63</v>
      </c>
      <c r="S125">
        <v>0</v>
      </c>
      <c r="T125">
        <v>4000559</v>
      </c>
      <c r="U125">
        <v>2099160737</v>
      </c>
      <c r="V125" t="s">
        <v>117</v>
      </c>
      <c r="W125" t="s">
        <v>58</v>
      </c>
      <c r="X125" t="s">
        <v>86</v>
      </c>
      <c r="Y125" t="s">
        <v>52</v>
      </c>
      <c r="Z125">
        <v>1627</v>
      </c>
      <c r="AH125">
        <v>0</v>
      </c>
      <c r="AI125">
        <v>202505</v>
      </c>
      <c r="AJ125" t="s">
        <v>68</v>
      </c>
      <c r="AK125">
        <v>0</v>
      </c>
      <c r="AL125">
        <v>1</v>
      </c>
      <c r="AO125">
        <v>0</v>
      </c>
      <c r="AP125">
        <v>463</v>
      </c>
      <c r="AQ125">
        <v>430</v>
      </c>
      <c r="AR125">
        <v>430463</v>
      </c>
      <c r="AS125" t="s">
        <v>65</v>
      </c>
      <c r="AU125" t="s">
        <v>65</v>
      </c>
      <c r="AV125">
        <v>1000</v>
      </c>
      <c r="AW125">
        <v>1186.4000000000001</v>
      </c>
      <c r="AX125">
        <v>1500</v>
      </c>
      <c r="AY125">
        <v>1680.386</v>
      </c>
      <c r="AZ125">
        <v>1992.48</v>
      </c>
      <c r="BA125">
        <v>2399.98</v>
      </c>
      <c r="BB125">
        <v>2739.2040000000002</v>
      </c>
      <c r="BC125">
        <v>3000</v>
      </c>
      <c r="BD125">
        <v>3500</v>
      </c>
      <c r="BE125">
        <v>4000</v>
      </c>
      <c r="BF125">
        <v>4800</v>
      </c>
      <c r="BG125">
        <v>5000</v>
      </c>
      <c r="BH125">
        <v>5024.4139999999998</v>
      </c>
      <c r="BI125">
        <v>5617.9639999999999</v>
      </c>
      <c r="BJ125">
        <v>9836.84</v>
      </c>
      <c r="BK125">
        <v>12377.16</v>
      </c>
      <c r="BL125">
        <v>16956.52800000002</v>
      </c>
      <c r="BM125">
        <v>20247.331999999999</v>
      </c>
      <c r="BN125">
        <v>29364.69400000001</v>
      </c>
      <c r="BO125">
        <v>45000</v>
      </c>
      <c r="BP125">
        <v>1149602.8999999999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 x14ac:dyDescent="0.35">
      <c r="A126">
        <v>348252</v>
      </c>
      <c r="B126" t="s">
        <v>289</v>
      </c>
      <c r="C126" t="s">
        <v>290</v>
      </c>
      <c r="D126" s="1">
        <v>45800</v>
      </c>
      <c r="E126">
        <v>53850</v>
      </c>
      <c r="F126">
        <v>129</v>
      </c>
      <c r="G126" t="s">
        <v>81</v>
      </c>
      <c r="H126" t="s">
        <v>48</v>
      </c>
      <c r="I126" t="s">
        <v>49</v>
      </c>
      <c r="K126" t="s">
        <v>481</v>
      </c>
      <c r="L126">
        <v>1293300002811</v>
      </c>
      <c r="M126">
        <v>20250522</v>
      </c>
      <c r="N126" t="s">
        <v>222</v>
      </c>
      <c r="P126" t="s">
        <v>291</v>
      </c>
      <c r="Q126" t="s">
        <v>61</v>
      </c>
      <c r="R126">
        <v>3000</v>
      </c>
      <c r="S126">
        <v>0</v>
      </c>
      <c r="T126">
        <v>4972184</v>
      </c>
      <c r="U126">
        <v>7780290727</v>
      </c>
      <c r="V126" t="s">
        <v>355</v>
      </c>
      <c r="W126" t="s">
        <v>58</v>
      </c>
      <c r="X126" t="s">
        <v>356</v>
      </c>
      <c r="Y126" t="s">
        <v>52</v>
      </c>
      <c r="Z126">
        <v>1058</v>
      </c>
      <c r="AH126">
        <v>0</v>
      </c>
      <c r="AI126">
        <v>202505</v>
      </c>
      <c r="AJ126" t="s">
        <v>55</v>
      </c>
      <c r="AK126">
        <v>0</v>
      </c>
      <c r="AL126">
        <v>1</v>
      </c>
      <c r="AO126">
        <v>0</v>
      </c>
      <c r="AP126">
        <v>999</v>
      </c>
      <c r="AQ126">
        <v>430</v>
      </c>
      <c r="AR126">
        <v>430999</v>
      </c>
      <c r="AT126">
        <v>1</v>
      </c>
      <c r="AU126" t="s">
        <v>59</v>
      </c>
      <c r="AV126">
        <v>1000</v>
      </c>
      <c r="AW126">
        <v>1186.4000000000001</v>
      </c>
      <c r="AX126">
        <v>1500</v>
      </c>
      <c r="AY126">
        <v>1680.386</v>
      </c>
      <c r="AZ126">
        <v>1992.48</v>
      </c>
      <c r="BA126">
        <v>2399.98</v>
      </c>
      <c r="BB126">
        <v>2739.2040000000002</v>
      </c>
      <c r="BC126">
        <v>3000</v>
      </c>
      <c r="BD126">
        <v>3500</v>
      </c>
      <c r="BE126">
        <v>4000</v>
      </c>
      <c r="BF126">
        <v>4800</v>
      </c>
      <c r="BG126">
        <v>5000</v>
      </c>
      <c r="BH126">
        <v>5024.4139999999998</v>
      </c>
      <c r="BI126">
        <v>5617.9639999999999</v>
      </c>
      <c r="BJ126">
        <v>9836.84</v>
      </c>
      <c r="BK126">
        <v>12377.16</v>
      </c>
      <c r="BL126">
        <v>16956.52800000002</v>
      </c>
      <c r="BM126">
        <v>20247.331999999999</v>
      </c>
      <c r="BN126">
        <v>29364.69400000001</v>
      </c>
      <c r="BO126">
        <v>45000</v>
      </c>
      <c r="BP126">
        <v>1149602.8999999999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 x14ac:dyDescent="0.35">
      <c r="A127">
        <v>348247</v>
      </c>
      <c r="B127" t="s">
        <v>289</v>
      </c>
      <c r="C127" t="s">
        <v>290</v>
      </c>
      <c r="D127" s="1">
        <v>45800</v>
      </c>
      <c r="E127">
        <v>53850</v>
      </c>
      <c r="F127">
        <v>266</v>
      </c>
      <c r="G127" t="s">
        <v>236</v>
      </c>
      <c r="H127" t="s">
        <v>48</v>
      </c>
      <c r="I127" t="s">
        <v>49</v>
      </c>
      <c r="K127">
        <v>202505228002722</v>
      </c>
      <c r="L127">
        <v>2663300000387</v>
      </c>
      <c r="M127">
        <v>20250522</v>
      </c>
      <c r="N127" t="s">
        <v>222</v>
      </c>
      <c r="P127" t="s">
        <v>303</v>
      </c>
      <c r="Q127" t="s">
        <v>61</v>
      </c>
      <c r="R127">
        <v>8000</v>
      </c>
      <c r="S127">
        <v>0</v>
      </c>
      <c r="T127">
        <v>1633798</v>
      </c>
      <c r="U127" t="s">
        <v>482</v>
      </c>
      <c r="V127" t="s">
        <v>483</v>
      </c>
      <c r="W127" t="s">
        <v>51</v>
      </c>
      <c r="Y127" t="s">
        <v>52</v>
      </c>
      <c r="Z127">
        <v>1799</v>
      </c>
      <c r="AH127">
        <v>0</v>
      </c>
      <c r="AI127">
        <v>202505</v>
      </c>
      <c r="AJ127" t="s">
        <v>203</v>
      </c>
      <c r="AK127">
        <v>1</v>
      </c>
      <c r="AL127">
        <v>1</v>
      </c>
      <c r="AO127">
        <v>0</v>
      </c>
      <c r="AP127">
        <v>999</v>
      </c>
      <c r="AQ127">
        <v>600</v>
      </c>
      <c r="AR127">
        <v>600999</v>
      </c>
      <c r="AS127" t="s">
        <v>53</v>
      </c>
      <c r="AU127" t="s">
        <v>53</v>
      </c>
      <c r="AV127">
        <v>1000</v>
      </c>
      <c r="AW127">
        <v>1186.4000000000001</v>
      </c>
      <c r="AX127">
        <v>1500</v>
      </c>
      <c r="AY127">
        <v>1680.386</v>
      </c>
      <c r="AZ127">
        <v>1992.48</v>
      </c>
      <c r="BA127">
        <v>2399.98</v>
      </c>
      <c r="BB127">
        <v>2739.2040000000002</v>
      </c>
      <c r="BC127">
        <v>3000</v>
      </c>
      <c r="BD127">
        <v>3500</v>
      </c>
      <c r="BE127">
        <v>4000</v>
      </c>
      <c r="BF127">
        <v>4800</v>
      </c>
      <c r="BG127">
        <v>5000</v>
      </c>
      <c r="BH127">
        <v>5024.4139999999998</v>
      </c>
      <c r="BI127">
        <v>5617.9639999999999</v>
      </c>
      <c r="BJ127">
        <v>9836.84</v>
      </c>
      <c r="BK127">
        <v>12377.16</v>
      </c>
      <c r="BL127">
        <v>16956.52800000002</v>
      </c>
      <c r="BM127">
        <v>20247.331999999999</v>
      </c>
      <c r="BN127">
        <v>29364.69400000001</v>
      </c>
      <c r="BO127">
        <v>45000</v>
      </c>
      <c r="BP127">
        <v>1149602.8999999999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 x14ac:dyDescent="0.35">
      <c r="A128">
        <v>348242</v>
      </c>
      <c r="B128" t="s">
        <v>289</v>
      </c>
      <c r="C128" t="s">
        <v>290</v>
      </c>
      <c r="D128" s="1">
        <v>45800</v>
      </c>
      <c r="E128">
        <v>53850</v>
      </c>
      <c r="F128">
        <v>105</v>
      </c>
      <c r="G128" t="s">
        <v>47</v>
      </c>
      <c r="H128" t="s">
        <v>48</v>
      </c>
      <c r="I128" t="s">
        <v>49</v>
      </c>
      <c r="K128" t="s">
        <v>484</v>
      </c>
      <c r="L128">
        <v>1053306295089</v>
      </c>
      <c r="M128">
        <v>20250522</v>
      </c>
      <c r="N128" t="s">
        <v>222</v>
      </c>
      <c r="P128" t="s">
        <v>303</v>
      </c>
      <c r="Q128" t="s">
        <v>61</v>
      </c>
      <c r="R128">
        <v>1845.33</v>
      </c>
      <c r="S128">
        <v>0</v>
      </c>
      <c r="T128">
        <v>3716148</v>
      </c>
      <c r="U128">
        <v>6264740728</v>
      </c>
      <c r="V128" t="s">
        <v>485</v>
      </c>
      <c r="W128" t="s">
        <v>58</v>
      </c>
      <c r="X128" t="s">
        <v>320</v>
      </c>
      <c r="Y128" t="s">
        <v>52</v>
      </c>
      <c r="Z128">
        <v>462</v>
      </c>
      <c r="AH128">
        <v>0</v>
      </c>
      <c r="AI128">
        <v>202505</v>
      </c>
      <c r="AJ128" t="s">
        <v>205</v>
      </c>
      <c r="AK128">
        <v>1</v>
      </c>
      <c r="AL128">
        <v>1</v>
      </c>
      <c r="AO128">
        <v>0</v>
      </c>
      <c r="AP128">
        <v>999</v>
      </c>
      <c r="AQ128">
        <v>430</v>
      </c>
      <c r="AR128">
        <v>430999</v>
      </c>
      <c r="AT128">
        <v>1</v>
      </c>
      <c r="AU128" t="s">
        <v>59</v>
      </c>
      <c r="AV128">
        <v>1000</v>
      </c>
      <c r="AW128">
        <v>1186.4000000000001</v>
      </c>
      <c r="AX128">
        <v>1500</v>
      </c>
      <c r="AY128">
        <v>1680.386</v>
      </c>
      <c r="AZ128">
        <v>1992.48</v>
      </c>
      <c r="BA128">
        <v>2399.98</v>
      </c>
      <c r="BB128">
        <v>2739.2040000000002</v>
      </c>
      <c r="BC128">
        <v>3000</v>
      </c>
      <c r="BD128">
        <v>3500</v>
      </c>
      <c r="BE128">
        <v>4000</v>
      </c>
      <c r="BF128">
        <v>4800</v>
      </c>
      <c r="BG128">
        <v>5000</v>
      </c>
      <c r="BH128">
        <v>5024.4139999999998</v>
      </c>
      <c r="BI128">
        <v>5617.9639999999999</v>
      </c>
      <c r="BJ128">
        <v>9836.84</v>
      </c>
      <c r="BK128">
        <v>12377.16</v>
      </c>
      <c r="BL128">
        <v>16956.52800000002</v>
      </c>
      <c r="BM128">
        <v>20247.331999999999</v>
      </c>
      <c r="BN128">
        <v>29364.69400000001</v>
      </c>
      <c r="BO128">
        <v>45000</v>
      </c>
      <c r="BP128">
        <v>1149602.8999999999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 x14ac:dyDescent="0.35">
      <c r="A129">
        <v>348238</v>
      </c>
      <c r="B129" t="s">
        <v>289</v>
      </c>
      <c r="C129" t="s">
        <v>290</v>
      </c>
      <c r="D129" s="1">
        <v>45800</v>
      </c>
      <c r="E129">
        <v>53850</v>
      </c>
      <c r="F129">
        <v>261</v>
      </c>
      <c r="G129" t="s">
        <v>96</v>
      </c>
      <c r="H129" t="s">
        <v>48</v>
      </c>
      <c r="I129" t="s">
        <v>49</v>
      </c>
      <c r="K129" t="s">
        <v>697</v>
      </c>
      <c r="L129">
        <v>2613300010205</v>
      </c>
      <c r="M129">
        <v>20250522</v>
      </c>
      <c r="N129" t="s">
        <v>222</v>
      </c>
      <c r="P129" t="s">
        <v>303</v>
      </c>
      <c r="Q129" t="s">
        <v>50</v>
      </c>
      <c r="R129">
        <v>1000</v>
      </c>
      <c r="S129">
        <v>0</v>
      </c>
      <c r="T129">
        <v>4991786</v>
      </c>
      <c r="U129">
        <v>993400944</v>
      </c>
      <c r="V129" t="s">
        <v>698</v>
      </c>
      <c r="W129" t="s">
        <v>58</v>
      </c>
      <c r="X129" t="s">
        <v>470</v>
      </c>
      <c r="Y129" t="s">
        <v>52</v>
      </c>
      <c r="Z129">
        <v>1782</v>
      </c>
      <c r="AH129">
        <v>0</v>
      </c>
      <c r="AI129">
        <v>202505</v>
      </c>
      <c r="AJ129" t="s">
        <v>68</v>
      </c>
      <c r="AK129">
        <v>0</v>
      </c>
      <c r="AL129">
        <v>1</v>
      </c>
      <c r="AM129">
        <v>4991786</v>
      </c>
      <c r="AN129">
        <v>1</v>
      </c>
      <c r="AO129">
        <v>0</v>
      </c>
      <c r="AP129">
        <v>999</v>
      </c>
      <c r="AQ129">
        <v>430</v>
      </c>
      <c r="AR129">
        <v>430999</v>
      </c>
      <c r="AT129">
        <v>1</v>
      </c>
      <c r="AU129" t="s">
        <v>59</v>
      </c>
      <c r="AV129">
        <v>1000</v>
      </c>
      <c r="AW129">
        <v>1186.4000000000001</v>
      </c>
      <c r="AX129">
        <v>1500</v>
      </c>
      <c r="AY129">
        <v>1680.386</v>
      </c>
      <c r="AZ129">
        <v>1992.48</v>
      </c>
      <c r="BA129">
        <v>2399.98</v>
      </c>
      <c r="BB129">
        <v>2739.2040000000002</v>
      </c>
      <c r="BC129">
        <v>3000</v>
      </c>
      <c r="BD129">
        <v>3500</v>
      </c>
      <c r="BE129">
        <v>4000</v>
      </c>
      <c r="BF129">
        <v>4800</v>
      </c>
      <c r="BG129">
        <v>5000</v>
      </c>
      <c r="BH129">
        <v>5024.4139999999998</v>
      </c>
      <c r="BI129">
        <v>5617.9639999999999</v>
      </c>
      <c r="BJ129">
        <v>9836.84</v>
      </c>
      <c r="BK129">
        <v>12377.16</v>
      </c>
      <c r="BL129">
        <v>16956.52800000002</v>
      </c>
      <c r="BM129">
        <v>20247.331999999999</v>
      </c>
      <c r="BN129">
        <v>29364.69400000001</v>
      </c>
      <c r="BO129">
        <v>45000</v>
      </c>
      <c r="BP129">
        <v>1149602.8999999999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 x14ac:dyDescent="0.35">
      <c r="A130">
        <v>348232</v>
      </c>
      <c r="B130" t="s">
        <v>289</v>
      </c>
      <c r="C130" t="s">
        <v>290</v>
      </c>
      <c r="D130" s="1">
        <v>45800</v>
      </c>
      <c r="E130">
        <v>53850</v>
      </c>
      <c r="F130">
        <v>261</v>
      </c>
      <c r="G130" t="s">
        <v>96</v>
      </c>
      <c r="H130" t="s">
        <v>48</v>
      </c>
      <c r="I130" t="s">
        <v>49</v>
      </c>
      <c r="K130" t="s">
        <v>699</v>
      </c>
      <c r="L130">
        <v>2613300010205</v>
      </c>
      <c r="M130">
        <v>20250521</v>
      </c>
      <c r="N130" t="s">
        <v>222</v>
      </c>
      <c r="P130" t="s">
        <v>303</v>
      </c>
      <c r="Q130" t="s">
        <v>50</v>
      </c>
      <c r="R130">
        <v>1000</v>
      </c>
      <c r="S130">
        <v>0</v>
      </c>
      <c r="T130">
        <v>4991786</v>
      </c>
      <c r="U130">
        <v>993400944</v>
      </c>
      <c r="V130" t="s">
        <v>698</v>
      </c>
      <c r="W130" t="s">
        <v>58</v>
      </c>
      <c r="X130" t="s">
        <v>470</v>
      </c>
      <c r="Y130" t="s">
        <v>52</v>
      </c>
      <c r="Z130">
        <v>1782</v>
      </c>
      <c r="AH130">
        <v>0</v>
      </c>
      <c r="AI130">
        <v>202505</v>
      </c>
      <c r="AJ130" t="s">
        <v>68</v>
      </c>
      <c r="AK130">
        <v>0</v>
      </c>
      <c r="AL130">
        <v>1</v>
      </c>
      <c r="AM130">
        <v>4991786</v>
      </c>
      <c r="AN130">
        <v>1</v>
      </c>
      <c r="AO130">
        <v>0</v>
      </c>
      <c r="AP130">
        <v>999</v>
      </c>
      <c r="AQ130">
        <v>430</v>
      </c>
      <c r="AR130">
        <v>430999</v>
      </c>
      <c r="AT130">
        <v>1</v>
      </c>
      <c r="AU130" t="s">
        <v>59</v>
      </c>
      <c r="AV130">
        <v>1000</v>
      </c>
      <c r="AW130">
        <v>1186.4000000000001</v>
      </c>
      <c r="AX130">
        <v>1500</v>
      </c>
      <c r="AY130">
        <v>1680.386</v>
      </c>
      <c r="AZ130">
        <v>1992.48</v>
      </c>
      <c r="BA130">
        <v>2399.98</v>
      </c>
      <c r="BB130">
        <v>2739.2040000000002</v>
      </c>
      <c r="BC130">
        <v>3000</v>
      </c>
      <c r="BD130">
        <v>3500</v>
      </c>
      <c r="BE130">
        <v>4000</v>
      </c>
      <c r="BF130">
        <v>4800</v>
      </c>
      <c r="BG130">
        <v>5000</v>
      </c>
      <c r="BH130">
        <v>5024.4139999999998</v>
      </c>
      <c r="BI130">
        <v>5617.9639999999999</v>
      </c>
      <c r="BJ130">
        <v>9836.84</v>
      </c>
      <c r="BK130">
        <v>12377.16</v>
      </c>
      <c r="BL130">
        <v>16956.52800000002</v>
      </c>
      <c r="BM130">
        <v>20247.331999999999</v>
      </c>
      <c r="BN130">
        <v>29364.69400000001</v>
      </c>
      <c r="BO130">
        <v>45000</v>
      </c>
      <c r="BP130">
        <v>1149602.8999999999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 x14ac:dyDescent="0.35">
      <c r="A131">
        <v>348212</v>
      </c>
      <c r="B131" t="s">
        <v>289</v>
      </c>
      <c r="C131" t="s">
        <v>290</v>
      </c>
      <c r="D131" s="1">
        <v>45799</v>
      </c>
      <c r="E131">
        <v>53850</v>
      </c>
      <c r="F131">
        <v>103</v>
      </c>
      <c r="G131" t="s">
        <v>62</v>
      </c>
      <c r="H131" t="s">
        <v>48</v>
      </c>
      <c r="I131" t="s">
        <v>49</v>
      </c>
      <c r="K131" t="s">
        <v>486</v>
      </c>
      <c r="L131">
        <v>1033301641631</v>
      </c>
      <c r="M131">
        <v>20250521</v>
      </c>
      <c r="N131" t="s">
        <v>222</v>
      </c>
      <c r="P131" t="s">
        <v>303</v>
      </c>
      <c r="Q131" t="s">
        <v>61</v>
      </c>
      <c r="R131">
        <v>1312.85</v>
      </c>
      <c r="S131">
        <v>0</v>
      </c>
      <c r="T131">
        <v>164163</v>
      </c>
      <c r="U131">
        <v>3485840726</v>
      </c>
      <c r="V131" t="s">
        <v>415</v>
      </c>
      <c r="W131" t="s">
        <v>58</v>
      </c>
      <c r="X131" t="s">
        <v>416</v>
      </c>
      <c r="Y131" t="s">
        <v>52</v>
      </c>
      <c r="Z131">
        <v>1274</v>
      </c>
      <c r="AH131">
        <v>0</v>
      </c>
      <c r="AI131">
        <v>202505</v>
      </c>
      <c r="AJ131" t="s">
        <v>203</v>
      </c>
      <c r="AK131">
        <v>1</v>
      </c>
      <c r="AL131">
        <v>1</v>
      </c>
      <c r="AO131">
        <v>0</v>
      </c>
      <c r="AP131">
        <v>453</v>
      </c>
      <c r="AQ131">
        <v>430</v>
      </c>
      <c r="AR131">
        <v>430453</v>
      </c>
      <c r="AS131" t="s">
        <v>65</v>
      </c>
      <c r="AU131" t="s">
        <v>65</v>
      </c>
      <c r="AV131">
        <v>1000</v>
      </c>
      <c r="AW131">
        <v>1186.4000000000001</v>
      </c>
      <c r="AX131">
        <v>1500</v>
      </c>
      <c r="AY131">
        <v>1680.386</v>
      </c>
      <c r="AZ131">
        <v>1992.48</v>
      </c>
      <c r="BA131">
        <v>2399.98</v>
      </c>
      <c r="BB131">
        <v>2739.2040000000002</v>
      </c>
      <c r="BC131">
        <v>3000</v>
      </c>
      <c r="BD131">
        <v>3500</v>
      </c>
      <c r="BE131">
        <v>4000</v>
      </c>
      <c r="BF131">
        <v>4800</v>
      </c>
      <c r="BG131">
        <v>5000</v>
      </c>
      <c r="BH131">
        <v>5024.4139999999998</v>
      </c>
      <c r="BI131">
        <v>5617.9639999999999</v>
      </c>
      <c r="BJ131">
        <v>9836.84</v>
      </c>
      <c r="BK131">
        <v>12377.16</v>
      </c>
      <c r="BL131">
        <v>16956.52800000002</v>
      </c>
      <c r="BM131">
        <v>20247.331999999999</v>
      </c>
      <c r="BN131">
        <v>29364.69400000001</v>
      </c>
      <c r="BO131">
        <v>45000</v>
      </c>
      <c r="BP131">
        <v>1149602.8999999999</v>
      </c>
      <c r="BQ131">
        <v>1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 x14ac:dyDescent="0.35">
      <c r="A132">
        <v>348202</v>
      </c>
      <c r="B132" t="s">
        <v>289</v>
      </c>
      <c r="C132" t="s">
        <v>290</v>
      </c>
      <c r="D132" s="1">
        <v>45798</v>
      </c>
      <c r="E132">
        <v>53850</v>
      </c>
      <c r="F132">
        <v>102</v>
      </c>
      <c r="G132" t="s">
        <v>56</v>
      </c>
      <c r="H132" t="s">
        <v>48</v>
      </c>
      <c r="I132" t="s">
        <v>49</v>
      </c>
      <c r="K132">
        <v>202505207997832</v>
      </c>
      <c r="L132">
        <v>1023308716491</v>
      </c>
      <c r="M132">
        <v>20250520</v>
      </c>
      <c r="N132" t="s">
        <v>222</v>
      </c>
      <c r="P132" t="s">
        <v>296</v>
      </c>
      <c r="Q132" t="s">
        <v>50</v>
      </c>
      <c r="R132">
        <v>45000</v>
      </c>
      <c r="S132">
        <v>0</v>
      </c>
      <c r="T132">
        <v>3970</v>
      </c>
      <c r="U132" t="s">
        <v>353</v>
      </c>
      <c r="V132" t="s">
        <v>354</v>
      </c>
      <c r="W132" t="s">
        <v>51</v>
      </c>
      <c r="Y132" t="s">
        <v>52</v>
      </c>
      <c r="Z132">
        <v>1431</v>
      </c>
      <c r="AH132">
        <v>0</v>
      </c>
      <c r="AI132">
        <v>202505</v>
      </c>
      <c r="AJ132" t="s">
        <v>68</v>
      </c>
      <c r="AK132">
        <v>0</v>
      </c>
      <c r="AL132">
        <v>1</v>
      </c>
      <c r="AO132">
        <v>0</v>
      </c>
      <c r="AP132">
        <v>999</v>
      </c>
      <c r="AQ132">
        <v>600</v>
      </c>
      <c r="AR132">
        <v>600999</v>
      </c>
      <c r="AS132" t="s">
        <v>53</v>
      </c>
      <c r="AU132" t="s">
        <v>53</v>
      </c>
      <c r="AV132">
        <v>1000</v>
      </c>
      <c r="AW132">
        <v>1186.4000000000001</v>
      </c>
      <c r="AX132">
        <v>1500</v>
      </c>
      <c r="AY132">
        <v>1680.386</v>
      </c>
      <c r="AZ132">
        <v>1992.48</v>
      </c>
      <c r="BA132">
        <v>2399.98</v>
      </c>
      <c r="BB132">
        <v>2739.2040000000002</v>
      </c>
      <c r="BC132">
        <v>3000</v>
      </c>
      <c r="BD132">
        <v>3500</v>
      </c>
      <c r="BE132">
        <v>4000</v>
      </c>
      <c r="BF132">
        <v>4800</v>
      </c>
      <c r="BG132">
        <v>5000</v>
      </c>
      <c r="BH132">
        <v>5024.4139999999998</v>
      </c>
      <c r="BI132">
        <v>5617.9639999999999</v>
      </c>
      <c r="BJ132">
        <v>9836.84</v>
      </c>
      <c r="BK132">
        <v>12377.16</v>
      </c>
      <c r="BL132">
        <v>16956.52800000002</v>
      </c>
      <c r="BM132">
        <v>20247.331999999999</v>
      </c>
      <c r="BN132">
        <v>29364.69400000001</v>
      </c>
      <c r="BO132">
        <v>45000</v>
      </c>
      <c r="BP132">
        <v>1149602.8999999999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0</v>
      </c>
    </row>
    <row r="133" spans="1:89" x14ac:dyDescent="0.35">
      <c r="A133">
        <v>348201</v>
      </c>
      <c r="B133" t="s">
        <v>289</v>
      </c>
      <c r="C133" t="s">
        <v>290</v>
      </c>
      <c r="D133" s="1">
        <v>45798</v>
      </c>
      <c r="E133">
        <v>53850</v>
      </c>
      <c r="F133">
        <v>268</v>
      </c>
      <c r="G133" t="s">
        <v>216</v>
      </c>
      <c r="H133" t="s">
        <v>48</v>
      </c>
      <c r="I133" t="s">
        <v>49</v>
      </c>
      <c r="K133" t="s">
        <v>487</v>
      </c>
      <c r="L133">
        <v>2683300006808</v>
      </c>
      <c r="M133">
        <v>20250520</v>
      </c>
      <c r="N133" t="s">
        <v>222</v>
      </c>
      <c r="P133" t="s">
        <v>350</v>
      </c>
      <c r="Q133" t="s">
        <v>61</v>
      </c>
      <c r="R133">
        <v>1351.76</v>
      </c>
      <c r="S133">
        <v>0</v>
      </c>
      <c r="T133">
        <v>1705772</v>
      </c>
      <c r="U133">
        <v>3489800791</v>
      </c>
      <c r="V133" t="s">
        <v>488</v>
      </c>
      <c r="W133" t="s">
        <v>58</v>
      </c>
      <c r="X133" t="s">
        <v>133</v>
      </c>
      <c r="Y133" t="s">
        <v>52</v>
      </c>
      <c r="Z133">
        <v>1891</v>
      </c>
      <c r="AH133">
        <v>0</v>
      </c>
      <c r="AI133">
        <v>202505</v>
      </c>
      <c r="AJ133" t="s">
        <v>203</v>
      </c>
      <c r="AK133">
        <v>1</v>
      </c>
      <c r="AL133">
        <v>1</v>
      </c>
      <c r="AO133">
        <v>0</v>
      </c>
      <c r="AP133">
        <v>999</v>
      </c>
      <c r="AQ133">
        <v>430</v>
      </c>
      <c r="AR133">
        <v>430999</v>
      </c>
      <c r="AT133">
        <v>1</v>
      </c>
      <c r="AU133" t="s">
        <v>59</v>
      </c>
      <c r="AV133">
        <v>1000</v>
      </c>
      <c r="AW133">
        <v>1186.4000000000001</v>
      </c>
      <c r="AX133">
        <v>1500</v>
      </c>
      <c r="AY133">
        <v>1680.386</v>
      </c>
      <c r="AZ133">
        <v>1992.48</v>
      </c>
      <c r="BA133">
        <v>2399.98</v>
      </c>
      <c r="BB133">
        <v>2739.2040000000002</v>
      </c>
      <c r="BC133">
        <v>3000</v>
      </c>
      <c r="BD133">
        <v>3500</v>
      </c>
      <c r="BE133">
        <v>4000</v>
      </c>
      <c r="BF133">
        <v>4800</v>
      </c>
      <c r="BG133">
        <v>5000</v>
      </c>
      <c r="BH133">
        <v>5024.4139999999998</v>
      </c>
      <c r="BI133">
        <v>5617.9639999999999</v>
      </c>
      <c r="BJ133">
        <v>9836.84</v>
      </c>
      <c r="BK133">
        <v>12377.16</v>
      </c>
      <c r="BL133">
        <v>16956.52800000002</v>
      </c>
      <c r="BM133">
        <v>20247.331999999999</v>
      </c>
      <c r="BN133">
        <v>29364.69400000001</v>
      </c>
      <c r="BO133">
        <v>45000</v>
      </c>
      <c r="BP133">
        <v>1149602.8999999999</v>
      </c>
      <c r="BQ133">
        <v>1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 x14ac:dyDescent="0.35">
      <c r="A134">
        <v>348193</v>
      </c>
      <c r="B134" t="s">
        <v>289</v>
      </c>
      <c r="C134" t="s">
        <v>290</v>
      </c>
      <c r="D134" s="1">
        <v>45798</v>
      </c>
      <c r="E134">
        <v>53850</v>
      </c>
      <c r="F134">
        <v>226</v>
      </c>
      <c r="G134" t="s">
        <v>208</v>
      </c>
      <c r="H134" t="s">
        <v>48</v>
      </c>
      <c r="I134" t="s">
        <v>49</v>
      </c>
      <c r="K134">
        <v>202505207996357</v>
      </c>
      <c r="L134">
        <v>1163307619285</v>
      </c>
      <c r="M134">
        <v>20250520</v>
      </c>
      <c r="N134" t="s">
        <v>222</v>
      </c>
      <c r="P134" t="s">
        <v>303</v>
      </c>
      <c r="Q134" t="s">
        <v>61</v>
      </c>
      <c r="R134">
        <v>6500</v>
      </c>
      <c r="S134">
        <v>0</v>
      </c>
      <c r="T134">
        <v>4709685</v>
      </c>
      <c r="U134">
        <v>6911480728</v>
      </c>
      <c r="V134" t="s">
        <v>489</v>
      </c>
      <c r="W134" t="s">
        <v>341</v>
      </c>
      <c r="X134" t="s">
        <v>232</v>
      </c>
      <c r="Y134" t="s">
        <v>52</v>
      </c>
      <c r="Z134">
        <v>1932</v>
      </c>
      <c r="AH134">
        <v>0</v>
      </c>
      <c r="AI134">
        <v>202505</v>
      </c>
      <c r="AJ134" t="s">
        <v>215</v>
      </c>
      <c r="AK134">
        <v>1</v>
      </c>
      <c r="AL134">
        <v>1</v>
      </c>
      <c r="AO134">
        <v>0</v>
      </c>
      <c r="AP134">
        <v>999</v>
      </c>
      <c r="AQ134">
        <v>482</v>
      </c>
      <c r="AR134">
        <v>482999</v>
      </c>
      <c r="AT134">
        <v>1</v>
      </c>
      <c r="AU134" t="s">
        <v>71</v>
      </c>
      <c r="AV134">
        <v>1000</v>
      </c>
      <c r="AW134">
        <v>1186.4000000000001</v>
      </c>
      <c r="AX134">
        <v>1500</v>
      </c>
      <c r="AY134">
        <v>1680.386</v>
      </c>
      <c r="AZ134">
        <v>1992.48</v>
      </c>
      <c r="BA134">
        <v>2399.98</v>
      </c>
      <c r="BB134">
        <v>2739.2040000000002</v>
      </c>
      <c r="BC134">
        <v>3000</v>
      </c>
      <c r="BD134">
        <v>3500</v>
      </c>
      <c r="BE134">
        <v>4000</v>
      </c>
      <c r="BF134">
        <v>4800</v>
      </c>
      <c r="BG134">
        <v>5000</v>
      </c>
      <c r="BH134">
        <v>5024.4139999999998</v>
      </c>
      <c r="BI134">
        <v>5617.9639999999999</v>
      </c>
      <c r="BJ134">
        <v>9836.84</v>
      </c>
      <c r="BK134">
        <v>12377.16</v>
      </c>
      <c r="BL134">
        <v>16956.52800000002</v>
      </c>
      <c r="BM134">
        <v>20247.331999999999</v>
      </c>
      <c r="BN134">
        <v>29364.69400000001</v>
      </c>
      <c r="BO134">
        <v>45000</v>
      </c>
      <c r="BP134">
        <v>1149602.8999999999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 x14ac:dyDescent="0.35">
      <c r="A135">
        <v>348192</v>
      </c>
      <c r="B135" t="s">
        <v>289</v>
      </c>
      <c r="C135" t="s">
        <v>290</v>
      </c>
      <c r="D135" s="1">
        <v>45798</v>
      </c>
      <c r="E135">
        <v>53850</v>
      </c>
      <c r="F135">
        <v>149</v>
      </c>
      <c r="G135" t="s">
        <v>107</v>
      </c>
      <c r="H135" t="s">
        <v>48</v>
      </c>
      <c r="I135" t="s">
        <v>49</v>
      </c>
      <c r="K135">
        <v>202505207996979</v>
      </c>
      <c r="L135">
        <v>1493300664731</v>
      </c>
      <c r="M135">
        <v>20250520</v>
      </c>
      <c r="N135" t="s">
        <v>222</v>
      </c>
      <c r="P135" t="s">
        <v>296</v>
      </c>
      <c r="Q135" t="s">
        <v>50</v>
      </c>
      <c r="R135">
        <v>28000</v>
      </c>
      <c r="S135">
        <v>0</v>
      </c>
      <c r="T135">
        <v>4993188</v>
      </c>
      <c r="U135">
        <v>10155501215</v>
      </c>
      <c r="V135" t="s">
        <v>490</v>
      </c>
      <c r="W135" t="s">
        <v>58</v>
      </c>
      <c r="X135" t="s">
        <v>491</v>
      </c>
      <c r="Y135" t="s">
        <v>52</v>
      </c>
      <c r="Z135">
        <v>1910</v>
      </c>
      <c r="AH135">
        <v>0</v>
      </c>
      <c r="AI135">
        <v>202505</v>
      </c>
      <c r="AJ135" t="s">
        <v>68</v>
      </c>
      <c r="AK135">
        <v>0</v>
      </c>
      <c r="AL135">
        <v>1</v>
      </c>
      <c r="AO135">
        <v>0</v>
      </c>
      <c r="AP135">
        <v>999</v>
      </c>
      <c r="AQ135">
        <v>430</v>
      </c>
      <c r="AR135">
        <v>430999</v>
      </c>
      <c r="AT135">
        <v>1</v>
      </c>
      <c r="AU135" t="s">
        <v>59</v>
      </c>
      <c r="AV135">
        <v>1000</v>
      </c>
      <c r="AW135">
        <v>1186.4000000000001</v>
      </c>
      <c r="AX135">
        <v>1500</v>
      </c>
      <c r="AY135">
        <v>1680.386</v>
      </c>
      <c r="AZ135">
        <v>1992.48</v>
      </c>
      <c r="BA135">
        <v>2399.98</v>
      </c>
      <c r="BB135">
        <v>2739.2040000000002</v>
      </c>
      <c r="BC135">
        <v>3000</v>
      </c>
      <c r="BD135">
        <v>3500</v>
      </c>
      <c r="BE135">
        <v>4000</v>
      </c>
      <c r="BF135">
        <v>4800</v>
      </c>
      <c r="BG135">
        <v>5000</v>
      </c>
      <c r="BH135">
        <v>5024.4139999999998</v>
      </c>
      <c r="BI135">
        <v>5617.9639999999999</v>
      </c>
      <c r="BJ135">
        <v>9836.84</v>
      </c>
      <c r="BK135">
        <v>12377.16</v>
      </c>
      <c r="BL135">
        <v>16956.52800000002</v>
      </c>
      <c r="BM135">
        <v>20247.331999999999</v>
      </c>
      <c r="BN135">
        <v>29364.69400000001</v>
      </c>
      <c r="BO135">
        <v>45000</v>
      </c>
      <c r="BP135">
        <v>1149602.8999999999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0</v>
      </c>
      <c r="CJ135">
        <v>0</v>
      </c>
      <c r="CK135">
        <v>0</v>
      </c>
    </row>
    <row r="136" spans="1:89" x14ac:dyDescent="0.35">
      <c r="A136">
        <v>348188</v>
      </c>
      <c r="B136" t="s">
        <v>289</v>
      </c>
      <c r="C136" t="s">
        <v>290</v>
      </c>
      <c r="D136" s="1">
        <v>45798</v>
      </c>
      <c r="E136">
        <v>53850</v>
      </c>
      <c r="F136">
        <v>129</v>
      </c>
      <c r="G136" t="s">
        <v>81</v>
      </c>
      <c r="H136" t="s">
        <v>48</v>
      </c>
      <c r="I136" t="s">
        <v>49</v>
      </c>
      <c r="K136">
        <v>202505207996930</v>
      </c>
      <c r="L136">
        <v>1293300002811</v>
      </c>
      <c r="M136">
        <v>20250520</v>
      </c>
      <c r="N136" t="s">
        <v>222</v>
      </c>
      <c r="P136" t="s">
        <v>291</v>
      </c>
      <c r="Q136" t="s">
        <v>61</v>
      </c>
      <c r="R136">
        <v>26002.57</v>
      </c>
      <c r="S136">
        <v>0</v>
      </c>
      <c r="T136">
        <v>4972184</v>
      </c>
      <c r="U136">
        <v>7780290727</v>
      </c>
      <c r="V136" t="s">
        <v>355</v>
      </c>
      <c r="W136" t="s">
        <v>58</v>
      </c>
      <c r="X136" t="s">
        <v>356</v>
      </c>
      <c r="Y136" t="s">
        <v>52</v>
      </c>
      <c r="Z136">
        <v>1058</v>
      </c>
      <c r="AH136">
        <v>0</v>
      </c>
      <c r="AI136">
        <v>202505</v>
      </c>
      <c r="AJ136" t="s">
        <v>55</v>
      </c>
      <c r="AK136">
        <v>0</v>
      </c>
      <c r="AL136">
        <v>1</v>
      </c>
      <c r="AO136">
        <v>0</v>
      </c>
      <c r="AP136">
        <v>999</v>
      </c>
      <c r="AQ136">
        <v>430</v>
      </c>
      <c r="AR136">
        <v>430999</v>
      </c>
      <c r="AT136">
        <v>1</v>
      </c>
      <c r="AU136" t="s">
        <v>59</v>
      </c>
      <c r="AV136">
        <v>1000</v>
      </c>
      <c r="AW136">
        <v>1186.4000000000001</v>
      </c>
      <c r="AX136">
        <v>1500</v>
      </c>
      <c r="AY136">
        <v>1680.386</v>
      </c>
      <c r="AZ136">
        <v>1992.48</v>
      </c>
      <c r="BA136">
        <v>2399.98</v>
      </c>
      <c r="BB136">
        <v>2739.2040000000002</v>
      </c>
      <c r="BC136">
        <v>3000</v>
      </c>
      <c r="BD136">
        <v>3500</v>
      </c>
      <c r="BE136">
        <v>4000</v>
      </c>
      <c r="BF136">
        <v>4800</v>
      </c>
      <c r="BG136">
        <v>5000</v>
      </c>
      <c r="BH136">
        <v>5024.4139999999998</v>
      </c>
      <c r="BI136">
        <v>5617.9639999999999</v>
      </c>
      <c r="BJ136">
        <v>9836.84</v>
      </c>
      <c r="BK136">
        <v>12377.16</v>
      </c>
      <c r="BL136">
        <v>16956.52800000002</v>
      </c>
      <c r="BM136">
        <v>20247.331999999999</v>
      </c>
      <c r="BN136">
        <v>29364.69400000001</v>
      </c>
      <c r="BO136">
        <v>45000</v>
      </c>
      <c r="BP136">
        <v>1149602.8999999999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0</v>
      </c>
      <c r="CJ136">
        <v>0</v>
      </c>
      <c r="CK136">
        <v>0</v>
      </c>
    </row>
    <row r="137" spans="1:89" x14ac:dyDescent="0.35">
      <c r="A137">
        <v>348185</v>
      </c>
      <c r="B137" t="s">
        <v>289</v>
      </c>
      <c r="C137" t="s">
        <v>290</v>
      </c>
      <c r="D137" s="1">
        <v>45798</v>
      </c>
      <c r="E137">
        <v>53850</v>
      </c>
      <c r="F137">
        <v>168</v>
      </c>
      <c r="G137" t="s">
        <v>213</v>
      </c>
      <c r="H137" t="s">
        <v>48</v>
      </c>
      <c r="I137" t="s">
        <v>49</v>
      </c>
      <c r="K137" t="s">
        <v>492</v>
      </c>
      <c r="L137">
        <v>1683306274557</v>
      </c>
      <c r="M137">
        <v>20250520</v>
      </c>
      <c r="N137" t="s">
        <v>222</v>
      </c>
      <c r="P137" t="s">
        <v>303</v>
      </c>
      <c r="Q137" t="s">
        <v>50</v>
      </c>
      <c r="R137">
        <v>3000</v>
      </c>
      <c r="S137">
        <v>0</v>
      </c>
      <c r="T137">
        <v>4091384</v>
      </c>
      <c r="U137">
        <v>5530850725</v>
      </c>
      <c r="V137" t="s">
        <v>493</v>
      </c>
      <c r="W137" t="s">
        <v>58</v>
      </c>
      <c r="X137" t="s">
        <v>108</v>
      </c>
      <c r="Y137" t="s">
        <v>52</v>
      </c>
      <c r="Z137">
        <v>1926</v>
      </c>
      <c r="AH137">
        <v>0</v>
      </c>
      <c r="AI137">
        <v>202505</v>
      </c>
      <c r="AJ137" t="s">
        <v>203</v>
      </c>
      <c r="AK137">
        <v>1</v>
      </c>
      <c r="AL137">
        <v>1</v>
      </c>
      <c r="AO137">
        <v>0</v>
      </c>
      <c r="AP137">
        <v>999</v>
      </c>
      <c r="AQ137">
        <v>430</v>
      </c>
      <c r="AR137">
        <v>430999</v>
      </c>
      <c r="AT137">
        <v>1</v>
      </c>
      <c r="AU137" t="s">
        <v>59</v>
      </c>
      <c r="AV137">
        <v>1000</v>
      </c>
      <c r="AW137">
        <v>1186.4000000000001</v>
      </c>
      <c r="AX137">
        <v>1500</v>
      </c>
      <c r="AY137">
        <v>1680.386</v>
      </c>
      <c r="AZ137">
        <v>1992.48</v>
      </c>
      <c r="BA137">
        <v>2399.98</v>
      </c>
      <c r="BB137">
        <v>2739.2040000000002</v>
      </c>
      <c r="BC137">
        <v>3000</v>
      </c>
      <c r="BD137">
        <v>3500</v>
      </c>
      <c r="BE137">
        <v>4000</v>
      </c>
      <c r="BF137">
        <v>4800</v>
      </c>
      <c r="BG137">
        <v>5000</v>
      </c>
      <c r="BH137">
        <v>5024.4139999999998</v>
      </c>
      <c r="BI137">
        <v>5617.9639999999999</v>
      </c>
      <c r="BJ137">
        <v>9836.84</v>
      </c>
      <c r="BK137">
        <v>12377.16</v>
      </c>
      <c r="BL137">
        <v>16956.52800000002</v>
      </c>
      <c r="BM137">
        <v>20247.331999999999</v>
      </c>
      <c r="BN137">
        <v>29364.69400000001</v>
      </c>
      <c r="BO137">
        <v>45000</v>
      </c>
      <c r="BP137">
        <v>1149602.8999999999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 x14ac:dyDescent="0.35">
      <c r="A138">
        <v>348174</v>
      </c>
      <c r="B138" t="s">
        <v>289</v>
      </c>
      <c r="C138" t="s">
        <v>290</v>
      </c>
      <c r="D138" s="1">
        <v>45798</v>
      </c>
      <c r="E138">
        <v>53850</v>
      </c>
      <c r="F138">
        <v>114</v>
      </c>
      <c r="G138" t="s">
        <v>97</v>
      </c>
      <c r="H138" t="s">
        <v>48</v>
      </c>
      <c r="I138" t="s">
        <v>49</v>
      </c>
      <c r="K138" t="s">
        <v>494</v>
      </c>
      <c r="L138">
        <v>1143300001238</v>
      </c>
      <c r="M138">
        <v>20250520</v>
      </c>
      <c r="N138" t="s">
        <v>222</v>
      </c>
      <c r="P138" t="s">
        <v>303</v>
      </c>
      <c r="Q138" t="s">
        <v>61</v>
      </c>
      <c r="R138">
        <v>4000</v>
      </c>
      <c r="S138">
        <v>0</v>
      </c>
      <c r="T138">
        <v>4747564</v>
      </c>
      <c r="U138" t="s">
        <v>337</v>
      </c>
      <c r="V138" t="s">
        <v>338</v>
      </c>
      <c r="W138" t="s">
        <v>51</v>
      </c>
      <c r="Y138" t="s">
        <v>52</v>
      </c>
      <c r="Z138">
        <v>804</v>
      </c>
      <c r="AH138">
        <v>0</v>
      </c>
      <c r="AI138">
        <v>202505</v>
      </c>
      <c r="AJ138" t="s">
        <v>55</v>
      </c>
      <c r="AK138">
        <v>0</v>
      </c>
      <c r="AL138">
        <v>1</v>
      </c>
      <c r="AO138">
        <v>0</v>
      </c>
      <c r="AP138">
        <v>999</v>
      </c>
      <c r="AQ138">
        <v>600</v>
      </c>
      <c r="AR138">
        <v>600999</v>
      </c>
      <c r="AS138" t="s">
        <v>53</v>
      </c>
      <c r="AU138" t="s">
        <v>53</v>
      </c>
      <c r="AV138">
        <v>1000</v>
      </c>
      <c r="AW138">
        <v>1186.4000000000001</v>
      </c>
      <c r="AX138">
        <v>1500</v>
      </c>
      <c r="AY138">
        <v>1680.386</v>
      </c>
      <c r="AZ138">
        <v>1992.48</v>
      </c>
      <c r="BA138">
        <v>2399.98</v>
      </c>
      <c r="BB138">
        <v>2739.2040000000002</v>
      </c>
      <c r="BC138">
        <v>3000</v>
      </c>
      <c r="BD138">
        <v>3500</v>
      </c>
      <c r="BE138">
        <v>4000</v>
      </c>
      <c r="BF138">
        <v>4800</v>
      </c>
      <c r="BG138">
        <v>5000</v>
      </c>
      <c r="BH138">
        <v>5024.4139999999998</v>
      </c>
      <c r="BI138">
        <v>5617.9639999999999</v>
      </c>
      <c r="BJ138">
        <v>9836.84</v>
      </c>
      <c r="BK138">
        <v>12377.16</v>
      </c>
      <c r="BL138">
        <v>16956.52800000002</v>
      </c>
      <c r="BM138">
        <v>20247.331999999999</v>
      </c>
      <c r="BN138">
        <v>29364.69400000001</v>
      </c>
      <c r="BO138">
        <v>45000</v>
      </c>
      <c r="BP138">
        <v>1149602.8999999999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 x14ac:dyDescent="0.35">
      <c r="A139">
        <v>348173</v>
      </c>
      <c r="B139" t="s">
        <v>289</v>
      </c>
      <c r="C139" t="s">
        <v>290</v>
      </c>
      <c r="D139" s="1">
        <v>45798</v>
      </c>
      <c r="E139">
        <v>53850</v>
      </c>
      <c r="F139">
        <v>171</v>
      </c>
      <c r="G139" t="s">
        <v>84</v>
      </c>
      <c r="H139" t="s">
        <v>48</v>
      </c>
      <c r="I139" t="s">
        <v>49</v>
      </c>
      <c r="K139" t="s">
        <v>495</v>
      </c>
      <c r="L139">
        <v>1713302215492</v>
      </c>
      <c r="M139">
        <v>20250520</v>
      </c>
      <c r="N139" t="s">
        <v>222</v>
      </c>
      <c r="P139" t="s">
        <v>136</v>
      </c>
      <c r="Q139" t="s">
        <v>61</v>
      </c>
      <c r="R139">
        <v>1370.82</v>
      </c>
      <c r="S139">
        <v>0</v>
      </c>
      <c r="T139">
        <v>4650898</v>
      </c>
      <c r="U139">
        <v>7175960728</v>
      </c>
      <c r="V139" t="s">
        <v>496</v>
      </c>
      <c r="W139" t="s">
        <v>58</v>
      </c>
      <c r="X139" t="s">
        <v>396</v>
      </c>
      <c r="Y139" t="s">
        <v>52</v>
      </c>
      <c r="Z139">
        <v>1118</v>
      </c>
      <c r="AH139">
        <v>0</v>
      </c>
      <c r="AI139">
        <v>202505</v>
      </c>
      <c r="AJ139" t="s">
        <v>203</v>
      </c>
      <c r="AK139">
        <v>1</v>
      </c>
      <c r="AL139">
        <v>1</v>
      </c>
      <c r="AO139">
        <v>0</v>
      </c>
      <c r="AP139">
        <v>999</v>
      </c>
      <c r="AQ139">
        <v>430</v>
      </c>
      <c r="AR139">
        <v>430999</v>
      </c>
      <c r="AT139">
        <v>1</v>
      </c>
      <c r="AU139" t="s">
        <v>59</v>
      </c>
      <c r="AV139">
        <v>1000</v>
      </c>
      <c r="AW139">
        <v>1186.4000000000001</v>
      </c>
      <c r="AX139">
        <v>1500</v>
      </c>
      <c r="AY139">
        <v>1680.386</v>
      </c>
      <c r="AZ139">
        <v>1992.48</v>
      </c>
      <c r="BA139">
        <v>2399.98</v>
      </c>
      <c r="BB139">
        <v>2739.2040000000002</v>
      </c>
      <c r="BC139">
        <v>3000</v>
      </c>
      <c r="BD139">
        <v>3500</v>
      </c>
      <c r="BE139">
        <v>4000</v>
      </c>
      <c r="BF139">
        <v>4800</v>
      </c>
      <c r="BG139">
        <v>5000</v>
      </c>
      <c r="BH139">
        <v>5024.4139999999998</v>
      </c>
      <c r="BI139">
        <v>5617.9639999999999</v>
      </c>
      <c r="BJ139">
        <v>9836.84</v>
      </c>
      <c r="BK139">
        <v>12377.16</v>
      </c>
      <c r="BL139">
        <v>16956.52800000002</v>
      </c>
      <c r="BM139">
        <v>20247.331999999999</v>
      </c>
      <c r="BN139">
        <v>29364.69400000001</v>
      </c>
      <c r="BO139">
        <v>45000</v>
      </c>
      <c r="BP139">
        <v>1149602.8999999999</v>
      </c>
      <c r="BQ139">
        <v>1</v>
      </c>
      <c r="BR139">
        <v>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 x14ac:dyDescent="0.35">
      <c r="A140">
        <v>348170</v>
      </c>
      <c r="B140" t="s">
        <v>289</v>
      </c>
      <c r="C140" t="s">
        <v>290</v>
      </c>
      <c r="D140" s="1">
        <v>45798</v>
      </c>
      <c r="E140">
        <v>53850</v>
      </c>
      <c r="F140">
        <v>147</v>
      </c>
      <c r="G140" t="s">
        <v>114</v>
      </c>
      <c r="H140" t="s">
        <v>48</v>
      </c>
      <c r="I140" t="s">
        <v>49</v>
      </c>
      <c r="K140">
        <v>202505197995739</v>
      </c>
      <c r="L140">
        <v>1473300005300</v>
      </c>
      <c r="M140">
        <v>20250519</v>
      </c>
      <c r="N140" t="s">
        <v>222</v>
      </c>
      <c r="P140" t="s">
        <v>291</v>
      </c>
      <c r="Q140" t="s">
        <v>50</v>
      </c>
      <c r="R140">
        <v>9828</v>
      </c>
      <c r="S140">
        <v>0</v>
      </c>
      <c r="T140">
        <v>3735726</v>
      </c>
      <c r="U140">
        <v>4803200619</v>
      </c>
      <c r="V140" t="s">
        <v>497</v>
      </c>
      <c r="W140" t="s">
        <v>58</v>
      </c>
      <c r="X140" t="s">
        <v>320</v>
      </c>
      <c r="Y140" t="s">
        <v>52</v>
      </c>
      <c r="Z140">
        <v>1356</v>
      </c>
      <c r="AH140">
        <v>0</v>
      </c>
      <c r="AI140">
        <v>202505</v>
      </c>
      <c r="AJ140" t="s">
        <v>68</v>
      </c>
      <c r="AK140">
        <v>0</v>
      </c>
      <c r="AL140">
        <v>1</v>
      </c>
      <c r="AO140">
        <v>0</v>
      </c>
      <c r="AP140">
        <v>999</v>
      </c>
      <c r="AQ140">
        <v>430</v>
      </c>
      <c r="AR140">
        <v>430999</v>
      </c>
      <c r="AT140">
        <v>1</v>
      </c>
      <c r="AU140" t="s">
        <v>59</v>
      </c>
      <c r="AV140">
        <v>1000</v>
      </c>
      <c r="AW140">
        <v>1186.4000000000001</v>
      </c>
      <c r="AX140">
        <v>1500</v>
      </c>
      <c r="AY140">
        <v>1680.386</v>
      </c>
      <c r="AZ140">
        <v>1992.48</v>
      </c>
      <c r="BA140">
        <v>2399.98</v>
      </c>
      <c r="BB140">
        <v>2739.2040000000002</v>
      </c>
      <c r="BC140">
        <v>3000</v>
      </c>
      <c r="BD140">
        <v>3500</v>
      </c>
      <c r="BE140">
        <v>4000</v>
      </c>
      <c r="BF140">
        <v>4800</v>
      </c>
      <c r="BG140">
        <v>5000</v>
      </c>
      <c r="BH140">
        <v>5024.4139999999998</v>
      </c>
      <c r="BI140">
        <v>5617.9639999999999</v>
      </c>
      <c r="BJ140">
        <v>9836.84</v>
      </c>
      <c r="BK140">
        <v>12377.16</v>
      </c>
      <c r="BL140">
        <v>16956.52800000002</v>
      </c>
      <c r="BM140">
        <v>20247.331999999999</v>
      </c>
      <c r="BN140">
        <v>29364.69400000001</v>
      </c>
      <c r="BO140">
        <v>45000</v>
      </c>
      <c r="BP140">
        <v>1149602.8999999999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 x14ac:dyDescent="0.35">
      <c r="A141">
        <v>348163</v>
      </c>
      <c r="B141" t="s">
        <v>289</v>
      </c>
      <c r="C141" t="s">
        <v>290</v>
      </c>
      <c r="D141" s="1">
        <v>45797</v>
      </c>
      <c r="E141">
        <v>53850</v>
      </c>
      <c r="F141">
        <v>168</v>
      </c>
      <c r="G141" t="s">
        <v>213</v>
      </c>
      <c r="H141" t="s">
        <v>48</v>
      </c>
      <c r="I141" t="s">
        <v>49</v>
      </c>
      <c r="K141" t="s">
        <v>498</v>
      </c>
      <c r="L141">
        <v>1683306277308</v>
      </c>
      <c r="M141">
        <v>20250519</v>
      </c>
      <c r="N141" t="s">
        <v>222</v>
      </c>
      <c r="P141" t="s">
        <v>303</v>
      </c>
      <c r="Q141" t="s">
        <v>50</v>
      </c>
      <c r="R141">
        <v>4300</v>
      </c>
      <c r="S141">
        <v>0</v>
      </c>
      <c r="T141">
        <v>4950606</v>
      </c>
      <c r="U141">
        <v>7856760728</v>
      </c>
      <c r="V141" t="s">
        <v>460</v>
      </c>
      <c r="W141" t="s">
        <v>58</v>
      </c>
      <c r="X141" t="s">
        <v>108</v>
      </c>
      <c r="Y141" t="s">
        <v>52</v>
      </c>
      <c r="Z141">
        <v>1926</v>
      </c>
      <c r="AH141">
        <v>0</v>
      </c>
      <c r="AI141">
        <v>202505</v>
      </c>
      <c r="AJ141" t="s">
        <v>203</v>
      </c>
      <c r="AK141">
        <v>1</v>
      </c>
      <c r="AL141">
        <v>1</v>
      </c>
      <c r="AO141">
        <v>0</v>
      </c>
      <c r="AP141">
        <v>999</v>
      </c>
      <c r="AQ141">
        <v>430</v>
      </c>
      <c r="AR141">
        <v>430999</v>
      </c>
      <c r="AT141">
        <v>1</v>
      </c>
      <c r="AU141" t="s">
        <v>59</v>
      </c>
      <c r="AV141">
        <v>1000</v>
      </c>
      <c r="AW141">
        <v>1186.4000000000001</v>
      </c>
      <c r="AX141">
        <v>1500</v>
      </c>
      <c r="AY141">
        <v>1680.386</v>
      </c>
      <c r="AZ141">
        <v>1992.48</v>
      </c>
      <c r="BA141">
        <v>2399.98</v>
      </c>
      <c r="BB141">
        <v>2739.2040000000002</v>
      </c>
      <c r="BC141">
        <v>3000</v>
      </c>
      <c r="BD141">
        <v>3500</v>
      </c>
      <c r="BE141">
        <v>4000</v>
      </c>
      <c r="BF141">
        <v>4800</v>
      </c>
      <c r="BG141">
        <v>5000</v>
      </c>
      <c r="BH141">
        <v>5024.4139999999998</v>
      </c>
      <c r="BI141">
        <v>5617.9639999999999</v>
      </c>
      <c r="BJ141">
        <v>9836.84</v>
      </c>
      <c r="BK141">
        <v>12377.16</v>
      </c>
      <c r="BL141">
        <v>16956.52800000002</v>
      </c>
      <c r="BM141">
        <v>20247.331999999999</v>
      </c>
      <c r="BN141">
        <v>29364.69400000001</v>
      </c>
      <c r="BO141">
        <v>45000</v>
      </c>
      <c r="BP141">
        <v>1149602.8999999999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 x14ac:dyDescent="0.35">
      <c r="A142">
        <v>348155</v>
      </c>
      <c r="B142" t="s">
        <v>289</v>
      </c>
      <c r="C142" t="s">
        <v>290</v>
      </c>
      <c r="D142" s="1">
        <v>45797</v>
      </c>
      <c r="E142">
        <v>53850</v>
      </c>
      <c r="F142">
        <v>134</v>
      </c>
      <c r="G142" t="s">
        <v>121</v>
      </c>
      <c r="H142" t="s">
        <v>48</v>
      </c>
      <c r="I142" t="s">
        <v>49</v>
      </c>
      <c r="K142" t="s">
        <v>499</v>
      </c>
      <c r="L142">
        <v>1303300000237</v>
      </c>
      <c r="M142">
        <v>20250519</v>
      </c>
      <c r="N142" t="s">
        <v>222</v>
      </c>
      <c r="P142" t="s">
        <v>303</v>
      </c>
      <c r="Q142" t="s">
        <v>61</v>
      </c>
      <c r="R142">
        <v>4000</v>
      </c>
      <c r="S142">
        <v>0</v>
      </c>
      <c r="T142">
        <v>4005541</v>
      </c>
      <c r="U142" t="s">
        <v>373</v>
      </c>
      <c r="V142" t="s">
        <v>374</v>
      </c>
      <c r="W142" t="s">
        <v>51</v>
      </c>
      <c r="Y142" t="s">
        <v>52</v>
      </c>
      <c r="Z142">
        <v>1659</v>
      </c>
      <c r="AH142">
        <v>0</v>
      </c>
      <c r="AI142">
        <v>202505</v>
      </c>
      <c r="AJ142" t="s">
        <v>215</v>
      </c>
      <c r="AK142">
        <v>1</v>
      </c>
      <c r="AL142">
        <v>1</v>
      </c>
      <c r="AO142">
        <v>0</v>
      </c>
      <c r="AP142">
        <v>999</v>
      </c>
      <c r="AQ142">
        <v>600</v>
      </c>
      <c r="AR142">
        <v>600999</v>
      </c>
      <c r="AS142" t="s">
        <v>53</v>
      </c>
      <c r="AU142" t="s">
        <v>53</v>
      </c>
      <c r="AV142">
        <v>1000</v>
      </c>
      <c r="AW142">
        <v>1186.4000000000001</v>
      </c>
      <c r="AX142">
        <v>1500</v>
      </c>
      <c r="AY142">
        <v>1680.386</v>
      </c>
      <c r="AZ142">
        <v>1992.48</v>
      </c>
      <c r="BA142">
        <v>2399.98</v>
      </c>
      <c r="BB142">
        <v>2739.2040000000002</v>
      </c>
      <c r="BC142">
        <v>3000</v>
      </c>
      <c r="BD142">
        <v>3500</v>
      </c>
      <c r="BE142">
        <v>4000</v>
      </c>
      <c r="BF142">
        <v>4800</v>
      </c>
      <c r="BG142">
        <v>5000</v>
      </c>
      <c r="BH142">
        <v>5024.4139999999998</v>
      </c>
      <c r="BI142">
        <v>5617.9639999999999</v>
      </c>
      <c r="BJ142">
        <v>9836.84</v>
      </c>
      <c r="BK142">
        <v>12377.16</v>
      </c>
      <c r="BL142">
        <v>16956.52800000002</v>
      </c>
      <c r="BM142">
        <v>20247.331999999999</v>
      </c>
      <c r="BN142">
        <v>29364.69400000001</v>
      </c>
      <c r="BO142">
        <v>45000</v>
      </c>
      <c r="BP142">
        <v>1149602.8999999999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 x14ac:dyDescent="0.35">
      <c r="A143">
        <v>348152</v>
      </c>
      <c r="B143" t="s">
        <v>289</v>
      </c>
      <c r="C143" t="s">
        <v>290</v>
      </c>
      <c r="D143" s="1">
        <v>45797</v>
      </c>
      <c r="E143">
        <v>53850</v>
      </c>
      <c r="F143">
        <v>119</v>
      </c>
      <c r="G143" t="s">
        <v>69</v>
      </c>
      <c r="H143" t="s">
        <v>48</v>
      </c>
      <c r="I143" t="s">
        <v>49</v>
      </c>
      <c r="K143" t="s">
        <v>500</v>
      </c>
      <c r="L143">
        <v>1193308875001</v>
      </c>
      <c r="M143">
        <v>20250519</v>
      </c>
      <c r="N143" t="s">
        <v>222</v>
      </c>
      <c r="P143" t="s">
        <v>303</v>
      </c>
      <c r="Q143" t="s">
        <v>61</v>
      </c>
      <c r="R143">
        <v>2800</v>
      </c>
      <c r="S143">
        <v>0</v>
      </c>
      <c r="T143">
        <v>4926288</v>
      </c>
      <c r="U143" t="s">
        <v>385</v>
      </c>
      <c r="V143" t="s">
        <v>386</v>
      </c>
      <c r="W143" t="s">
        <v>73</v>
      </c>
      <c r="X143" t="s">
        <v>387</v>
      </c>
      <c r="Y143" t="s">
        <v>52</v>
      </c>
      <c r="Z143">
        <v>656</v>
      </c>
      <c r="AH143">
        <v>0</v>
      </c>
      <c r="AI143">
        <v>202505</v>
      </c>
      <c r="AJ143" t="s">
        <v>68</v>
      </c>
      <c r="AK143">
        <v>0</v>
      </c>
      <c r="AL143">
        <v>1</v>
      </c>
      <c r="AO143">
        <v>0</v>
      </c>
      <c r="AP143">
        <v>999</v>
      </c>
      <c r="AQ143">
        <v>615</v>
      </c>
      <c r="AR143">
        <v>615999</v>
      </c>
      <c r="AT143">
        <v>1</v>
      </c>
      <c r="AU143" t="s">
        <v>65</v>
      </c>
      <c r="AV143">
        <v>1000</v>
      </c>
      <c r="AW143">
        <v>1186.4000000000001</v>
      </c>
      <c r="AX143">
        <v>1500</v>
      </c>
      <c r="AY143">
        <v>1680.386</v>
      </c>
      <c r="AZ143">
        <v>1992.48</v>
      </c>
      <c r="BA143">
        <v>2399.98</v>
      </c>
      <c r="BB143">
        <v>2739.2040000000002</v>
      </c>
      <c r="BC143">
        <v>3000</v>
      </c>
      <c r="BD143">
        <v>3500</v>
      </c>
      <c r="BE143">
        <v>4000</v>
      </c>
      <c r="BF143">
        <v>4800</v>
      </c>
      <c r="BG143">
        <v>5000</v>
      </c>
      <c r="BH143">
        <v>5024.4139999999998</v>
      </c>
      <c r="BI143">
        <v>5617.9639999999999</v>
      </c>
      <c r="BJ143">
        <v>9836.84</v>
      </c>
      <c r="BK143">
        <v>12377.16</v>
      </c>
      <c r="BL143">
        <v>16956.52800000002</v>
      </c>
      <c r="BM143">
        <v>20247.331999999999</v>
      </c>
      <c r="BN143">
        <v>29364.69400000001</v>
      </c>
      <c r="BO143">
        <v>45000</v>
      </c>
      <c r="BP143">
        <v>1149602.8999999999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 x14ac:dyDescent="0.35">
      <c r="A144">
        <v>348145</v>
      </c>
      <c r="B144" t="s">
        <v>289</v>
      </c>
      <c r="C144" t="s">
        <v>290</v>
      </c>
      <c r="D144" s="1">
        <v>45797</v>
      </c>
      <c r="E144">
        <v>53850</v>
      </c>
      <c r="F144">
        <v>261</v>
      </c>
      <c r="G144" t="s">
        <v>96</v>
      </c>
      <c r="H144" t="s">
        <v>48</v>
      </c>
      <c r="I144" t="s">
        <v>49</v>
      </c>
      <c r="K144" t="s">
        <v>501</v>
      </c>
      <c r="L144">
        <v>2613300001265</v>
      </c>
      <c r="M144">
        <v>20250519</v>
      </c>
      <c r="N144" t="s">
        <v>222</v>
      </c>
      <c r="P144" t="s">
        <v>296</v>
      </c>
      <c r="Q144" t="s">
        <v>61</v>
      </c>
      <c r="R144">
        <v>3500</v>
      </c>
      <c r="S144">
        <v>0</v>
      </c>
      <c r="T144">
        <v>1625403</v>
      </c>
      <c r="U144" t="s">
        <v>392</v>
      </c>
      <c r="V144" t="s">
        <v>393</v>
      </c>
      <c r="W144" t="s">
        <v>51</v>
      </c>
      <c r="Y144" t="s">
        <v>52</v>
      </c>
      <c r="Z144">
        <v>1755</v>
      </c>
      <c r="AH144">
        <v>0</v>
      </c>
      <c r="AI144">
        <v>202505</v>
      </c>
      <c r="AJ144" t="s">
        <v>68</v>
      </c>
      <c r="AK144">
        <v>0</v>
      </c>
      <c r="AL144">
        <v>1</v>
      </c>
      <c r="AO144">
        <v>0</v>
      </c>
      <c r="AP144">
        <v>999</v>
      </c>
      <c r="AQ144">
        <v>600</v>
      </c>
      <c r="AR144">
        <v>600999</v>
      </c>
      <c r="AS144" t="s">
        <v>53</v>
      </c>
      <c r="AU144" t="s">
        <v>53</v>
      </c>
      <c r="AV144">
        <v>1000</v>
      </c>
      <c r="AW144">
        <v>1186.4000000000001</v>
      </c>
      <c r="AX144">
        <v>1500</v>
      </c>
      <c r="AY144">
        <v>1680.386</v>
      </c>
      <c r="AZ144">
        <v>1992.48</v>
      </c>
      <c r="BA144">
        <v>2399.98</v>
      </c>
      <c r="BB144">
        <v>2739.2040000000002</v>
      </c>
      <c r="BC144">
        <v>3000</v>
      </c>
      <c r="BD144">
        <v>3500</v>
      </c>
      <c r="BE144">
        <v>4000</v>
      </c>
      <c r="BF144">
        <v>4800</v>
      </c>
      <c r="BG144">
        <v>5000</v>
      </c>
      <c r="BH144">
        <v>5024.4139999999998</v>
      </c>
      <c r="BI144">
        <v>5617.9639999999999</v>
      </c>
      <c r="BJ144">
        <v>9836.84</v>
      </c>
      <c r="BK144">
        <v>12377.16</v>
      </c>
      <c r="BL144">
        <v>16956.52800000002</v>
      </c>
      <c r="BM144">
        <v>20247.331999999999</v>
      </c>
      <c r="BN144">
        <v>29364.69400000001</v>
      </c>
      <c r="BO144">
        <v>45000</v>
      </c>
      <c r="BP144">
        <v>1149602.8999999999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 x14ac:dyDescent="0.35">
      <c r="A145">
        <v>348135</v>
      </c>
      <c r="B145" t="s">
        <v>289</v>
      </c>
      <c r="C145" t="s">
        <v>290</v>
      </c>
      <c r="D145" s="1">
        <v>45797</v>
      </c>
      <c r="E145">
        <v>53850</v>
      </c>
      <c r="F145">
        <v>141</v>
      </c>
      <c r="G145" t="s">
        <v>91</v>
      </c>
      <c r="H145" t="s">
        <v>48</v>
      </c>
      <c r="I145" t="s">
        <v>49</v>
      </c>
      <c r="K145">
        <v>202505197992873</v>
      </c>
      <c r="L145">
        <v>1413300004310</v>
      </c>
      <c r="M145">
        <v>20250519</v>
      </c>
      <c r="N145" t="s">
        <v>222</v>
      </c>
      <c r="P145" t="s">
        <v>296</v>
      </c>
      <c r="Q145" t="s">
        <v>61</v>
      </c>
      <c r="R145">
        <v>13200</v>
      </c>
      <c r="S145">
        <v>0</v>
      </c>
      <c r="T145">
        <v>3737453</v>
      </c>
      <c r="U145">
        <v>4916910757</v>
      </c>
      <c r="V145" t="s">
        <v>502</v>
      </c>
      <c r="W145" t="s">
        <v>58</v>
      </c>
      <c r="X145" t="s">
        <v>118</v>
      </c>
      <c r="Y145" t="s">
        <v>52</v>
      </c>
      <c r="AH145">
        <v>0</v>
      </c>
      <c r="AI145">
        <v>202505</v>
      </c>
      <c r="AJ145" t="s">
        <v>203</v>
      </c>
      <c r="AK145">
        <v>1</v>
      </c>
      <c r="AL145">
        <v>1</v>
      </c>
      <c r="AO145">
        <v>0</v>
      </c>
      <c r="AP145">
        <v>999</v>
      </c>
      <c r="AQ145">
        <v>430</v>
      </c>
      <c r="AR145">
        <v>430999</v>
      </c>
      <c r="AT145">
        <v>1</v>
      </c>
      <c r="AU145" t="s">
        <v>59</v>
      </c>
      <c r="AV145">
        <v>1000</v>
      </c>
      <c r="AW145">
        <v>1186.4000000000001</v>
      </c>
      <c r="AX145">
        <v>1500</v>
      </c>
      <c r="AY145">
        <v>1680.386</v>
      </c>
      <c r="AZ145">
        <v>1992.48</v>
      </c>
      <c r="BA145">
        <v>2399.98</v>
      </c>
      <c r="BB145">
        <v>2739.2040000000002</v>
      </c>
      <c r="BC145">
        <v>3000</v>
      </c>
      <c r="BD145">
        <v>3500</v>
      </c>
      <c r="BE145">
        <v>4000</v>
      </c>
      <c r="BF145">
        <v>4800</v>
      </c>
      <c r="BG145">
        <v>5000</v>
      </c>
      <c r="BH145">
        <v>5024.4139999999998</v>
      </c>
      <c r="BI145">
        <v>5617.9639999999999</v>
      </c>
      <c r="BJ145">
        <v>9836.84</v>
      </c>
      <c r="BK145">
        <v>12377.16</v>
      </c>
      <c r="BL145">
        <v>16956.52800000002</v>
      </c>
      <c r="BM145">
        <v>20247.331999999999</v>
      </c>
      <c r="BN145">
        <v>29364.69400000001</v>
      </c>
      <c r="BO145">
        <v>45000</v>
      </c>
      <c r="BP145">
        <v>1149602.8999999999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 x14ac:dyDescent="0.35">
      <c r="A146">
        <v>348117</v>
      </c>
      <c r="B146" t="s">
        <v>289</v>
      </c>
      <c r="C146" t="s">
        <v>290</v>
      </c>
      <c r="D146" s="1">
        <v>45794</v>
      </c>
      <c r="E146">
        <v>53850</v>
      </c>
      <c r="F146">
        <v>105</v>
      </c>
      <c r="G146" t="s">
        <v>47</v>
      </c>
      <c r="H146" t="s">
        <v>48</v>
      </c>
      <c r="I146" t="s">
        <v>49</v>
      </c>
      <c r="K146">
        <v>202505167985175</v>
      </c>
      <c r="L146">
        <v>1053306286871</v>
      </c>
      <c r="M146">
        <v>20250516</v>
      </c>
      <c r="N146" t="s">
        <v>222</v>
      </c>
      <c r="P146" t="s">
        <v>136</v>
      </c>
      <c r="Q146" t="s">
        <v>61</v>
      </c>
      <c r="R146">
        <v>5112</v>
      </c>
      <c r="S146">
        <v>0</v>
      </c>
      <c r="T146">
        <v>4269425</v>
      </c>
      <c r="U146">
        <v>4938290725</v>
      </c>
      <c r="V146" t="s">
        <v>342</v>
      </c>
      <c r="W146" t="s">
        <v>341</v>
      </c>
      <c r="X146" t="s">
        <v>343</v>
      </c>
      <c r="Y146" t="s">
        <v>52</v>
      </c>
      <c r="Z146">
        <v>1947</v>
      </c>
      <c r="AH146">
        <v>0</v>
      </c>
      <c r="AI146">
        <v>202505</v>
      </c>
      <c r="AJ146" t="s">
        <v>205</v>
      </c>
      <c r="AK146">
        <v>1</v>
      </c>
      <c r="AL146">
        <v>1</v>
      </c>
      <c r="AO146">
        <v>0</v>
      </c>
      <c r="AP146">
        <v>999</v>
      </c>
      <c r="AQ146">
        <v>482</v>
      </c>
      <c r="AR146">
        <v>482999</v>
      </c>
      <c r="AT146">
        <v>1</v>
      </c>
      <c r="AU146" t="s">
        <v>71</v>
      </c>
      <c r="AV146">
        <v>1000</v>
      </c>
      <c r="AW146">
        <v>1186.4000000000001</v>
      </c>
      <c r="AX146">
        <v>1500</v>
      </c>
      <c r="AY146">
        <v>1680.386</v>
      </c>
      <c r="AZ146">
        <v>1992.48</v>
      </c>
      <c r="BA146">
        <v>2399.98</v>
      </c>
      <c r="BB146">
        <v>2739.2040000000002</v>
      </c>
      <c r="BC146">
        <v>3000</v>
      </c>
      <c r="BD146">
        <v>3500</v>
      </c>
      <c r="BE146">
        <v>4000</v>
      </c>
      <c r="BF146">
        <v>4800</v>
      </c>
      <c r="BG146">
        <v>5000</v>
      </c>
      <c r="BH146">
        <v>5024.4139999999998</v>
      </c>
      <c r="BI146">
        <v>5617.9639999999999</v>
      </c>
      <c r="BJ146">
        <v>9836.84</v>
      </c>
      <c r="BK146">
        <v>12377.16</v>
      </c>
      <c r="BL146">
        <v>16956.52800000002</v>
      </c>
      <c r="BM146">
        <v>20247.331999999999</v>
      </c>
      <c r="BN146">
        <v>29364.69400000001</v>
      </c>
      <c r="BO146">
        <v>45000</v>
      </c>
      <c r="BP146">
        <v>1149602.8999999999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 x14ac:dyDescent="0.35">
      <c r="A147">
        <v>348112</v>
      </c>
      <c r="B147" t="s">
        <v>289</v>
      </c>
      <c r="C147" t="s">
        <v>290</v>
      </c>
      <c r="D147" s="1">
        <v>45794</v>
      </c>
      <c r="E147">
        <v>53850</v>
      </c>
      <c r="F147">
        <v>103</v>
      </c>
      <c r="G147" t="s">
        <v>62</v>
      </c>
      <c r="H147" t="s">
        <v>48</v>
      </c>
      <c r="I147" t="s">
        <v>49</v>
      </c>
      <c r="K147">
        <v>202505167985123</v>
      </c>
      <c r="L147">
        <v>1033306976736</v>
      </c>
      <c r="M147">
        <v>20250516</v>
      </c>
      <c r="N147" t="s">
        <v>222</v>
      </c>
      <c r="P147" t="s">
        <v>291</v>
      </c>
      <c r="Q147" t="s">
        <v>61</v>
      </c>
      <c r="R147">
        <v>18153.02</v>
      </c>
      <c r="S147">
        <v>0</v>
      </c>
      <c r="T147">
        <v>4127133</v>
      </c>
      <c r="U147">
        <v>5762170727</v>
      </c>
      <c r="V147" t="s">
        <v>503</v>
      </c>
      <c r="W147" t="s">
        <v>58</v>
      </c>
      <c r="X147" t="s">
        <v>231</v>
      </c>
      <c r="Y147" t="s">
        <v>52</v>
      </c>
      <c r="Z147">
        <v>739</v>
      </c>
      <c r="AH147">
        <v>0</v>
      </c>
      <c r="AI147">
        <v>202505</v>
      </c>
      <c r="AJ147" t="s">
        <v>203</v>
      </c>
      <c r="AK147">
        <v>1</v>
      </c>
      <c r="AL147">
        <v>1</v>
      </c>
      <c r="AO147">
        <v>0</v>
      </c>
      <c r="AP147">
        <v>999</v>
      </c>
      <c r="AQ147">
        <v>430</v>
      </c>
      <c r="AR147">
        <v>430999</v>
      </c>
      <c r="AT147">
        <v>1</v>
      </c>
      <c r="AU147" t="s">
        <v>59</v>
      </c>
      <c r="AV147">
        <v>1000</v>
      </c>
      <c r="AW147">
        <v>1186.4000000000001</v>
      </c>
      <c r="AX147">
        <v>1500</v>
      </c>
      <c r="AY147">
        <v>1680.386</v>
      </c>
      <c r="AZ147">
        <v>1992.48</v>
      </c>
      <c r="BA147">
        <v>2399.98</v>
      </c>
      <c r="BB147">
        <v>2739.2040000000002</v>
      </c>
      <c r="BC147">
        <v>3000</v>
      </c>
      <c r="BD147">
        <v>3500</v>
      </c>
      <c r="BE147">
        <v>4000</v>
      </c>
      <c r="BF147">
        <v>4800</v>
      </c>
      <c r="BG147">
        <v>5000</v>
      </c>
      <c r="BH147">
        <v>5024.4139999999998</v>
      </c>
      <c r="BI147">
        <v>5617.9639999999999</v>
      </c>
      <c r="BJ147">
        <v>9836.84</v>
      </c>
      <c r="BK147">
        <v>12377.16</v>
      </c>
      <c r="BL147">
        <v>16956.52800000002</v>
      </c>
      <c r="BM147">
        <v>20247.331999999999</v>
      </c>
      <c r="BN147">
        <v>29364.69400000001</v>
      </c>
      <c r="BO147">
        <v>45000</v>
      </c>
      <c r="BP147">
        <v>1149602.8999999999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0</v>
      </c>
      <c r="CI147">
        <v>0</v>
      </c>
      <c r="CJ147">
        <v>0</v>
      </c>
      <c r="CK147">
        <v>0</v>
      </c>
    </row>
    <row r="148" spans="1:89" x14ac:dyDescent="0.35">
      <c r="A148">
        <v>348111</v>
      </c>
      <c r="B148" t="s">
        <v>289</v>
      </c>
      <c r="C148" t="s">
        <v>290</v>
      </c>
      <c r="D148" s="1">
        <v>45794</v>
      </c>
      <c r="E148">
        <v>53850</v>
      </c>
      <c r="F148">
        <v>103</v>
      </c>
      <c r="G148" t="s">
        <v>62</v>
      </c>
      <c r="H148" t="s">
        <v>48</v>
      </c>
      <c r="I148" t="s">
        <v>49</v>
      </c>
      <c r="K148">
        <v>202505167984110</v>
      </c>
      <c r="L148">
        <v>1033302886146</v>
      </c>
      <c r="M148">
        <v>20250516</v>
      </c>
      <c r="N148" t="s">
        <v>222</v>
      </c>
      <c r="P148" t="s">
        <v>303</v>
      </c>
      <c r="Q148" t="s">
        <v>50</v>
      </c>
      <c r="R148">
        <v>7832.4</v>
      </c>
      <c r="S148">
        <v>0</v>
      </c>
      <c r="T148">
        <v>4503362</v>
      </c>
      <c r="U148">
        <v>6800040724</v>
      </c>
      <c r="V148" t="s">
        <v>504</v>
      </c>
      <c r="W148" t="s">
        <v>341</v>
      </c>
      <c r="X148" t="s">
        <v>108</v>
      </c>
      <c r="Y148" t="s">
        <v>52</v>
      </c>
      <c r="Z148">
        <v>1912</v>
      </c>
      <c r="AH148">
        <v>0</v>
      </c>
      <c r="AI148">
        <v>202505</v>
      </c>
      <c r="AJ148" t="s">
        <v>203</v>
      </c>
      <c r="AK148">
        <v>1</v>
      </c>
      <c r="AL148">
        <v>1</v>
      </c>
      <c r="AO148">
        <v>0</v>
      </c>
      <c r="AP148">
        <v>999</v>
      </c>
      <c r="AQ148">
        <v>482</v>
      </c>
      <c r="AR148">
        <v>482999</v>
      </c>
      <c r="AT148">
        <v>1</v>
      </c>
      <c r="AU148" t="s">
        <v>71</v>
      </c>
      <c r="AV148">
        <v>1000</v>
      </c>
      <c r="AW148">
        <v>1186.4000000000001</v>
      </c>
      <c r="AX148">
        <v>1500</v>
      </c>
      <c r="AY148">
        <v>1680.386</v>
      </c>
      <c r="AZ148">
        <v>1992.48</v>
      </c>
      <c r="BA148">
        <v>2399.98</v>
      </c>
      <c r="BB148">
        <v>2739.2040000000002</v>
      </c>
      <c r="BC148">
        <v>3000</v>
      </c>
      <c r="BD148">
        <v>3500</v>
      </c>
      <c r="BE148">
        <v>4000</v>
      </c>
      <c r="BF148">
        <v>4800</v>
      </c>
      <c r="BG148">
        <v>5000</v>
      </c>
      <c r="BH148">
        <v>5024.4139999999998</v>
      </c>
      <c r="BI148">
        <v>5617.9639999999999</v>
      </c>
      <c r="BJ148">
        <v>9836.84</v>
      </c>
      <c r="BK148">
        <v>12377.16</v>
      </c>
      <c r="BL148">
        <v>16956.52800000002</v>
      </c>
      <c r="BM148">
        <v>20247.331999999999</v>
      </c>
      <c r="BN148">
        <v>29364.69400000001</v>
      </c>
      <c r="BO148">
        <v>45000</v>
      </c>
      <c r="BP148">
        <v>1149602.8999999999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 x14ac:dyDescent="0.35">
      <c r="A149">
        <v>348104</v>
      </c>
      <c r="B149" t="s">
        <v>289</v>
      </c>
      <c r="C149" t="s">
        <v>290</v>
      </c>
      <c r="D149" s="1">
        <v>45794</v>
      </c>
      <c r="E149">
        <v>53850</v>
      </c>
      <c r="F149">
        <v>178</v>
      </c>
      <c r="G149" t="s">
        <v>60</v>
      </c>
      <c r="H149" t="s">
        <v>48</v>
      </c>
      <c r="I149" t="s">
        <v>49</v>
      </c>
      <c r="K149">
        <v>202505167985188</v>
      </c>
      <c r="L149">
        <v>1783301004847</v>
      </c>
      <c r="M149">
        <v>20250516</v>
      </c>
      <c r="N149" t="s">
        <v>222</v>
      </c>
      <c r="P149" t="s">
        <v>136</v>
      </c>
      <c r="Q149" t="s">
        <v>61</v>
      </c>
      <c r="R149">
        <v>5000</v>
      </c>
      <c r="S149">
        <v>0</v>
      </c>
      <c r="T149">
        <v>585288</v>
      </c>
      <c r="U149" t="s">
        <v>505</v>
      </c>
      <c r="V149" t="s">
        <v>506</v>
      </c>
      <c r="W149" t="s">
        <v>101</v>
      </c>
      <c r="X149" t="s">
        <v>359</v>
      </c>
      <c r="Y149" t="s">
        <v>52</v>
      </c>
      <c r="Z149">
        <v>685</v>
      </c>
      <c r="AH149">
        <v>0</v>
      </c>
      <c r="AI149">
        <v>202505</v>
      </c>
      <c r="AJ149" t="s">
        <v>203</v>
      </c>
      <c r="AK149">
        <v>1</v>
      </c>
      <c r="AL149">
        <v>1</v>
      </c>
      <c r="AO149">
        <v>0</v>
      </c>
      <c r="AP149">
        <v>999</v>
      </c>
      <c r="AQ149">
        <v>614</v>
      </c>
      <c r="AR149">
        <v>614999</v>
      </c>
      <c r="AT149">
        <v>1</v>
      </c>
      <c r="AU149" t="s">
        <v>65</v>
      </c>
      <c r="AV149">
        <v>1000</v>
      </c>
      <c r="AW149">
        <v>1186.4000000000001</v>
      </c>
      <c r="AX149">
        <v>1500</v>
      </c>
      <c r="AY149">
        <v>1680.386</v>
      </c>
      <c r="AZ149">
        <v>1992.48</v>
      </c>
      <c r="BA149">
        <v>2399.98</v>
      </c>
      <c r="BB149">
        <v>2739.2040000000002</v>
      </c>
      <c r="BC149">
        <v>3000</v>
      </c>
      <c r="BD149">
        <v>3500</v>
      </c>
      <c r="BE149">
        <v>4000</v>
      </c>
      <c r="BF149">
        <v>4800</v>
      </c>
      <c r="BG149">
        <v>5000</v>
      </c>
      <c r="BH149">
        <v>5024.4139999999998</v>
      </c>
      <c r="BI149">
        <v>5617.9639999999999</v>
      </c>
      <c r="BJ149">
        <v>9836.84</v>
      </c>
      <c r="BK149">
        <v>12377.16</v>
      </c>
      <c r="BL149">
        <v>16956.52800000002</v>
      </c>
      <c r="BM149">
        <v>20247.331999999999</v>
      </c>
      <c r="BN149">
        <v>29364.69400000001</v>
      </c>
      <c r="BO149">
        <v>45000</v>
      </c>
      <c r="BP149">
        <v>1149602.8999999999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 x14ac:dyDescent="0.35">
      <c r="A150">
        <v>348093</v>
      </c>
      <c r="B150" t="s">
        <v>289</v>
      </c>
      <c r="C150" t="s">
        <v>290</v>
      </c>
      <c r="D150" s="1">
        <v>45794</v>
      </c>
      <c r="E150">
        <v>53850</v>
      </c>
      <c r="F150">
        <v>148</v>
      </c>
      <c r="G150" t="s">
        <v>125</v>
      </c>
      <c r="H150" t="s">
        <v>48</v>
      </c>
      <c r="I150" t="s">
        <v>49</v>
      </c>
      <c r="K150">
        <v>202505167985199</v>
      </c>
      <c r="L150">
        <v>1483300003872</v>
      </c>
      <c r="M150">
        <v>20250516</v>
      </c>
      <c r="N150" t="s">
        <v>222</v>
      </c>
      <c r="P150" t="s">
        <v>300</v>
      </c>
      <c r="Q150" t="s">
        <v>50</v>
      </c>
      <c r="R150">
        <v>5033.28</v>
      </c>
      <c r="S150">
        <v>0</v>
      </c>
      <c r="T150">
        <v>4602337</v>
      </c>
      <c r="U150">
        <v>1418030621</v>
      </c>
      <c r="V150" t="s">
        <v>126</v>
      </c>
      <c r="W150" t="s">
        <v>58</v>
      </c>
      <c r="X150" t="s">
        <v>127</v>
      </c>
      <c r="Y150" t="s">
        <v>52</v>
      </c>
      <c r="Z150">
        <v>982</v>
      </c>
      <c r="AH150">
        <v>0</v>
      </c>
      <c r="AI150">
        <v>202505</v>
      </c>
      <c r="AJ150" t="s">
        <v>68</v>
      </c>
      <c r="AK150">
        <v>0</v>
      </c>
      <c r="AL150">
        <v>1</v>
      </c>
      <c r="AO150">
        <v>0</v>
      </c>
      <c r="AP150">
        <v>999</v>
      </c>
      <c r="AQ150">
        <v>430</v>
      </c>
      <c r="AR150">
        <v>430999</v>
      </c>
      <c r="AT150">
        <v>1</v>
      </c>
      <c r="AU150" t="s">
        <v>59</v>
      </c>
      <c r="AV150">
        <v>1000</v>
      </c>
      <c r="AW150">
        <v>1186.4000000000001</v>
      </c>
      <c r="AX150">
        <v>1500</v>
      </c>
      <c r="AY150">
        <v>1680.386</v>
      </c>
      <c r="AZ150">
        <v>1992.48</v>
      </c>
      <c r="BA150">
        <v>2399.98</v>
      </c>
      <c r="BB150">
        <v>2739.2040000000002</v>
      </c>
      <c r="BC150">
        <v>3000</v>
      </c>
      <c r="BD150">
        <v>3500</v>
      </c>
      <c r="BE150">
        <v>4000</v>
      </c>
      <c r="BF150">
        <v>4800</v>
      </c>
      <c r="BG150">
        <v>5000</v>
      </c>
      <c r="BH150">
        <v>5024.4139999999998</v>
      </c>
      <c r="BI150">
        <v>5617.9639999999999</v>
      </c>
      <c r="BJ150">
        <v>9836.84</v>
      </c>
      <c r="BK150">
        <v>12377.16</v>
      </c>
      <c r="BL150">
        <v>16956.52800000002</v>
      </c>
      <c r="BM150">
        <v>20247.331999999999</v>
      </c>
      <c r="BN150">
        <v>29364.69400000001</v>
      </c>
      <c r="BO150">
        <v>45000</v>
      </c>
      <c r="BP150">
        <v>1149602.8999999999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 x14ac:dyDescent="0.35">
      <c r="A151">
        <v>348089</v>
      </c>
      <c r="B151" t="s">
        <v>289</v>
      </c>
      <c r="C151" t="s">
        <v>290</v>
      </c>
      <c r="D151" s="1">
        <v>45794</v>
      </c>
      <c r="E151">
        <v>53850</v>
      </c>
      <c r="F151">
        <v>118</v>
      </c>
      <c r="G151" t="s">
        <v>130</v>
      </c>
      <c r="H151" t="s">
        <v>48</v>
      </c>
      <c r="I151" t="s">
        <v>49</v>
      </c>
      <c r="K151">
        <v>202505167983803</v>
      </c>
      <c r="L151">
        <v>1183306279384</v>
      </c>
      <c r="M151">
        <v>20250516</v>
      </c>
      <c r="N151" t="s">
        <v>222</v>
      </c>
      <c r="P151" t="s">
        <v>303</v>
      </c>
      <c r="Q151" t="s">
        <v>50</v>
      </c>
      <c r="R151">
        <v>9000</v>
      </c>
      <c r="S151">
        <v>0</v>
      </c>
      <c r="T151">
        <v>4896093</v>
      </c>
      <c r="U151">
        <v>8070110724</v>
      </c>
      <c r="V151" t="s">
        <v>304</v>
      </c>
      <c r="W151" t="s">
        <v>58</v>
      </c>
      <c r="X151" t="s">
        <v>231</v>
      </c>
      <c r="Y151" t="s">
        <v>52</v>
      </c>
      <c r="Z151">
        <v>979</v>
      </c>
      <c r="AH151">
        <v>0</v>
      </c>
      <c r="AI151">
        <v>202505</v>
      </c>
      <c r="AJ151" t="s">
        <v>203</v>
      </c>
      <c r="AK151">
        <v>1</v>
      </c>
      <c r="AL151">
        <v>1</v>
      </c>
      <c r="AO151">
        <v>0</v>
      </c>
      <c r="AP151">
        <v>999</v>
      </c>
      <c r="AQ151">
        <v>430</v>
      </c>
      <c r="AR151">
        <v>430999</v>
      </c>
      <c r="AT151">
        <v>1</v>
      </c>
      <c r="AU151" t="s">
        <v>59</v>
      </c>
      <c r="AV151">
        <v>1000</v>
      </c>
      <c r="AW151">
        <v>1186.4000000000001</v>
      </c>
      <c r="AX151">
        <v>1500</v>
      </c>
      <c r="AY151">
        <v>1680.386</v>
      </c>
      <c r="AZ151">
        <v>1992.48</v>
      </c>
      <c r="BA151">
        <v>2399.98</v>
      </c>
      <c r="BB151">
        <v>2739.2040000000002</v>
      </c>
      <c r="BC151">
        <v>3000</v>
      </c>
      <c r="BD151">
        <v>3500</v>
      </c>
      <c r="BE151">
        <v>4000</v>
      </c>
      <c r="BF151">
        <v>4800</v>
      </c>
      <c r="BG151">
        <v>5000</v>
      </c>
      <c r="BH151">
        <v>5024.4139999999998</v>
      </c>
      <c r="BI151">
        <v>5617.9639999999999</v>
      </c>
      <c r="BJ151">
        <v>9836.84</v>
      </c>
      <c r="BK151">
        <v>12377.16</v>
      </c>
      <c r="BL151">
        <v>16956.52800000002</v>
      </c>
      <c r="BM151">
        <v>20247.331999999999</v>
      </c>
      <c r="BN151">
        <v>29364.69400000001</v>
      </c>
      <c r="BO151">
        <v>45000</v>
      </c>
      <c r="BP151">
        <v>1149602.8999999999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 x14ac:dyDescent="0.35">
      <c r="A152">
        <v>348079</v>
      </c>
      <c r="B152" t="s">
        <v>289</v>
      </c>
      <c r="C152" t="s">
        <v>290</v>
      </c>
      <c r="D152" s="1">
        <v>45793</v>
      </c>
      <c r="E152">
        <v>53850</v>
      </c>
      <c r="F152">
        <v>102</v>
      </c>
      <c r="G152" t="s">
        <v>56</v>
      </c>
      <c r="H152" t="s">
        <v>48</v>
      </c>
      <c r="I152" t="s">
        <v>49</v>
      </c>
      <c r="K152" t="s">
        <v>507</v>
      </c>
      <c r="L152">
        <v>1023308724471</v>
      </c>
      <c r="M152">
        <v>20250515</v>
      </c>
      <c r="N152" t="s">
        <v>222</v>
      </c>
      <c r="P152" t="s">
        <v>136</v>
      </c>
      <c r="Q152" t="s">
        <v>61</v>
      </c>
      <c r="R152">
        <v>3000</v>
      </c>
      <c r="S152">
        <v>0</v>
      </c>
      <c r="T152">
        <v>4926972</v>
      </c>
      <c r="U152">
        <v>8178330729</v>
      </c>
      <c r="V152" t="s">
        <v>508</v>
      </c>
      <c r="W152" t="s">
        <v>58</v>
      </c>
      <c r="X152" t="s">
        <v>98</v>
      </c>
      <c r="Y152" t="s">
        <v>52</v>
      </c>
      <c r="Z152">
        <v>1443</v>
      </c>
      <c r="AH152">
        <v>0</v>
      </c>
      <c r="AI152">
        <v>202505</v>
      </c>
      <c r="AJ152" t="s">
        <v>203</v>
      </c>
      <c r="AK152">
        <v>1</v>
      </c>
      <c r="AL152">
        <v>1</v>
      </c>
      <c r="AO152">
        <v>0</v>
      </c>
      <c r="AP152">
        <v>477</v>
      </c>
      <c r="AQ152">
        <v>430</v>
      </c>
      <c r="AR152">
        <v>430477</v>
      </c>
      <c r="AS152" t="s">
        <v>65</v>
      </c>
      <c r="AU152" t="s">
        <v>65</v>
      </c>
      <c r="AV152">
        <v>1000</v>
      </c>
      <c r="AW152">
        <v>1186.4000000000001</v>
      </c>
      <c r="AX152">
        <v>1500</v>
      </c>
      <c r="AY152">
        <v>1680.386</v>
      </c>
      <c r="AZ152">
        <v>1992.48</v>
      </c>
      <c r="BA152">
        <v>2399.98</v>
      </c>
      <c r="BB152">
        <v>2739.2040000000002</v>
      </c>
      <c r="BC152">
        <v>3000</v>
      </c>
      <c r="BD152">
        <v>3500</v>
      </c>
      <c r="BE152">
        <v>4000</v>
      </c>
      <c r="BF152">
        <v>4800</v>
      </c>
      <c r="BG152">
        <v>5000</v>
      </c>
      <c r="BH152">
        <v>5024.4139999999998</v>
      </c>
      <c r="BI152">
        <v>5617.9639999999999</v>
      </c>
      <c r="BJ152">
        <v>9836.84</v>
      </c>
      <c r="BK152">
        <v>12377.16</v>
      </c>
      <c r="BL152">
        <v>16956.52800000002</v>
      </c>
      <c r="BM152">
        <v>20247.331999999999</v>
      </c>
      <c r="BN152">
        <v>29364.69400000001</v>
      </c>
      <c r="BO152">
        <v>45000</v>
      </c>
      <c r="BP152">
        <v>1149602.8999999999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 x14ac:dyDescent="0.35">
      <c r="A153">
        <v>348078</v>
      </c>
      <c r="B153" t="s">
        <v>289</v>
      </c>
      <c r="C153" t="s">
        <v>290</v>
      </c>
      <c r="D153" s="1">
        <v>45793</v>
      </c>
      <c r="E153">
        <v>53850</v>
      </c>
      <c r="F153">
        <v>198</v>
      </c>
      <c r="G153" t="s">
        <v>119</v>
      </c>
      <c r="H153" t="s">
        <v>48</v>
      </c>
      <c r="I153" t="s">
        <v>49</v>
      </c>
      <c r="K153" t="s">
        <v>509</v>
      </c>
      <c r="L153">
        <v>1983309519925</v>
      </c>
      <c r="M153">
        <v>20250515</v>
      </c>
      <c r="N153" t="s">
        <v>222</v>
      </c>
      <c r="P153" t="s">
        <v>364</v>
      </c>
      <c r="Q153" t="s">
        <v>61</v>
      </c>
      <c r="R153">
        <v>2477</v>
      </c>
      <c r="S153">
        <v>0</v>
      </c>
      <c r="T153">
        <v>4033412</v>
      </c>
      <c r="U153" t="s">
        <v>510</v>
      </c>
      <c r="V153" t="s">
        <v>511</v>
      </c>
      <c r="W153" t="s">
        <v>73</v>
      </c>
      <c r="X153" t="s">
        <v>343</v>
      </c>
      <c r="Y153" t="s">
        <v>52</v>
      </c>
      <c r="Z153">
        <v>1923</v>
      </c>
      <c r="AH153">
        <v>0</v>
      </c>
      <c r="AI153">
        <v>202505</v>
      </c>
      <c r="AJ153" t="s">
        <v>68</v>
      </c>
      <c r="AK153">
        <v>0</v>
      </c>
      <c r="AL153">
        <v>1</v>
      </c>
      <c r="AO153">
        <v>0</v>
      </c>
      <c r="AP153">
        <v>999</v>
      </c>
      <c r="AQ153">
        <v>615</v>
      </c>
      <c r="AR153">
        <v>615999</v>
      </c>
      <c r="AT153">
        <v>1</v>
      </c>
      <c r="AU153" t="s">
        <v>65</v>
      </c>
      <c r="AV153">
        <v>1000</v>
      </c>
      <c r="AW153">
        <v>1186.4000000000001</v>
      </c>
      <c r="AX153">
        <v>1500</v>
      </c>
      <c r="AY153">
        <v>1680.386</v>
      </c>
      <c r="AZ153">
        <v>1992.48</v>
      </c>
      <c r="BA153">
        <v>2399.98</v>
      </c>
      <c r="BB153">
        <v>2739.2040000000002</v>
      </c>
      <c r="BC153">
        <v>3000</v>
      </c>
      <c r="BD153">
        <v>3500</v>
      </c>
      <c r="BE153">
        <v>4000</v>
      </c>
      <c r="BF153">
        <v>4800</v>
      </c>
      <c r="BG153">
        <v>5000</v>
      </c>
      <c r="BH153">
        <v>5024.4139999999998</v>
      </c>
      <c r="BI153">
        <v>5617.9639999999999</v>
      </c>
      <c r="BJ153">
        <v>9836.84</v>
      </c>
      <c r="BK153">
        <v>12377.16</v>
      </c>
      <c r="BL153">
        <v>16956.52800000002</v>
      </c>
      <c r="BM153">
        <v>20247.331999999999</v>
      </c>
      <c r="BN153">
        <v>29364.69400000001</v>
      </c>
      <c r="BO153">
        <v>45000</v>
      </c>
      <c r="BP153">
        <v>1149602.8999999999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 x14ac:dyDescent="0.35">
      <c r="A154">
        <v>348071</v>
      </c>
      <c r="B154" t="s">
        <v>289</v>
      </c>
      <c r="C154" t="s">
        <v>290</v>
      </c>
      <c r="D154" s="1">
        <v>45793</v>
      </c>
      <c r="E154">
        <v>53850</v>
      </c>
      <c r="F154">
        <v>129</v>
      </c>
      <c r="G154" t="s">
        <v>81</v>
      </c>
      <c r="H154" t="s">
        <v>48</v>
      </c>
      <c r="I154" t="s">
        <v>49</v>
      </c>
      <c r="K154">
        <v>202505157981969</v>
      </c>
      <c r="L154">
        <v>1293300002811</v>
      </c>
      <c r="M154">
        <v>20250515</v>
      </c>
      <c r="N154" t="s">
        <v>222</v>
      </c>
      <c r="P154" t="s">
        <v>291</v>
      </c>
      <c r="Q154" t="s">
        <v>61</v>
      </c>
      <c r="R154">
        <v>5644.91</v>
      </c>
      <c r="S154">
        <v>0</v>
      </c>
      <c r="T154">
        <v>4972184</v>
      </c>
      <c r="U154">
        <v>7780290727</v>
      </c>
      <c r="V154" t="s">
        <v>355</v>
      </c>
      <c r="W154" t="s">
        <v>58</v>
      </c>
      <c r="X154" t="s">
        <v>356</v>
      </c>
      <c r="Y154" t="s">
        <v>52</v>
      </c>
      <c r="Z154">
        <v>1058</v>
      </c>
      <c r="AH154">
        <v>0</v>
      </c>
      <c r="AI154">
        <v>202505</v>
      </c>
      <c r="AJ154" t="s">
        <v>55</v>
      </c>
      <c r="AK154">
        <v>0</v>
      </c>
      <c r="AL154">
        <v>1</v>
      </c>
      <c r="AO154">
        <v>0</v>
      </c>
      <c r="AP154">
        <v>999</v>
      </c>
      <c r="AQ154">
        <v>430</v>
      </c>
      <c r="AR154">
        <v>430999</v>
      </c>
      <c r="AT154">
        <v>1</v>
      </c>
      <c r="AU154" t="s">
        <v>59</v>
      </c>
      <c r="AV154">
        <v>1000</v>
      </c>
      <c r="AW154">
        <v>1186.4000000000001</v>
      </c>
      <c r="AX154">
        <v>1500</v>
      </c>
      <c r="AY154">
        <v>1680.386</v>
      </c>
      <c r="AZ154">
        <v>1992.48</v>
      </c>
      <c r="BA154">
        <v>2399.98</v>
      </c>
      <c r="BB154">
        <v>2739.2040000000002</v>
      </c>
      <c r="BC154">
        <v>3000</v>
      </c>
      <c r="BD154">
        <v>3500</v>
      </c>
      <c r="BE154">
        <v>4000</v>
      </c>
      <c r="BF154">
        <v>4800</v>
      </c>
      <c r="BG154">
        <v>5000</v>
      </c>
      <c r="BH154">
        <v>5024.4139999999998</v>
      </c>
      <c r="BI154">
        <v>5617.9639999999999</v>
      </c>
      <c r="BJ154">
        <v>9836.84</v>
      </c>
      <c r="BK154">
        <v>12377.16</v>
      </c>
      <c r="BL154">
        <v>16956.52800000002</v>
      </c>
      <c r="BM154">
        <v>20247.331999999999</v>
      </c>
      <c r="BN154">
        <v>29364.69400000001</v>
      </c>
      <c r="BO154">
        <v>45000</v>
      </c>
      <c r="BP154">
        <v>1149602.8999999999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 x14ac:dyDescent="0.35">
      <c r="A155">
        <v>348062</v>
      </c>
      <c r="B155" t="s">
        <v>289</v>
      </c>
      <c r="C155" t="s">
        <v>290</v>
      </c>
      <c r="D155" s="1">
        <v>45793</v>
      </c>
      <c r="E155">
        <v>53850</v>
      </c>
      <c r="F155">
        <v>196</v>
      </c>
      <c r="G155" t="s">
        <v>90</v>
      </c>
      <c r="H155" t="s">
        <v>48</v>
      </c>
      <c r="I155" t="s">
        <v>49</v>
      </c>
      <c r="K155" t="s">
        <v>512</v>
      </c>
      <c r="L155">
        <v>1963302354532</v>
      </c>
      <c r="M155">
        <v>20250515</v>
      </c>
      <c r="N155" t="s">
        <v>222</v>
      </c>
      <c r="P155" t="s">
        <v>364</v>
      </c>
      <c r="Q155" t="s">
        <v>50</v>
      </c>
      <c r="R155">
        <v>1000</v>
      </c>
      <c r="S155">
        <v>0</v>
      </c>
      <c r="T155">
        <v>4962400</v>
      </c>
      <c r="U155" t="s">
        <v>365</v>
      </c>
      <c r="V155" t="s">
        <v>366</v>
      </c>
      <c r="W155" t="s">
        <v>51</v>
      </c>
      <c r="Y155" t="s">
        <v>52</v>
      </c>
      <c r="Z155">
        <v>796</v>
      </c>
      <c r="AH155">
        <v>0</v>
      </c>
      <c r="AI155">
        <v>202505</v>
      </c>
      <c r="AJ155" t="s">
        <v>203</v>
      </c>
      <c r="AK155">
        <v>1</v>
      </c>
      <c r="AL155">
        <v>1</v>
      </c>
      <c r="AO155">
        <v>0</v>
      </c>
      <c r="AP155">
        <v>999</v>
      </c>
      <c r="AQ155">
        <v>600</v>
      </c>
      <c r="AR155">
        <v>600999</v>
      </c>
      <c r="AS155" t="s">
        <v>53</v>
      </c>
      <c r="AU155" t="s">
        <v>53</v>
      </c>
      <c r="AV155">
        <v>1000</v>
      </c>
      <c r="AW155">
        <v>1186.4000000000001</v>
      </c>
      <c r="AX155">
        <v>1500</v>
      </c>
      <c r="AY155">
        <v>1680.386</v>
      </c>
      <c r="AZ155">
        <v>1992.48</v>
      </c>
      <c r="BA155">
        <v>2399.98</v>
      </c>
      <c r="BB155">
        <v>2739.2040000000002</v>
      </c>
      <c r="BC155">
        <v>3000</v>
      </c>
      <c r="BD155">
        <v>3500</v>
      </c>
      <c r="BE155">
        <v>4000</v>
      </c>
      <c r="BF155">
        <v>4800</v>
      </c>
      <c r="BG155">
        <v>5000</v>
      </c>
      <c r="BH155">
        <v>5024.4139999999998</v>
      </c>
      <c r="BI155">
        <v>5617.9639999999999</v>
      </c>
      <c r="BJ155">
        <v>9836.84</v>
      </c>
      <c r="BK155">
        <v>12377.16</v>
      </c>
      <c r="BL155">
        <v>16956.52800000002</v>
      </c>
      <c r="BM155">
        <v>20247.331999999999</v>
      </c>
      <c r="BN155">
        <v>29364.69400000001</v>
      </c>
      <c r="BO155">
        <v>45000</v>
      </c>
      <c r="BP155">
        <v>1149602.8999999999</v>
      </c>
      <c r="BQ155">
        <v>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 x14ac:dyDescent="0.35">
      <c r="A156">
        <v>348050</v>
      </c>
      <c r="B156" t="s">
        <v>289</v>
      </c>
      <c r="C156" t="s">
        <v>290</v>
      </c>
      <c r="D156" s="1">
        <v>45793</v>
      </c>
      <c r="E156">
        <v>53850</v>
      </c>
      <c r="F156">
        <v>137</v>
      </c>
      <c r="G156" t="s">
        <v>83</v>
      </c>
      <c r="H156" t="s">
        <v>48</v>
      </c>
      <c r="I156" t="s">
        <v>49</v>
      </c>
      <c r="K156">
        <v>202505157981080</v>
      </c>
      <c r="L156">
        <v>1373300005994</v>
      </c>
      <c r="M156">
        <v>20250515</v>
      </c>
      <c r="N156" t="s">
        <v>222</v>
      </c>
      <c r="P156" t="s">
        <v>291</v>
      </c>
      <c r="Q156" t="s">
        <v>50</v>
      </c>
      <c r="R156">
        <v>47483.7</v>
      </c>
      <c r="S156">
        <v>0</v>
      </c>
      <c r="T156">
        <v>3734872</v>
      </c>
      <c r="U156">
        <v>1896670708</v>
      </c>
      <c r="V156" t="s">
        <v>292</v>
      </c>
      <c r="W156" t="s">
        <v>58</v>
      </c>
      <c r="X156" t="s">
        <v>293</v>
      </c>
      <c r="Y156" t="s">
        <v>52</v>
      </c>
      <c r="Z156">
        <v>1867</v>
      </c>
      <c r="AH156">
        <v>0</v>
      </c>
      <c r="AI156">
        <v>202505</v>
      </c>
      <c r="AJ156" t="s">
        <v>68</v>
      </c>
      <c r="AK156">
        <v>0</v>
      </c>
      <c r="AL156">
        <v>1</v>
      </c>
      <c r="AO156">
        <v>0</v>
      </c>
      <c r="AP156">
        <v>999</v>
      </c>
      <c r="AQ156">
        <v>430</v>
      </c>
      <c r="AR156">
        <v>430999</v>
      </c>
      <c r="AT156">
        <v>1</v>
      </c>
      <c r="AU156" t="s">
        <v>59</v>
      </c>
      <c r="AV156">
        <v>1000</v>
      </c>
      <c r="AW156">
        <v>1186.4000000000001</v>
      </c>
      <c r="AX156">
        <v>1500</v>
      </c>
      <c r="AY156">
        <v>1680.386</v>
      </c>
      <c r="AZ156">
        <v>1992.48</v>
      </c>
      <c r="BA156">
        <v>2399.98</v>
      </c>
      <c r="BB156">
        <v>2739.2040000000002</v>
      </c>
      <c r="BC156">
        <v>3000</v>
      </c>
      <c r="BD156">
        <v>3500</v>
      </c>
      <c r="BE156">
        <v>4000</v>
      </c>
      <c r="BF156">
        <v>4800</v>
      </c>
      <c r="BG156">
        <v>5000</v>
      </c>
      <c r="BH156">
        <v>5024.4139999999998</v>
      </c>
      <c r="BI156">
        <v>5617.9639999999999</v>
      </c>
      <c r="BJ156">
        <v>9836.84</v>
      </c>
      <c r="BK156">
        <v>12377.16</v>
      </c>
      <c r="BL156">
        <v>16956.52800000002</v>
      </c>
      <c r="BM156">
        <v>20247.331999999999</v>
      </c>
      <c r="BN156">
        <v>29364.69400000001</v>
      </c>
      <c r="BO156">
        <v>45000</v>
      </c>
      <c r="BP156">
        <v>1149602.8999999999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0</v>
      </c>
    </row>
    <row r="157" spans="1:89" x14ac:dyDescent="0.35">
      <c r="A157">
        <v>348040</v>
      </c>
      <c r="B157" t="s">
        <v>289</v>
      </c>
      <c r="C157" t="s">
        <v>290</v>
      </c>
      <c r="D157" s="1">
        <v>45793</v>
      </c>
      <c r="E157">
        <v>53850</v>
      </c>
      <c r="F157">
        <v>187</v>
      </c>
      <c r="G157" t="s">
        <v>75</v>
      </c>
      <c r="H157" t="s">
        <v>48</v>
      </c>
      <c r="I157" t="s">
        <v>49</v>
      </c>
      <c r="K157" t="s">
        <v>513</v>
      </c>
      <c r="L157">
        <v>1873300102696</v>
      </c>
      <c r="M157">
        <v>20250515</v>
      </c>
      <c r="N157" t="s">
        <v>222</v>
      </c>
      <c r="P157" t="s">
        <v>303</v>
      </c>
      <c r="Q157" t="s">
        <v>61</v>
      </c>
      <c r="R157">
        <v>1574.15</v>
      </c>
      <c r="S157">
        <v>0</v>
      </c>
      <c r="T157">
        <v>4000559</v>
      </c>
      <c r="U157">
        <v>2099160737</v>
      </c>
      <c r="V157" t="s">
        <v>117</v>
      </c>
      <c r="W157" t="s">
        <v>58</v>
      </c>
      <c r="X157" t="s">
        <v>86</v>
      </c>
      <c r="Y157" t="s">
        <v>52</v>
      </c>
      <c r="Z157">
        <v>1627</v>
      </c>
      <c r="AH157">
        <v>0</v>
      </c>
      <c r="AI157">
        <v>202505</v>
      </c>
      <c r="AJ157" t="s">
        <v>68</v>
      </c>
      <c r="AK157">
        <v>0</v>
      </c>
      <c r="AL157">
        <v>1</v>
      </c>
      <c r="AO157">
        <v>0</v>
      </c>
      <c r="AP157">
        <v>463</v>
      </c>
      <c r="AQ157">
        <v>430</v>
      </c>
      <c r="AR157">
        <v>430463</v>
      </c>
      <c r="AS157" t="s">
        <v>65</v>
      </c>
      <c r="AU157" t="s">
        <v>65</v>
      </c>
      <c r="AV157">
        <v>1000</v>
      </c>
      <c r="AW157">
        <v>1186.4000000000001</v>
      </c>
      <c r="AX157">
        <v>1500</v>
      </c>
      <c r="AY157">
        <v>1680.386</v>
      </c>
      <c r="AZ157">
        <v>1992.48</v>
      </c>
      <c r="BA157">
        <v>2399.98</v>
      </c>
      <c r="BB157">
        <v>2739.2040000000002</v>
      </c>
      <c r="BC157">
        <v>3000</v>
      </c>
      <c r="BD157">
        <v>3500</v>
      </c>
      <c r="BE157">
        <v>4000</v>
      </c>
      <c r="BF157">
        <v>4800</v>
      </c>
      <c r="BG157">
        <v>5000</v>
      </c>
      <c r="BH157">
        <v>5024.4139999999998</v>
      </c>
      <c r="BI157">
        <v>5617.9639999999999</v>
      </c>
      <c r="BJ157">
        <v>9836.84</v>
      </c>
      <c r="BK157">
        <v>12377.16</v>
      </c>
      <c r="BL157">
        <v>16956.52800000002</v>
      </c>
      <c r="BM157">
        <v>20247.331999999999</v>
      </c>
      <c r="BN157">
        <v>29364.69400000001</v>
      </c>
      <c r="BO157">
        <v>45000</v>
      </c>
      <c r="BP157">
        <v>1149602.8999999999</v>
      </c>
      <c r="BQ157">
        <v>1</v>
      </c>
      <c r="BR157">
        <v>1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 x14ac:dyDescent="0.35">
      <c r="A158">
        <v>348033</v>
      </c>
      <c r="B158" t="s">
        <v>289</v>
      </c>
      <c r="C158" t="s">
        <v>290</v>
      </c>
      <c r="D158" s="1">
        <v>45792</v>
      </c>
      <c r="E158">
        <v>53850</v>
      </c>
      <c r="F158">
        <v>148</v>
      </c>
      <c r="G158" t="s">
        <v>125</v>
      </c>
      <c r="H158" t="s">
        <v>48</v>
      </c>
      <c r="I158" t="s">
        <v>49</v>
      </c>
      <c r="K158" t="s">
        <v>514</v>
      </c>
      <c r="L158">
        <v>1483300003580</v>
      </c>
      <c r="M158">
        <v>20250514</v>
      </c>
      <c r="N158" t="s">
        <v>222</v>
      </c>
      <c r="P158" t="s">
        <v>291</v>
      </c>
      <c r="Q158" t="s">
        <v>61</v>
      </c>
      <c r="R158">
        <v>1500</v>
      </c>
      <c r="S158">
        <v>0</v>
      </c>
      <c r="T158">
        <v>4771374</v>
      </c>
      <c r="U158" t="s">
        <v>382</v>
      </c>
      <c r="V158" t="s">
        <v>383</v>
      </c>
      <c r="W158" t="s">
        <v>51</v>
      </c>
      <c r="Y158" t="s">
        <v>52</v>
      </c>
      <c r="Z158">
        <v>1064</v>
      </c>
      <c r="AH158">
        <v>0</v>
      </c>
      <c r="AI158">
        <v>202505</v>
      </c>
      <c r="AJ158" t="s">
        <v>68</v>
      </c>
      <c r="AK158">
        <v>0</v>
      </c>
      <c r="AL158">
        <v>1</v>
      </c>
      <c r="AO158">
        <v>0</v>
      </c>
      <c r="AP158">
        <v>999</v>
      </c>
      <c r="AQ158">
        <v>600</v>
      </c>
      <c r="AR158">
        <v>600999</v>
      </c>
      <c r="AS158" t="s">
        <v>53</v>
      </c>
      <c r="AU158" t="s">
        <v>53</v>
      </c>
      <c r="AV158">
        <v>1000</v>
      </c>
      <c r="AW158">
        <v>1186.4000000000001</v>
      </c>
      <c r="AX158">
        <v>1500</v>
      </c>
      <c r="AY158">
        <v>1680.386</v>
      </c>
      <c r="AZ158">
        <v>1992.48</v>
      </c>
      <c r="BA158">
        <v>2399.98</v>
      </c>
      <c r="BB158">
        <v>2739.2040000000002</v>
      </c>
      <c r="BC158">
        <v>3000</v>
      </c>
      <c r="BD158">
        <v>3500</v>
      </c>
      <c r="BE158">
        <v>4000</v>
      </c>
      <c r="BF158">
        <v>4800</v>
      </c>
      <c r="BG158">
        <v>5000</v>
      </c>
      <c r="BH158">
        <v>5024.4139999999998</v>
      </c>
      <c r="BI158">
        <v>5617.9639999999999</v>
      </c>
      <c r="BJ158">
        <v>9836.84</v>
      </c>
      <c r="BK158">
        <v>12377.16</v>
      </c>
      <c r="BL158">
        <v>16956.52800000002</v>
      </c>
      <c r="BM158">
        <v>20247.331999999999</v>
      </c>
      <c r="BN158">
        <v>29364.69400000001</v>
      </c>
      <c r="BO158">
        <v>45000</v>
      </c>
      <c r="BP158">
        <v>1149602.8999999999</v>
      </c>
      <c r="BQ158">
        <v>1</v>
      </c>
      <c r="BR158">
        <v>1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 x14ac:dyDescent="0.35">
      <c r="A159">
        <v>348010</v>
      </c>
      <c r="B159" t="s">
        <v>289</v>
      </c>
      <c r="C159" t="s">
        <v>290</v>
      </c>
      <c r="D159" s="1">
        <v>45792</v>
      </c>
      <c r="E159">
        <v>53850</v>
      </c>
      <c r="F159">
        <v>147</v>
      </c>
      <c r="G159" t="s">
        <v>114</v>
      </c>
      <c r="H159" t="s">
        <v>48</v>
      </c>
      <c r="I159" t="s">
        <v>49</v>
      </c>
      <c r="K159" t="s">
        <v>515</v>
      </c>
      <c r="L159">
        <v>1473300005217</v>
      </c>
      <c r="M159">
        <v>20250514</v>
      </c>
      <c r="N159" t="s">
        <v>222</v>
      </c>
      <c r="P159" t="s">
        <v>303</v>
      </c>
      <c r="Q159" t="s">
        <v>50</v>
      </c>
      <c r="R159">
        <v>1825</v>
      </c>
      <c r="S159">
        <v>0</v>
      </c>
      <c r="T159">
        <v>3724704</v>
      </c>
      <c r="U159">
        <v>4306130610</v>
      </c>
      <c r="V159" t="s">
        <v>371</v>
      </c>
      <c r="W159" t="s">
        <v>58</v>
      </c>
      <c r="X159" t="s">
        <v>108</v>
      </c>
      <c r="Y159" t="s">
        <v>52</v>
      </c>
      <c r="Z159">
        <v>1196</v>
      </c>
      <c r="AH159">
        <v>0</v>
      </c>
      <c r="AI159">
        <v>202505</v>
      </c>
      <c r="AJ159" t="s">
        <v>55</v>
      </c>
      <c r="AK159">
        <v>0</v>
      </c>
      <c r="AL159">
        <v>1</v>
      </c>
      <c r="AO159">
        <v>0</v>
      </c>
      <c r="AP159">
        <v>999</v>
      </c>
      <c r="AQ159">
        <v>430</v>
      </c>
      <c r="AR159">
        <v>430999</v>
      </c>
      <c r="AT159">
        <v>1</v>
      </c>
      <c r="AU159" t="s">
        <v>59</v>
      </c>
      <c r="AV159">
        <v>1000</v>
      </c>
      <c r="AW159">
        <v>1186.4000000000001</v>
      </c>
      <c r="AX159">
        <v>1500</v>
      </c>
      <c r="AY159">
        <v>1680.386</v>
      </c>
      <c r="AZ159">
        <v>1992.48</v>
      </c>
      <c r="BA159">
        <v>2399.98</v>
      </c>
      <c r="BB159">
        <v>2739.2040000000002</v>
      </c>
      <c r="BC159">
        <v>3000</v>
      </c>
      <c r="BD159">
        <v>3500</v>
      </c>
      <c r="BE159">
        <v>4000</v>
      </c>
      <c r="BF159">
        <v>4800</v>
      </c>
      <c r="BG159">
        <v>5000</v>
      </c>
      <c r="BH159">
        <v>5024.4139999999998</v>
      </c>
      <c r="BI159">
        <v>5617.9639999999999</v>
      </c>
      <c r="BJ159">
        <v>9836.84</v>
      </c>
      <c r="BK159">
        <v>12377.16</v>
      </c>
      <c r="BL159">
        <v>16956.52800000002</v>
      </c>
      <c r="BM159">
        <v>20247.331999999999</v>
      </c>
      <c r="BN159">
        <v>29364.69400000001</v>
      </c>
      <c r="BO159">
        <v>45000</v>
      </c>
      <c r="BP159">
        <v>1149602.8999999999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 x14ac:dyDescent="0.35">
      <c r="A160">
        <v>348001</v>
      </c>
      <c r="B160" t="s">
        <v>289</v>
      </c>
      <c r="C160" t="s">
        <v>290</v>
      </c>
      <c r="D160" s="1">
        <v>45792</v>
      </c>
      <c r="E160">
        <v>53850</v>
      </c>
      <c r="F160">
        <v>271</v>
      </c>
      <c r="G160" t="s">
        <v>109</v>
      </c>
      <c r="H160" t="s">
        <v>48</v>
      </c>
      <c r="I160" t="s">
        <v>49</v>
      </c>
      <c r="K160">
        <v>202505147979176</v>
      </c>
      <c r="L160">
        <v>2713300010112</v>
      </c>
      <c r="M160">
        <v>20250514</v>
      </c>
      <c r="N160" t="s">
        <v>222</v>
      </c>
      <c r="P160" t="s">
        <v>136</v>
      </c>
      <c r="Q160" t="s">
        <v>61</v>
      </c>
      <c r="R160">
        <v>5000</v>
      </c>
      <c r="S160">
        <v>0</v>
      </c>
      <c r="T160">
        <v>1611557</v>
      </c>
      <c r="U160" t="s">
        <v>401</v>
      </c>
      <c r="V160" t="s">
        <v>402</v>
      </c>
      <c r="W160" t="s">
        <v>73</v>
      </c>
      <c r="X160" t="s">
        <v>403</v>
      </c>
      <c r="Y160" t="s">
        <v>52</v>
      </c>
      <c r="Z160">
        <v>1850</v>
      </c>
      <c r="AH160">
        <v>0</v>
      </c>
      <c r="AI160">
        <v>202505</v>
      </c>
      <c r="AJ160" t="s">
        <v>55</v>
      </c>
      <c r="AK160">
        <v>0</v>
      </c>
      <c r="AL160">
        <v>1</v>
      </c>
      <c r="AO160">
        <v>0</v>
      </c>
      <c r="AP160">
        <v>999</v>
      </c>
      <c r="AQ160">
        <v>615</v>
      </c>
      <c r="AR160">
        <v>615999</v>
      </c>
      <c r="AT160">
        <v>1</v>
      </c>
      <c r="AU160" t="s">
        <v>65</v>
      </c>
      <c r="AV160">
        <v>1000</v>
      </c>
      <c r="AW160">
        <v>1186.4000000000001</v>
      </c>
      <c r="AX160">
        <v>1500</v>
      </c>
      <c r="AY160">
        <v>1680.386</v>
      </c>
      <c r="AZ160">
        <v>1992.48</v>
      </c>
      <c r="BA160">
        <v>2399.98</v>
      </c>
      <c r="BB160">
        <v>2739.2040000000002</v>
      </c>
      <c r="BC160">
        <v>3000</v>
      </c>
      <c r="BD160">
        <v>3500</v>
      </c>
      <c r="BE160">
        <v>4000</v>
      </c>
      <c r="BF160">
        <v>4800</v>
      </c>
      <c r="BG160">
        <v>5000</v>
      </c>
      <c r="BH160">
        <v>5024.4139999999998</v>
      </c>
      <c r="BI160">
        <v>5617.9639999999999</v>
      </c>
      <c r="BJ160">
        <v>9836.84</v>
      </c>
      <c r="BK160">
        <v>12377.16</v>
      </c>
      <c r="BL160">
        <v>16956.52800000002</v>
      </c>
      <c r="BM160">
        <v>20247.331999999999</v>
      </c>
      <c r="BN160">
        <v>29364.69400000001</v>
      </c>
      <c r="BO160">
        <v>45000</v>
      </c>
      <c r="BP160">
        <v>1149602.8999999999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 x14ac:dyDescent="0.35">
      <c r="A161">
        <v>347998</v>
      </c>
      <c r="B161" t="s">
        <v>289</v>
      </c>
      <c r="C161" t="s">
        <v>290</v>
      </c>
      <c r="D161" s="1">
        <v>45792</v>
      </c>
      <c r="E161">
        <v>53850</v>
      </c>
      <c r="F161">
        <v>149</v>
      </c>
      <c r="G161" t="s">
        <v>107</v>
      </c>
      <c r="H161" t="s">
        <v>48</v>
      </c>
      <c r="I161" t="s">
        <v>49</v>
      </c>
      <c r="K161" t="s">
        <v>516</v>
      </c>
      <c r="L161">
        <v>1493300663564</v>
      </c>
      <c r="M161">
        <v>20250514</v>
      </c>
      <c r="N161" t="s">
        <v>222</v>
      </c>
      <c r="P161" t="s">
        <v>303</v>
      </c>
      <c r="Q161" t="s">
        <v>61</v>
      </c>
      <c r="R161">
        <v>3040</v>
      </c>
      <c r="S161">
        <v>0</v>
      </c>
      <c r="T161">
        <v>4851736</v>
      </c>
      <c r="U161">
        <v>8243781211</v>
      </c>
      <c r="V161" t="s">
        <v>447</v>
      </c>
      <c r="W161" t="s">
        <v>58</v>
      </c>
      <c r="X161" t="s">
        <v>137</v>
      </c>
      <c r="Y161" t="s">
        <v>52</v>
      </c>
      <c r="Z161">
        <v>1256</v>
      </c>
      <c r="AH161">
        <v>0</v>
      </c>
      <c r="AI161">
        <v>202505</v>
      </c>
      <c r="AJ161" t="s">
        <v>68</v>
      </c>
      <c r="AK161">
        <v>0</v>
      </c>
      <c r="AL161">
        <v>1</v>
      </c>
      <c r="AO161">
        <v>0</v>
      </c>
      <c r="AP161">
        <v>999</v>
      </c>
      <c r="AQ161">
        <v>430</v>
      </c>
      <c r="AR161">
        <v>430999</v>
      </c>
      <c r="AT161">
        <v>1</v>
      </c>
      <c r="AU161" t="s">
        <v>59</v>
      </c>
      <c r="AV161">
        <v>1000</v>
      </c>
      <c r="AW161">
        <v>1186.4000000000001</v>
      </c>
      <c r="AX161">
        <v>1500</v>
      </c>
      <c r="AY161">
        <v>1680.386</v>
      </c>
      <c r="AZ161">
        <v>1992.48</v>
      </c>
      <c r="BA161">
        <v>2399.98</v>
      </c>
      <c r="BB161">
        <v>2739.2040000000002</v>
      </c>
      <c r="BC161">
        <v>3000</v>
      </c>
      <c r="BD161">
        <v>3500</v>
      </c>
      <c r="BE161">
        <v>4000</v>
      </c>
      <c r="BF161">
        <v>4800</v>
      </c>
      <c r="BG161">
        <v>5000</v>
      </c>
      <c r="BH161">
        <v>5024.4139999999998</v>
      </c>
      <c r="BI161">
        <v>5617.9639999999999</v>
      </c>
      <c r="BJ161">
        <v>9836.84</v>
      </c>
      <c r="BK161">
        <v>12377.16</v>
      </c>
      <c r="BL161">
        <v>16956.52800000002</v>
      </c>
      <c r="BM161">
        <v>20247.331999999999</v>
      </c>
      <c r="BN161">
        <v>29364.69400000001</v>
      </c>
      <c r="BO161">
        <v>45000</v>
      </c>
      <c r="BP161">
        <v>1149602.8999999999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 x14ac:dyDescent="0.35">
      <c r="A162">
        <v>347995</v>
      </c>
      <c r="B162" t="s">
        <v>289</v>
      </c>
      <c r="C162" t="s">
        <v>290</v>
      </c>
      <c r="D162" s="1">
        <v>45792</v>
      </c>
      <c r="E162">
        <v>53850</v>
      </c>
      <c r="F162">
        <v>116</v>
      </c>
      <c r="G162" t="s">
        <v>209</v>
      </c>
      <c r="H162" t="s">
        <v>48</v>
      </c>
      <c r="I162" t="s">
        <v>49</v>
      </c>
      <c r="K162">
        <v>202505147979166</v>
      </c>
      <c r="L162">
        <v>1161208800014</v>
      </c>
      <c r="M162">
        <v>20250514</v>
      </c>
      <c r="N162" t="s">
        <v>222</v>
      </c>
      <c r="P162" t="s">
        <v>303</v>
      </c>
      <c r="Q162" t="s">
        <v>50</v>
      </c>
      <c r="R162">
        <v>11840.06</v>
      </c>
      <c r="S162">
        <v>0</v>
      </c>
      <c r="T162">
        <v>4871871</v>
      </c>
      <c r="U162">
        <v>2516140726</v>
      </c>
      <c r="V162" t="s">
        <v>517</v>
      </c>
      <c r="W162" t="s">
        <v>58</v>
      </c>
      <c r="X162" t="s">
        <v>320</v>
      </c>
      <c r="Y162" t="s">
        <v>52</v>
      </c>
      <c r="Z162">
        <v>1903</v>
      </c>
      <c r="AH162">
        <v>0</v>
      </c>
      <c r="AI162">
        <v>202505</v>
      </c>
      <c r="AJ162" t="s">
        <v>68</v>
      </c>
      <c r="AK162">
        <v>0</v>
      </c>
      <c r="AL162">
        <v>1</v>
      </c>
      <c r="AO162">
        <v>0</v>
      </c>
      <c r="AP162">
        <v>999</v>
      </c>
      <c r="AQ162">
        <v>430</v>
      </c>
      <c r="AR162">
        <v>430999</v>
      </c>
      <c r="AT162">
        <v>1</v>
      </c>
      <c r="AU162" t="s">
        <v>59</v>
      </c>
      <c r="AV162">
        <v>1000</v>
      </c>
      <c r="AW162">
        <v>1186.4000000000001</v>
      </c>
      <c r="AX162">
        <v>1500</v>
      </c>
      <c r="AY162">
        <v>1680.386</v>
      </c>
      <c r="AZ162">
        <v>1992.48</v>
      </c>
      <c r="BA162">
        <v>2399.98</v>
      </c>
      <c r="BB162">
        <v>2739.2040000000002</v>
      </c>
      <c r="BC162">
        <v>3000</v>
      </c>
      <c r="BD162">
        <v>3500</v>
      </c>
      <c r="BE162">
        <v>4000</v>
      </c>
      <c r="BF162">
        <v>4800</v>
      </c>
      <c r="BG162">
        <v>5000</v>
      </c>
      <c r="BH162">
        <v>5024.4139999999998</v>
      </c>
      <c r="BI162">
        <v>5617.9639999999999</v>
      </c>
      <c r="BJ162">
        <v>9836.84</v>
      </c>
      <c r="BK162">
        <v>12377.16</v>
      </c>
      <c r="BL162">
        <v>16956.52800000002</v>
      </c>
      <c r="BM162">
        <v>20247.331999999999</v>
      </c>
      <c r="BN162">
        <v>29364.69400000001</v>
      </c>
      <c r="BO162">
        <v>45000</v>
      </c>
      <c r="BP162">
        <v>1149602.8999999999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 x14ac:dyDescent="0.35">
      <c r="A163">
        <v>347951</v>
      </c>
      <c r="B163" t="s">
        <v>289</v>
      </c>
      <c r="C163" t="s">
        <v>290</v>
      </c>
      <c r="D163" s="1">
        <v>45791</v>
      </c>
      <c r="E163">
        <v>53850</v>
      </c>
      <c r="F163">
        <v>199</v>
      </c>
      <c r="G163" t="s">
        <v>228</v>
      </c>
      <c r="H163" t="s">
        <v>48</v>
      </c>
      <c r="I163" t="s">
        <v>49</v>
      </c>
      <c r="K163">
        <v>202505137973901</v>
      </c>
      <c r="L163">
        <v>1993300003021</v>
      </c>
      <c r="M163">
        <v>20250513</v>
      </c>
      <c r="N163" t="s">
        <v>222</v>
      </c>
      <c r="P163" t="s">
        <v>303</v>
      </c>
      <c r="Q163" t="s">
        <v>50</v>
      </c>
      <c r="R163">
        <v>5000</v>
      </c>
      <c r="S163">
        <v>0</v>
      </c>
      <c r="T163">
        <v>4946318</v>
      </c>
      <c r="U163">
        <v>2571200746</v>
      </c>
      <c r="V163" t="s">
        <v>441</v>
      </c>
      <c r="W163" t="s">
        <v>442</v>
      </c>
      <c r="X163" t="s">
        <v>116</v>
      </c>
      <c r="Y163" t="s">
        <v>303</v>
      </c>
      <c r="Z163">
        <v>639</v>
      </c>
      <c r="AH163">
        <v>0</v>
      </c>
      <c r="AI163">
        <v>202505</v>
      </c>
      <c r="AJ163" t="s">
        <v>68</v>
      </c>
      <c r="AK163">
        <v>0</v>
      </c>
      <c r="AL163">
        <v>1</v>
      </c>
      <c r="AO163">
        <v>0</v>
      </c>
      <c r="AP163">
        <v>999</v>
      </c>
      <c r="AQ163">
        <v>758</v>
      </c>
      <c r="AR163">
        <v>758999</v>
      </c>
      <c r="AT163">
        <v>1</v>
      </c>
      <c r="AU163" t="s">
        <v>71</v>
      </c>
      <c r="AV163">
        <v>1000</v>
      </c>
      <c r="AW163">
        <v>1186.4000000000001</v>
      </c>
      <c r="AX163">
        <v>1500</v>
      </c>
      <c r="AY163">
        <v>1680.386</v>
      </c>
      <c r="AZ163">
        <v>1992.48</v>
      </c>
      <c r="BA163">
        <v>2399.98</v>
      </c>
      <c r="BB163">
        <v>2739.2040000000002</v>
      </c>
      <c r="BC163">
        <v>3000</v>
      </c>
      <c r="BD163">
        <v>3500</v>
      </c>
      <c r="BE163">
        <v>4000</v>
      </c>
      <c r="BF163">
        <v>4800</v>
      </c>
      <c r="BG163">
        <v>5000</v>
      </c>
      <c r="BH163">
        <v>5024.4139999999998</v>
      </c>
      <c r="BI163">
        <v>5617.9639999999999</v>
      </c>
      <c r="BJ163">
        <v>9836.84</v>
      </c>
      <c r="BK163">
        <v>12377.16</v>
      </c>
      <c r="BL163">
        <v>16956.52800000002</v>
      </c>
      <c r="BM163">
        <v>20247.331999999999</v>
      </c>
      <c r="BN163">
        <v>29364.69400000001</v>
      </c>
      <c r="BO163">
        <v>45000</v>
      </c>
      <c r="BP163">
        <v>1149602.8999999999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 x14ac:dyDescent="0.35">
      <c r="A164">
        <v>347943</v>
      </c>
      <c r="B164" t="s">
        <v>289</v>
      </c>
      <c r="C164" t="s">
        <v>290</v>
      </c>
      <c r="D164" s="1">
        <v>45791</v>
      </c>
      <c r="E164">
        <v>53850</v>
      </c>
      <c r="F164">
        <v>226</v>
      </c>
      <c r="G164" t="s">
        <v>208</v>
      </c>
      <c r="H164" t="s">
        <v>48</v>
      </c>
      <c r="I164" t="s">
        <v>49</v>
      </c>
      <c r="K164" t="s">
        <v>518</v>
      </c>
      <c r="L164">
        <v>2263300011652</v>
      </c>
      <c r="M164">
        <v>20250512</v>
      </c>
      <c r="N164" t="s">
        <v>222</v>
      </c>
      <c r="P164" t="s">
        <v>291</v>
      </c>
      <c r="Q164" t="s">
        <v>50</v>
      </c>
      <c r="R164">
        <v>1000</v>
      </c>
      <c r="S164">
        <v>0</v>
      </c>
      <c r="T164">
        <v>4445772</v>
      </c>
      <c r="U164" t="s">
        <v>519</v>
      </c>
      <c r="V164" t="s">
        <v>520</v>
      </c>
      <c r="W164" t="s">
        <v>51</v>
      </c>
      <c r="Y164" t="s">
        <v>52</v>
      </c>
      <c r="Z164">
        <v>1395</v>
      </c>
      <c r="AH164">
        <v>0</v>
      </c>
      <c r="AI164">
        <v>202505</v>
      </c>
      <c r="AJ164" t="s">
        <v>203</v>
      </c>
      <c r="AK164">
        <v>1</v>
      </c>
      <c r="AL164">
        <v>1</v>
      </c>
      <c r="AO164">
        <v>0</v>
      </c>
      <c r="AP164">
        <v>999</v>
      </c>
      <c r="AQ164">
        <v>600</v>
      </c>
      <c r="AR164">
        <v>600999</v>
      </c>
      <c r="AS164" t="s">
        <v>53</v>
      </c>
      <c r="AU164" t="s">
        <v>53</v>
      </c>
      <c r="AV164">
        <v>1000</v>
      </c>
      <c r="AW164">
        <v>1186.4000000000001</v>
      </c>
      <c r="AX164">
        <v>1500</v>
      </c>
      <c r="AY164">
        <v>1680.386</v>
      </c>
      <c r="AZ164">
        <v>1992.48</v>
      </c>
      <c r="BA164">
        <v>2399.98</v>
      </c>
      <c r="BB164">
        <v>2739.2040000000002</v>
      </c>
      <c r="BC164">
        <v>3000</v>
      </c>
      <c r="BD164">
        <v>3500</v>
      </c>
      <c r="BE164">
        <v>4000</v>
      </c>
      <c r="BF164">
        <v>4800</v>
      </c>
      <c r="BG164">
        <v>5000</v>
      </c>
      <c r="BH164">
        <v>5024.4139999999998</v>
      </c>
      <c r="BI164">
        <v>5617.9639999999999</v>
      </c>
      <c r="BJ164">
        <v>9836.84</v>
      </c>
      <c r="BK164">
        <v>12377.16</v>
      </c>
      <c r="BL164">
        <v>16956.52800000002</v>
      </c>
      <c r="BM164">
        <v>20247.331999999999</v>
      </c>
      <c r="BN164">
        <v>29364.69400000001</v>
      </c>
      <c r="BO164">
        <v>45000</v>
      </c>
      <c r="BP164">
        <v>1149602.8999999999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 x14ac:dyDescent="0.35">
      <c r="A165">
        <v>347942</v>
      </c>
      <c r="B165" t="s">
        <v>289</v>
      </c>
      <c r="C165" t="s">
        <v>290</v>
      </c>
      <c r="D165" s="1">
        <v>45791</v>
      </c>
      <c r="E165">
        <v>53850</v>
      </c>
      <c r="F165">
        <v>226</v>
      </c>
      <c r="G165" t="s">
        <v>208</v>
      </c>
      <c r="H165" t="s">
        <v>48</v>
      </c>
      <c r="I165" t="s">
        <v>49</v>
      </c>
      <c r="K165" t="s">
        <v>521</v>
      </c>
      <c r="L165">
        <v>2263300011719</v>
      </c>
      <c r="M165">
        <v>20250512</v>
      </c>
      <c r="N165" t="s">
        <v>222</v>
      </c>
      <c r="P165" t="s">
        <v>291</v>
      </c>
      <c r="Q165" t="s">
        <v>50</v>
      </c>
      <c r="R165">
        <v>1000</v>
      </c>
      <c r="S165">
        <v>0</v>
      </c>
      <c r="T165">
        <v>4445784</v>
      </c>
      <c r="U165" t="s">
        <v>522</v>
      </c>
      <c r="V165" t="s">
        <v>523</v>
      </c>
      <c r="W165" t="s">
        <v>51</v>
      </c>
      <c r="Y165" t="s">
        <v>52</v>
      </c>
      <c r="Z165">
        <v>1395</v>
      </c>
      <c r="AH165">
        <v>0</v>
      </c>
      <c r="AI165">
        <v>202505</v>
      </c>
      <c r="AJ165" t="s">
        <v>203</v>
      </c>
      <c r="AK165">
        <v>1</v>
      </c>
      <c r="AL165">
        <v>1</v>
      </c>
      <c r="AO165">
        <v>0</v>
      </c>
      <c r="AP165">
        <v>999</v>
      </c>
      <c r="AQ165">
        <v>600</v>
      </c>
      <c r="AR165">
        <v>600999</v>
      </c>
      <c r="AS165" t="s">
        <v>53</v>
      </c>
      <c r="AU165" t="s">
        <v>53</v>
      </c>
      <c r="AV165">
        <v>1000</v>
      </c>
      <c r="AW165">
        <v>1186.4000000000001</v>
      </c>
      <c r="AX165">
        <v>1500</v>
      </c>
      <c r="AY165">
        <v>1680.386</v>
      </c>
      <c r="AZ165">
        <v>1992.48</v>
      </c>
      <c r="BA165">
        <v>2399.98</v>
      </c>
      <c r="BB165">
        <v>2739.2040000000002</v>
      </c>
      <c r="BC165">
        <v>3000</v>
      </c>
      <c r="BD165">
        <v>3500</v>
      </c>
      <c r="BE165">
        <v>4000</v>
      </c>
      <c r="BF165">
        <v>4800</v>
      </c>
      <c r="BG165">
        <v>5000</v>
      </c>
      <c r="BH165">
        <v>5024.4139999999998</v>
      </c>
      <c r="BI165">
        <v>5617.9639999999999</v>
      </c>
      <c r="BJ165">
        <v>9836.84</v>
      </c>
      <c r="BK165">
        <v>12377.16</v>
      </c>
      <c r="BL165">
        <v>16956.52800000002</v>
      </c>
      <c r="BM165">
        <v>20247.331999999999</v>
      </c>
      <c r="BN165">
        <v>29364.69400000001</v>
      </c>
      <c r="BO165">
        <v>45000</v>
      </c>
      <c r="BP165">
        <v>1149602.8999999999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 x14ac:dyDescent="0.35">
      <c r="A166">
        <v>347933</v>
      </c>
      <c r="B166" t="s">
        <v>289</v>
      </c>
      <c r="C166" t="s">
        <v>290</v>
      </c>
      <c r="D166" s="1">
        <v>45790</v>
      </c>
      <c r="E166">
        <v>53850</v>
      </c>
      <c r="F166">
        <v>187</v>
      </c>
      <c r="G166" t="s">
        <v>75</v>
      </c>
      <c r="H166" t="s">
        <v>48</v>
      </c>
      <c r="I166" t="s">
        <v>49</v>
      </c>
      <c r="K166" t="s">
        <v>524</v>
      </c>
      <c r="L166">
        <v>1873300102696</v>
      </c>
      <c r="M166">
        <v>20250512</v>
      </c>
      <c r="N166" t="s">
        <v>222</v>
      </c>
      <c r="P166" t="s">
        <v>303</v>
      </c>
      <c r="Q166" t="s">
        <v>61</v>
      </c>
      <c r="R166">
        <v>4670.97</v>
      </c>
      <c r="S166">
        <v>0</v>
      </c>
      <c r="T166">
        <v>4000559</v>
      </c>
      <c r="U166">
        <v>2099160737</v>
      </c>
      <c r="V166" t="s">
        <v>117</v>
      </c>
      <c r="W166" t="s">
        <v>58</v>
      </c>
      <c r="X166" t="s">
        <v>86</v>
      </c>
      <c r="Y166" t="s">
        <v>52</v>
      </c>
      <c r="Z166">
        <v>1627</v>
      </c>
      <c r="AH166">
        <v>0</v>
      </c>
      <c r="AI166">
        <v>202505</v>
      </c>
      <c r="AJ166" t="s">
        <v>68</v>
      </c>
      <c r="AK166">
        <v>0</v>
      </c>
      <c r="AL166">
        <v>1</v>
      </c>
      <c r="AO166">
        <v>0</v>
      </c>
      <c r="AP166">
        <v>463</v>
      </c>
      <c r="AQ166">
        <v>430</v>
      </c>
      <c r="AR166">
        <v>430463</v>
      </c>
      <c r="AS166" t="s">
        <v>65</v>
      </c>
      <c r="AU166" t="s">
        <v>65</v>
      </c>
      <c r="AV166">
        <v>1000</v>
      </c>
      <c r="AW166">
        <v>1186.4000000000001</v>
      </c>
      <c r="AX166">
        <v>1500</v>
      </c>
      <c r="AY166">
        <v>1680.386</v>
      </c>
      <c r="AZ166">
        <v>1992.48</v>
      </c>
      <c r="BA166">
        <v>2399.98</v>
      </c>
      <c r="BB166">
        <v>2739.2040000000002</v>
      </c>
      <c r="BC166">
        <v>3000</v>
      </c>
      <c r="BD166">
        <v>3500</v>
      </c>
      <c r="BE166">
        <v>4000</v>
      </c>
      <c r="BF166">
        <v>4800</v>
      </c>
      <c r="BG166">
        <v>5000</v>
      </c>
      <c r="BH166">
        <v>5024.4139999999998</v>
      </c>
      <c r="BI166">
        <v>5617.9639999999999</v>
      </c>
      <c r="BJ166">
        <v>9836.84</v>
      </c>
      <c r="BK166">
        <v>12377.16</v>
      </c>
      <c r="BL166">
        <v>16956.52800000002</v>
      </c>
      <c r="BM166">
        <v>20247.331999999999</v>
      </c>
      <c r="BN166">
        <v>29364.69400000001</v>
      </c>
      <c r="BO166">
        <v>45000</v>
      </c>
      <c r="BP166">
        <v>1149602.8999999999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 x14ac:dyDescent="0.35">
      <c r="A167">
        <v>347925</v>
      </c>
      <c r="B167" t="s">
        <v>289</v>
      </c>
      <c r="C167" t="s">
        <v>290</v>
      </c>
      <c r="D167" s="1">
        <v>45790</v>
      </c>
      <c r="E167">
        <v>53850</v>
      </c>
      <c r="F167">
        <v>187</v>
      </c>
      <c r="G167" t="s">
        <v>75</v>
      </c>
      <c r="H167" t="s">
        <v>48</v>
      </c>
      <c r="I167" t="s">
        <v>49</v>
      </c>
      <c r="K167" t="s">
        <v>525</v>
      </c>
      <c r="L167">
        <v>1873300001435</v>
      </c>
      <c r="M167">
        <v>20250512</v>
      </c>
      <c r="N167" t="s">
        <v>222</v>
      </c>
      <c r="P167" t="s">
        <v>136</v>
      </c>
      <c r="Q167" t="s">
        <v>61</v>
      </c>
      <c r="R167">
        <v>1000</v>
      </c>
      <c r="S167">
        <v>0</v>
      </c>
      <c r="T167">
        <v>3120377</v>
      </c>
      <c r="U167" t="s">
        <v>526</v>
      </c>
      <c r="V167" t="s">
        <v>527</v>
      </c>
      <c r="W167" t="s">
        <v>51</v>
      </c>
      <c r="Y167" t="s">
        <v>52</v>
      </c>
      <c r="Z167">
        <v>479</v>
      </c>
      <c r="AH167">
        <v>0</v>
      </c>
      <c r="AI167">
        <v>202505</v>
      </c>
      <c r="AJ167" t="s">
        <v>203</v>
      </c>
      <c r="AK167">
        <v>1</v>
      </c>
      <c r="AL167">
        <v>1</v>
      </c>
      <c r="AO167">
        <v>0</v>
      </c>
      <c r="AP167">
        <v>999</v>
      </c>
      <c r="AQ167">
        <v>600</v>
      </c>
      <c r="AR167">
        <v>600999</v>
      </c>
      <c r="AS167" t="s">
        <v>53</v>
      </c>
      <c r="AU167" t="s">
        <v>53</v>
      </c>
      <c r="AV167">
        <v>1000</v>
      </c>
      <c r="AW167">
        <v>1186.4000000000001</v>
      </c>
      <c r="AX167">
        <v>1500</v>
      </c>
      <c r="AY167">
        <v>1680.386</v>
      </c>
      <c r="AZ167">
        <v>1992.48</v>
      </c>
      <c r="BA167">
        <v>2399.98</v>
      </c>
      <c r="BB167">
        <v>2739.2040000000002</v>
      </c>
      <c r="BC167">
        <v>3000</v>
      </c>
      <c r="BD167">
        <v>3500</v>
      </c>
      <c r="BE167">
        <v>4000</v>
      </c>
      <c r="BF167">
        <v>4800</v>
      </c>
      <c r="BG167">
        <v>5000</v>
      </c>
      <c r="BH167">
        <v>5024.4139999999998</v>
      </c>
      <c r="BI167">
        <v>5617.9639999999999</v>
      </c>
      <c r="BJ167">
        <v>9836.84</v>
      </c>
      <c r="BK167">
        <v>12377.16</v>
      </c>
      <c r="BL167">
        <v>16956.52800000002</v>
      </c>
      <c r="BM167">
        <v>20247.331999999999</v>
      </c>
      <c r="BN167">
        <v>29364.69400000001</v>
      </c>
      <c r="BO167">
        <v>45000</v>
      </c>
      <c r="BP167">
        <v>1149602.8999999999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 x14ac:dyDescent="0.35">
      <c r="A168">
        <v>347920</v>
      </c>
      <c r="B168" t="s">
        <v>289</v>
      </c>
      <c r="C168" t="s">
        <v>290</v>
      </c>
      <c r="D168" s="1">
        <v>45790</v>
      </c>
      <c r="E168">
        <v>53850</v>
      </c>
      <c r="F168">
        <v>149</v>
      </c>
      <c r="G168" t="s">
        <v>107</v>
      </c>
      <c r="H168" t="s">
        <v>48</v>
      </c>
      <c r="I168" t="s">
        <v>49</v>
      </c>
      <c r="K168">
        <v>202505127970731</v>
      </c>
      <c r="L168">
        <v>1493300663564</v>
      </c>
      <c r="M168">
        <v>20250512</v>
      </c>
      <c r="N168" t="s">
        <v>222</v>
      </c>
      <c r="P168" t="s">
        <v>303</v>
      </c>
      <c r="Q168" t="s">
        <v>61</v>
      </c>
      <c r="R168">
        <v>30246</v>
      </c>
      <c r="S168">
        <v>0</v>
      </c>
      <c r="T168">
        <v>4851736</v>
      </c>
      <c r="U168">
        <v>8243781211</v>
      </c>
      <c r="V168" t="s">
        <v>447</v>
      </c>
      <c r="W168" t="s">
        <v>58</v>
      </c>
      <c r="X168" t="s">
        <v>137</v>
      </c>
      <c r="Y168" t="s">
        <v>52</v>
      </c>
      <c r="Z168">
        <v>1256</v>
      </c>
      <c r="AH168">
        <v>0</v>
      </c>
      <c r="AI168">
        <v>202505</v>
      </c>
      <c r="AJ168" t="s">
        <v>68</v>
      </c>
      <c r="AK168">
        <v>0</v>
      </c>
      <c r="AL168">
        <v>1</v>
      </c>
      <c r="AO168">
        <v>0</v>
      </c>
      <c r="AP168">
        <v>999</v>
      </c>
      <c r="AQ168">
        <v>430</v>
      </c>
      <c r="AR168">
        <v>430999</v>
      </c>
      <c r="AT168">
        <v>1</v>
      </c>
      <c r="AU168" t="s">
        <v>59</v>
      </c>
      <c r="AV168">
        <v>1000</v>
      </c>
      <c r="AW168">
        <v>1186.4000000000001</v>
      </c>
      <c r="AX168">
        <v>1500</v>
      </c>
      <c r="AY168">
        <v>1680.386</v>
      </c>
      <c r="AZ168">
        <v>1992.48</v>
      </c>
      <c r="BA168">
        <v>2399.98</v>
      </c>
      <c r="BB168">
        <v>2739.2040000000002</v>
      </c>
      <c r="BC168">
        <v>3000</v>
      </c>
      <c r="BD168">
        <v>3500</v>
      </c>
      <c r="BE168">
        <v>4000</v>
      </c>
      <c r="BF168">
        <v>4800</v>
      </c>
      <c r="BG168">
        <v>5000</v>
      </c>
      <c r="BH168">
        <v>5024.4139999999998</v>
      </c>
      <c r="BI168">
        <v>5617.9639999999999</v>
      </c>
      <c r="BJ168">
        <v>9836.84</v>
      </c>
      <c r="BK168">
        <v>12377.16</v>
      </c>
      <c r="BL168">
        <v>16956.52800000002</v>
      </c>
      <c r="BM168">
        <v>20247.331999999999</v>
      </c>
      <c r="BN168">
        <v>29364.69400000001</v>
      </c>
      <c r="BO168">
        <v>45000</v>
      </c>
      <c r="BP168">
        <v>1149602.8999999999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0</v>
      </c>
      <c r="CK168">
        <v>0</v>
      </c>
    </row>
    <row r="169" spans="1:89" x14ac:dyDescent="0.35">
      <c r="A169">
        <v>347912</v>
      </c>
      <c r="B169" t="s">
        <v>289</v>
      </c>
      <c r="C169" t="s">
        <v>290</v>
      </c>
      <c r="D169" s="1">
        <v>45790</v>
      </c>
      <c r="E169">
        <v>53850</v>
      </c>
      <c r="F169">
        <v>111</v>
      </c>
      <c r="G169" t="s">
        <v>211</v>
      </c>
      <c r="H169" t="s">
        <v>48</v>
      </c>
      <c r="I169" t="s">
        <v>49</v>
      </c>
      <c r="K169" t="s">
        <v>528</v>
      </c>
      <c r="L169">
        <v>1113305626850</v>
      </c>
      <c r="M169">
        <v>20250512</v>
      </c>
      <c r="N169" t="s">
        <v>222</v>
      </c>
      <c r="P169" t="s">
        <v>291</v>
      </c>
      <c r="Q169" t="s">
        <v>50</v>
      </c>
      <c r="R169">
        <v>1820</v>
      </c>
      <c r="S169">
        <v>0</v>
      </c>
      <c r="T169">
        <v>562685</v>
      </c>
      <c r="U169" t="s">
        <v>317</v>
      </c>
      <c r="V169" t="s">
        <v>318</v>
      </c>
      <c r="W169" t="s">
        <v>51</v>
      </c>
      <c r="Y169" t="s">
        <v>52</v>
      </c>
      <c r="Z169">
        <v>593</v>
      </c>
      <c r="AH169">
        <v>0</v>
      </c>
      <c r="AI169">
        <v>202505</v>
      </c>
      <c r="AJ169" t="s">
        <v>205</v>
      </c>
      <c r="AK169">
        <v>1</v>
      </c>
      <c r="AL169">
        <v>1</v>
      </c>
      <c r="AO169">
        <v>0</v>
      </c>
      <c r="AP169">
        <v>999</v>
      </c>
      <c r="AQ169">
        <v>600</v>
      </c>
      <c r="AR169">
        <v>600999</v>
      </c>
      <c r="AS169" t="s">
        <v>53</v>
      </c>
      <c r="AU169" t="s">
        <v>53</v>
      </c>
      <c r="AV169">
        <v>1000</v>
      </c>
      <c r="AW169">
        <v>1186.4000000000001</v>
      </c>
      <c r="AX169">
        <v>1500</v>
      </c>
      <c r="AY169">
        <v>1680.386</v>
      </c>
      <c r="AZ169">
        <v>1992.48</v>
      </c>
      <c r="BA169">
        <v>2399.98</v>
      </c>
      <c r="BB169">
        <v>2739.2040000000002</v>
      </c>
      <c r="BC169">
        <v>3000</v>
      </c>
      <c r="BD169">
        <v>3500</v>
      </c>
      <c r="BE169">
        <v>4000</v>
      </c>
      <c r="BF169">
        <v>4800</v>
      </c>
      <c r="BG169">
        <v>5000</v>
      </c>
      <c r="BH169">
        <v>5024.4139999999998</v>
      </c>
      <c r="BI169">
        <v>5617.9639999999999</v>
      </c>
      <c r="BJ169">
        <v>9836.84</v>
      </c>
      <c r="BK169">
        <v>12377.16</v>
      </c>
      <c r="BL169">
        <v>16956.52800000002</v>
      </c>
      <c r="BM169">
        <v>20247.331999999999</v>
      </c>
      <c r="BN169">
        <v>29364.69400000001</v>
      </c>
      <c r="BO169">
        <v>45000</v>
      </c>
      <c r="BP169">
        <v>1149602.8999999999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 x14ac:dyDescent="0.35">
      <c r="A170">
        <v>347904</v>
      </c>
      <c r="B170" t="s">
        <v>289</v>
      </c>
      <c r="C170" t="s">
        <v>290</v>
      </c>
      <c r="D170" s="1">
        <v>45790</v>
      </c>
      <c r="E170">
        <v>53850</v>
      </c>
      <c r="F170">
        <v>187</v>
      </c>
      <c r="G170" t="s">
        <v>75</v>
      </c>
      <c r="H170" t="s">
        <v>48</v>
      </c>
      <c r="I170" t="s">
        <v>49</v>
      </c>
      <c r="K170" t="s">
        <v>525</v>
      </c>
      <c r="L170">
        <v>1873300001435</v>
      </c>
      <c r="M170">
        <v>20250512</v>
      </c>
      <c r="N170" t="s">
        <v>222</v>
      </c>
      <c r="P170" t="s">
        <v>136</v>
      </c>
      <c r="Q170" t="s">
        <v>61</v>
      </c>
      <c r="R170">
        <v>1000</v>
      </c>
      <c r="S170">
        <v>0</v>
      </c>
      <c r="T170">
        <v>3023756</v>
      </c>
      <c r="U170" t="s">
        <v>529</v>
      </c>
      <c r="V170" t="s">
        <v>530</v>
      </c>
      <c r="W170" t="s">
        <v>51</v>
      </c>
      <c r="Y170" t="s">
        <v>52</v>
      </c>
      <c r="Z170">
        <v>479</v>
      </c>
      <c r="AH170">
        <v>0</v>
      </c>
      <c r="AI170">
        <v>202505</v>
      </c>
      <c r="AJ170" t="s">
        <v>203</v>
      </c>
      <c r="AK170">
        <v>1</v>
      </c>
      <c r="AL170">
        <v>1</v>
      </c>
      <c r="AO170">
        <v>0</v>
      </c>
      <c r="AP170">
        <v>999</v>
      </c>
      <c r="AQ170">
        <v>600</v>
      </c>
      <c r="AR170">
        <v>600999</v>
      </c>
      <c r="AS170" t="s">
        <v>53</v>
      </c>
      <c r="AU170" t="s">
        <v>53</v>
      </c>
      <c r="AV170">
        <v>1000</v>
      </c>
      <c r="AW170">
        <v>1186.4000000000001</v>
      </c>
      <c r="AX170">
        <v>1500</v>
      </c>
      <c r="AY170">
        <v>1680.386</v>
      </c>
      <c r="AZ170">
        <v>1992.48</v>
      </c>
      <c r="BA170">
        <v>2399.98</v>
      </c>
      <c r="BB170">
        <v>2739.2040000000002</v>
      </c>
      <c r="BC170">
        <v>3000</v>
      </c>
      <c r="BD170">
        <v>3500</v>
      </c>
      <c r="BE170">
        <v>4000</v>
      </c>
      <c r="BF170">
        <v>4800</v>
      </c>
      <c r="BG170">
        <v>5000</v>
      </c>
      <c r="BH170">
        <v>5024.4139999999998</v>
      </c>
      <c r="BI170">
        <v>5617.9639999999999</v>
      </c>
      <c r="BJ170">
        <v>9836.84</v>
      </c>
      <c r="BK170">
        <v>12377.16</v>
      </c>
      <c r="BL170">
        <v>16956.52800000002</v>
      </c>
      <c r="BM170">
        <v>20247.331999999999</v>
      </c>
      <c r="BN170">
        <v>29364.69400000001</v>
      </c>
      <c r="BO170">
        <v>45000</v>
      </c>
      <c r="BP170">
        <v>1149602.8999999999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 x14ac:dyDescent="0.35">
      <c r="A171">
        <v>347900</v>
      </c>
      <c r="B171" t="s">
        <v>289</v>
      </c>
      <c r="C171" t="s">
        <v>290</v>
      </c>
      <c r="D171" s="1">
        <v>45790</v>
      </c>
      <c r="E171">
        <v>53850</v>
      </c>
      <c r="F171">
        <v>175</v>
      </c>
      <c r="G171" t="s">
        <v>72</v>
      </c>
      <c r="H171" t="s">
        <v>48</v>
      </c>
      <c r="I171" t="s">
        <v>49</v>
      </c>
      <c r="K171" t="s">
        <v>531</v>
      </c>
      <c r="L171">
        <v>1753302201268</v>
      </c>
      <c r="M171">
        <v>20250509</v>
      </c>
      <c r="N171" t="s">
        <v>222</v>
      </c>
      <c r="P171" t="s">
        <v>303</v>
      </c>
      <c r="Q171" t="s">
        <v>50</v>
      </c>
      <c r="R171">
        <v>3807.4</v>
      </c>
      <c r="S171">
        <v>0</v>
      </c>
      <c r="T171">
        <v>4162195</v>
      </c>
      <c r="U171" t="s">
        <v>532</v>
      </c>
      <c r="V171" t="s">
        <v>533</v>
      </c>
      <c r="W171" t="s">
        <v>73</v>
      </c>
      <c r="X171" t="s">
        <v>491</v>
      </c>
      <c r="Y171" t="s">
        <v>52</v>
      </c>
      <c r="Z171">
        <v>1110</v>
      </c>
      <c r="AH171">
        <v>0</v>
      </c>
      <c r="AI171">
        <v>202505</v>
      </c>
      <c r="AJ171" t="s">
        <v>203</v>
      </c>
      <c r="AK171">
        <v>1</v>
      </c>
      <c r="AL171">
        <v>1</v>
      </c>
      <c r="AO171">
        <v>0</v>
      </c>
      <c r="AP171">
        <v>999</v>
      </c>
      <c r="AQ171">
        <v>615</v>
      </c>
      <c r="AR171">
        <v>615999</v>
      </c>
      <c r="AT171">
        <v>1</v>
      </c>
      <c r="AU171" t="s">
        <v>65</v>
      </c>
      <c r="AV171">
        <v>1000</v>
      </c>
      <c r="AW171">
        <v>1186.4000000000001</v>
      </c>
      <c r="AX171">
        <v>1500</v>
      </c>
      <c r="AY171">
        <v>1680.386</v>
      </c>
      <c r="AZ171">
        <v>1992.48</v>
      </c>
      <c r="BA171">
        <v>2399.98</v>
      </c>
      <c r="BB171">
        <v>2739.2040000000002</v>
      </c>
      <c r="BC171">
        <v>3000</v>
      </c>
      <c r="BD171">
        <v>3500</v>
      </c>
      <c r="BE171">
        <v>4000</v>
      </c>
      <c r="BF171">
        <v>4800</v>
      </c>
      <c r="BG171">
        <v>5000</v>
      </c>
      <c r="BH171">
        <v>5024.4139999999998</v>
      </c>
      <c r="BI171">
        <v>5617.9639999999999</v>
      </c>
      <c r="BJ171">
        <v>9836.84</v>
      </c>
      <c r="BK171">
        <v>12377.16</v>
      </c>
      <c r="BL171">
        <v>16956.52800000002</v>
      </c>
      <c r="BM171">
        <v>20247.331999999999</v>
      </c>
      <c r="BN171">
        <v>29364.69400000001</v>
      </c>
      <c r="BO171">
        <v>45000</v>
      </c>
      <c r="BP171">
        <v>1149602.8999999999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 x14ac:dyDescent="0.35">
      <c r="A172">
        <v>338033</v>
      </c>
      <c r="B172" t="s">
        <v>289</v>
      </c>
      <c r="C172" t="s">
        <v>290</v>
      </c>
      <c r="D172" s="1">
        <v>45787</v>
      </c>
      <c r="E172">
        <v>53850</v>
      </c>
      <c r="F172">
        <v>132</v>
      </c>
      <c r="G172" t="s">
        <v>204</v>
      </c>
      <c r="H172" t="s">
        <v>48</v>
      </c>
      <c r="I172" t="s">
        <v>49</v>
      </c>
      <c r="K172">
        <v>202505097963723</v>
      </c>
      <c r="L172">
        <v>1323300003557</v>
      </c>
      <c r="M172">
        <v>20250509</v>
      </c>
      <c r="N172" t="s">
        <v>222</v>
      </c>
      <c r="P172" t="s">
        <v>136</v>
      </c>
      <c r="Q172" t="s">
        <v>61</v>
      </c>
      <c r="R172">
        <v>30500</v>
      </c>
      <c r="S172">
        <v>0</v>
      </c>
      <c r="T172">
        <v>4995426</v>
      </c>
      <c r="U172">
        <v>1316960770</v>
      </c>
      <c r="V172" t="s">
        <v>700</v>
      </c>
      <c r="W172" t="s">
        <v>58</v>
      </c>
      <c r="X172" t="s">
        <v>98</v>
      </c>
      <c r="Y172" t="s">
        <v>52</v>
      </c>
      <c r="Z172">
        <v>823</v>
      </c>
      <c r="AH172">
        <v>0</v>
      </c>
      <c r="AI172">
        <v>202505</v>
      </c>
      <c r="AJ172" t="s">
        <v>205</v>
      </c>
      <c r="AK172">
        <v>1</v>
      </c>
      <c r="AL172">
        <v>1</v>
      </c>
      <c r="AM172">
        <v>4995426</v>
      </c>
      <c r="AN172">
        <v>1</v>
      </c>
      <c r="AO172">
        <v>0</v>
      </c>
      <c r="AP172">
        <v>477</v>
      </c>
      <c r="AQ172">
        <v>430</v>
      </c>
      <c r="AR172">
        <v>430477</v>
      </c>
      <c r="AS172" t="s">
        <v>65</v>
      </c>
      <c r="AU172" t="s">
        <v>65</v>
      </c>
      <c r="AV172">
        <v>1000</v>
      </c>
      <c r="AW172">
        <v>1186.4000000000001</v>
      </c>
      <c r="AX172">
        <v>1500</v>
      </c>
      <c r="AY172">
        <v>1680.386</v>
      </c>
      <c r="AZ172">
        <v>1992.48</v>
      </c>
      <c r="BA172">
        <v>2399.98</v>
      </c>
      <c r="BB172">
        <v>2739.2040000000002</v>
      </c>
      <c r="BC172">
        <v>3000</v>
      </c>
      <c r="BD172">
        <v>3500</v>
      </c>
      <c r="BE172">
        <v>4000</v>
      </c>
      <c r="BF172">
        <v>4800</v>
      </c>
      <c r="BG172">
        <v>5000</v>
      </c>
      <c r="BH172">
        <v>5024.4139999999998</v>
      </c>
      <c r="BI172">
        <v>5617.9639999999999</v>
      </c>
      <c r="BJ172">
        <v>9836.84</v>
      </c>
      <c r="BK172">
        <v>12377.16</v>
      </c>
      <c r="BL172">
        <v>16956.52800000002</v>
      </c>
      <c r="BM172">
        <v>20247.331999999999</v>
      </c>
      <c r="BN172">
        <v>29364.69400000001</v>
      </c>
      <c r="BO172">
        <v>45000</v>
      </c>
      <c r="BP172">
        <v>1149602.8999999999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0</v>
      </c>
      <c r="CK172">
        <v>0</v>
      </c>
    </row>
    <row r="173" spans="1:89" x14ac:dyDescent="0.35">
      <c r="A173">
        <v>338017</v>
      </c>
      <c r="B173" t="s">
        <v>289</v>
      </c>
      <c r="C173" t="s">
        <v>290</v>
      </c>
      <c r="D173" s="1">
        <v>45787</v>
      </c>
      <c r="E173">
        <v>53850</v>
      </c>
      <c r="F173">
        <v>271</v>
      </c>
      <c r="G173" t="s">
        <v>109</v>
      </c>
      <c r="H173" t="s">
        <v>48</v>
      </c>
      <c r="I173" t="s">
        <v>49</v>
      </c>
      <c r="K173">
        <v>202505097963731</v>
      </c>
      <c r="L173">
        <v>2713300010112</v>
      </c>
      <c r="M173">
        <v>20250509</v>
      </c>
      <c r="N173" t="s">
        <v>222</v>
      </c>
      <c r="P173" t="s">
        <v>136</v>
      </c>
      <c r="Q173" t="s">
        <v>61</v>
      </c>
      <c r="R173">
        <v>5000</v>
      </c>
      <c r="S173">
        <v>0</v>
      </c>
      <c r="T173">
        <v>1611557</v>
      </c>
      <c r="U173" t="s">
        <v>401</v>
      </c>
      <c r="V173" t="s">
        <v>402</v>
      </c>
      <c r="W173" t="s">
        <v>73</v>
      </c>
      <c r="X173" t="s">
        <v>403</v>
      </c>
      <c r="Y173" t="s">
        <v>52</v>
      </c>
      <c r="Z173">
        <v>1850</v>
      </c>
      <c r="AH173">
        <v>0</v>
      </c>
      <c r="AI173">
        <v>202505</v>
      </c>
      <c r="AJ173" t="s">
        <v>55</v>
      </c>
      <c r="AK173">
        <v>0</v>
      </c>
      <c r="AL173">
        <v>1</v>
      </c>
      <c r="AO173">
        <v>0</v>
      </c>
      <c r="AP173">
        <v>999</v>
      </c>
      <c r="AQ173">
        <v>615</v>
      </c>
      <c r="AR173">
        <v>615999</v>
      </c>
      <c r="AT173">
        <v>1</v>
      </c>
      <c r="AU173" t="s">
        <v>65</v>
      </c>
      <c r="AV173">
        <v>1000</v>
      </c>
      <c r="AW173">
        <v>1186.4000000000001</v>
      </c>
      <c r="AX173">
        <v>1500</v>
      </c>
      <c r="AY173">
        <v>1680.386</v>
      </c>
      <c r="AZ173">
        <v>1992.48</v>
      </c>
      <c r="BA173">
        <v>2399.98</v>
      </c>
      <c r="BB173">
        <v>2739.2040000000002</v>
      </c>
      <c r="BC173">
        <v>3000</v>
      </c>
      <c r="BD173">
        <v>3500</v>
      </c>
      <c r="BE173">
        <v>4000</v>
      </c>
      <c r="BF173">
        <v>4800</v>
      </c>
      <c r="BG173">
        <v>5000</v>
      </c>
      <c r="BH173">
        <v>5024.4139999999998</v>
      </c>
      <c r="BI173">
        <v>5617.9639999999999</v>
      </c>
      <c r="BJ173">
        <v>9836.84</v>
      </c>
      <c r="BK173">
        <v>12377.16</v>
      </c>
      <c r="BL173">
        <v>16956.52800000002</v>
      </c>
      <c r="BM173">
        <v>20247.331999999999</v>
      </c>
      <c r="BN173">
        <v>29364.69400000001</v>
      </c>
      <c r="BO173">
        <v>45000</v>
      </c>
      <c r="BP173">
        <v>1149602.8999999999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 x14ac:dyDescent="0.35">
      <c r="A174">
        <v>338013</v>
      </c>
      <c r="B174" t="s">
        <v>289</v>
      </c>
      <c r="C174" t="s">
        <v>290</v>
      </c>
      <c r="D174" s="1">
        <v>45787</v>
      </c>
      <c r="E174">
        <v>53850</v>
      </c>
      <c r="F174">
        <v>116</v>
      </c>
      <c r="G174" t="s">
        <v>209</v>
      </c>
      <c r="H174" t="s">
        <v>48</v>
      </c>
      <c r="I174" t="s">
        <v>49</v>
      </c>
      <c r="K174">
        <v>202505097963718</v>
      </c>
      <c r="L174">
        <v>1163307620851</v>
      </c>
      <c r="M174">
        <v>20250509</v>
      </c>
      <c r="N174" t="s">
        <v>222</v>
      </c>
      <c r="P174" t="s">
        <v>136</v>
      </c>
      <c r="Q174" t="s">
        <v>61</v>
      </c>
      <c r="R174">
        <v>13169</v>
      </c>
      <c r="S174">
        <v>0</v>
      </c>
      <c r="T174">
        <v>4984414</v>
      </c>
      <c r="U174" t="s">
        <v>534</v>
      </c>
      <c r="V174" t="s">
        <v>535</v>
      </c>
      <c r="W174" t="s">
        <v>51</v>
      </c>
      <c r="Y174" t="s">
        <v>52</v>
      </c>
      <c r="Z174">
        <v>535</v>
      </c>
      <c r="AH174">
        <v>0</v>
      </c>
      <c r="AI174">
        <v>202505</v>
      </c>
      <c r="AJ174" t="s">
        <v>203</v>
      </c>
      <c r="AK174">
        <v>1</v>
      </c>
      <c r="AL174">
        <v>1</v>
      </c>
      <c r="AO174">
        <v>0</v>
      </c>
      <c r="AP174">
        <v>999</v>
      </c>
      <c r="AQ174">
        <v>600</v>
      </c>
      <c r="AR174">
        <v>600999</v>
      </c>
      <c r="AS174" t="s">
        <v>53</v>
      </c>
      <c r="AU174" t="s">
        <v>53</v>
      </c>
      <c r="AV174">
        <v>1000</v>
      </c>
      <c r="AW174">
        <v>1186.4000000000001</v>
      </c>
      <c r="AX174">
        <v>1500</v>
      </c>
      <c r="AY174">
        <v>1680.386</v>
      </c>
      <c r="AZ174">
        <v>1992.48</v>
      </c>
      <c r="BA174">
        <v>2399.98</v>
      </c>
      <c r="BB174">
        <v>2739.2040000000002</v>
      </c>
      <c r="BC174">
        <v>3000</v>
      </c>
      <c r="BD174">
        <v>3500</v>
      </c>
      <c r="BE174">
        <v>4000</v>
      </c>
      <c r="BF174">
        <v>4800</v>
      </c>
      <c r="BG174">
        <v>5000</v>
      </c>
      <c r="BH174">
        <v>5024.4139999999998</v>
      </c>
      <c r="BI174">
        <v>5617.9639999999999</v>
      </c>
      <c r="BJ174">
        <v>9836.84</v>
      </c>
      <c r="BK174">
        <v>12377.16</v>
      </c>
      <c r="BL174">
        <v>16956.52800000002</v>
      </c>
      <c r="BM174">
        <v>20247.331999999999</v>
      </c>
      <c r="BN174">
        <v>29364.69400000001</v>
      </c>
      <c r="BO174">
        <v>45000</v>
      </c>
      <c r="BP174">
        <v>1149602.8999999999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 x14ac:dyDescent="0.35">
      <c r="A175">
        <v>337999</v>
      </c>
      <c r="B175" t="s">
        <v>289</v>
      </c>
      <c r="C175" t="s">
        <v>290</v>
      </c>
      <c r="D175" s="1">
        <v>45787</v>
      </c>
      <c r="E175">
        <v>53850</v>
      </c>
      <c r="F175">
        <v>226</v>
      </c>
      <c r="G175" t="s">
        <v>208</v>
      </c>
      <c r="H175" t="s">
        <v>48</v>
      </c>
      <c r="I175" t="s">
        <v>49</v>
      </c>
      <c r="K175">
        <v>202505097963676</v>
      </c>
      <c r="L175">
        <v>1163307619285</v>
      </c>
      <c r="M175">
        <v>20250509</v>
      </c>
      <c r="N175" t="s">
        <v>222</v>
      </c>
      <c r="P175" t="s">
        <v>303</v>
      </c>
      <c r="Q175" t="s">
        <v>61</v>
      </c>
      <c r="R175">
        <v>6500</v>
      </c>
      <c r="S175">
        <v>0</v>
      </c>
      <c r="T175">
        <v>4709685</v>
      </c>
      <c r="U175">
        <v>6911480728</v>
      </c>
      <c r="V175" t="s">
        <v>489</v>
      </c>
      <c r="W175" t="s">
        <v>341</v>
      </c>
      <c r="X175" t="s">
        <v>232</v>
      </c>
      <c r="Y175" t="s">
        <v>52</v>
      </c>
      <c r="Z175">
        <v>1932</v>
      </c>
      <c r="AH175">
        <v>0</v>
      </c>
      <c r="AI175">
        <v>202505</v>
      </c>
      <c r="AJ175" t="s">
        <v>215</v>
      </c>
      <c r="AK175">
        <v>1</v>
      </c>
      <c r="AL175">
        <v>1</v>
      </c>
      <c r="AO175">
        <v>0</v>
      </c>
      <c r="AP175">
        <v>999</v>
      </c>
      <c r="AQ175">
        <v>482</v>
      </c>
      <c r="AR175">
        <v>482999</v>
      </c>
      <c r="AT175">
        <v>1</v>
      </c>
      <c r="AU175" t="s">
        <v>71</v>
      </c>
      <c r="AV175">
        <v>1000</v>
      </c>
      <c r="AW175">
        <v>1186.4000000000001</v>
      </c>
      <c r="AX175">
        <v>1500</v>
      </c>
      <c r="AY175">
        <v>1680.386</v>
      </c>
      <c r="AZ175">
        <v>1992.48</v>
      </c>
      <c r="BA175">
        <v>2399.98</v>
      </c>
      <c r="BB175">
        <v>2739.2040000000002</v>
      </c>
      <c r="BC175">
        <v>3000</v>
      </c>
      <c r="BD175">
        <v>3500</v>
      </c>
      <c r="BE175">
        <v>4000</v>
      </c>
      <c r="BF175">
        <v>4800</v>
      </c>
      <c r="BG175">
        <v>5000</v>
      </c>
      <c r="BH175">
        <v>5024.4139999999998</v>
      </c>
      <c r="BI175">
        <v>5617.9639999999999</v>
      </c>
      <c r="BJ175">
        <v>9836.84</v>
      </c>
      <c r="BK175">
        <v>12377.16</v>
      </c>
      <c r="BL175">
        <v>16956.52800000002</v>
      </c>
      <c r="BM175">
        <v>20247.331999999999</v>
      </c>
      <c r="BN175">
        <v>29364.69400000001</v>
      </c>
      <c r="BO175">
        <v>45000</v>
      </c>
      <c r="BP175">
        <v>1149602.8999999999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 x14ac:dyDescent="0.35">
      <c r="A176">
        <v>337980</v>
      </c>
      <c r="B176" t="s">
        <v>289</v>
      </c>
      <c r="C176" t="s">
        <v>290</v>
      </c>
      <c r="D176" s="1">
        <v>45787</v>
      </c>
      <c r="E176">
        <v>53850</v>
      </c>
      <c r="F176">
        <v>277</v>
      </c>
      <c r="G176" t="s">
        <v>76</v>
      </c>
      <c r="H176" t="s">
        <v>48</v>
      </c>
      <c r="I176" t="s">
        <v>49</v>
      </c>
      <c r="K176" t="s">
        <v>536</v>
      </c>
      <c r="L176">
        <v>2773300001188</v>
      </c>
      <c r="M176">
        <v>20250508</v>
      </c>
      <c r="N176" t="s">
        <v>222</v>
      </c>
      <c r="P176" t="s">
        <v>291</v>
      </c>
      <c r="Q176" t="s">
        <v>50</v>
      </c>
      <c r="R176">
        <v>3000</v>
      </c>
      <c r="S176">
        <v>0</v>
      </c>
      <c r="T176">
        <v>1679538</v>
      </c>
      <c r="U176" t="s">
        <v>537</v>
      </c>
      <c r="V176" t="s">
        <v>538</v>
      </c>
      <c r="W176" t="s">
        <v>51</v>
      </c>
      <c r="Y176" t="s">
        <v>52</v>
      </c>
      <c r="Z176">
        <v>1791</v>
      </c>
      <c r="AH176">
        <v>0</v>
      </c>
      <c r="AI176">
        <v>202505</v>
      </c>
      <c r="AJ176" t="s">
        <v>55</v>
      </c>
      <c r="AK176">
        <v>0</v>
      </c>
      <c r="AL176">
        <v>1</v>
      </c>
      <c r="AO176">
        <v>0</v>
      </c>
      <c r="AP176">
        <v>999</v>
      </c>
      <c r="AQ176">
        <v>600</v>
      </c>
      <c r="AR176">
        <v>600999</v>
      </c>
      <c r="AS176" t="s">
        <v>53</v>
      </c>
      <c r="AU176" t="s">
        <v>53</v>
      </c>
      <c r="AV176">
        <v>1000</v>
      </c>
      <c r="AW176">
        <v>1186.4000000000001</v>
      </c>
      <c r="AX176">
        <v>1500</v>
      </c>
      <c r="AY176">
        <v>1680.386</v>
      </c>
      <c r="AZ176">
        <v>1992.48</v>
      </c>
      <c r="BA176">
        <v>2399.98</v>
      </c>
      <c r="BB176">
        <v>2739.2040000000002</v>
      </c>
      <c r="BC176">
        <v>3000</v>
      </c>
      <c r="BD176">
        <v>3500</v>
      </c>
      <c r="BE176">
        <v>4000</v>
      </c>
      <c r="BF176">
        <v>4800</v>
      </c>
      <c r="BG176">
        <v>5000</v>
      </c>
      <c r="BH176">
        <v>5024.4139999999998</v>
      </c>
      <c r="BI176">
        <v>5617.9639999999999</v>
      </c>
      <c r="BJ176">
        <v>9836.84</v>
      </c>
      <c r="BK176">
        <v>12377.16</v>
      </c>
      <c r="BL176">
        <v>16956.52800000002</v>
      </c>
      <c r="BM176">
        <v>20247.331999999999</v>
      </c>
      <c r="BN176">
        <v>29364.69400000001</v>
      </c>
      <c r="BO176">
        <v>45000</v>
      </c>
      <c r="BP176">
        <v>1149602.8999999999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 x14ac:dyDescent="0.35">
      <c r="A177">
        <v>337962</v>
      </c>
      <c r="B177" t="s">
        <v>289</v>
      </c>
      <c r="C177" t="s">
        <v>290</v>
      </c>
      <c r="D177" s="1">
        <v>45786</v>
      </c>
      <c r="E177">
        <v>53850</v>
      </c>
      <c r="F177">
        <v>118</v>
      </c>
      <c r="G177" t="s">
        <v>130</v>
      </c>
      <c r="H177" t="s">
        <v>48</v>
      </c>
      <c r="I177" t="s">
        <v>49</v>
      </c>
      <c r="K177" t="s">
        <v>539</v>
      </c>
      <c r="L177">
        <v>1183306279722</v>
      </c>
      <c r="M177">
        <v>20250508</v>
      </c>
      <c r="N177" t="s">
        <v>222</v>
      </c>
      <c r="P177" t="s">
        <v>303</v>
      </c>
      <c r="Q177" t="s">
        <v>50</v>
      </c>
      <c r="R177">
        <v>1515</v>
      </c>
      <c r="S177">
        <v>0</v>
      </c>
      <c r="T177">
        <v>4925538</v>
      </c>
      <c r="U177" t="s">
        <v>540</v>
      </c>
      <c r="V177" t="s">
        <v>541</v>
      </c>
      <c r="W177" t="s">
        <v>51</v>
      </c>
      <c r="Y177" t="s">
        <v>52</v>
      </c>
      <c r="AH177">
        <v>0</v>
      </c>
      <c r="AI177">
        <v>202505</v>
      </c>
      <c r="AJ177" t="s">
        <v>203</v>
      </c>
      <c r="AK177">
        <v>1</v>
      </c>
      <c r="AL177">
        <v>1</v>
      </c>
      <c r="AO177">
        <v>0</v>
      </c>
      <c r="AP177">
        <v>999</v>
      </c>
      <c r="AQ177">
        <v>600</v>
      </c>
      <c r="AR177">
        <v>600999</v>
      </c>
      <c r="AS177" t="s">
        <v>53</v>
      </c>
      <c r="AU177" t="s">
        <v>53</v>
      </c>
      <c r="AV177">
        <v>1000</v>
      </c>
      <c r="AW177">
        <v>1186.4000000000001</v>
      </c>
      <c r="AX177">
        <v>1500</v>
      </c>
      <c r="AY177">
        <v>1680.386</v>
      </c>
      <c r="AZ177">
        <v>1992.48</v>
      </c>
      <c r="BA177">
        <v>2399.98</v>
      </c>
      <c r="BB177">
        <v>2739.2040000000002</v>
      </c>
      <c r="BC177">
        <v>3000</v>
      </c>
      <c r="BD177">
        <v>3500</v>
      </c>
      <c r="BE177">
        <v>4000</v>
      </c>
      <c r="BF177">
        <v>4800</v>
      </c>
      <c r="BG177">
        <v>5000</v>
      </c>
      <c r="BH177">
        <v>5024.4139999999998</v>
      </c>
      <c r="BI177">
        <v>5617.9639999999999</v>
      </c>
      <c r="BJ177">
        <v>9836.84</v>
      </c>
      <c r="BK177">
        <v>12377.16</v>
      </c>
      <c r="BL177">
        <v>16956.52800000002</v>
      </c>
      <c r="BM177">
        <v>20247.331999999999</v>
      </c>
      <c r="BN177">
        <v>29364.69400000001</v>
      </c>
      <c r="BO177">
        <v>45000</v>
      </c>
      <c r="BP177">
        <v>1149602.8999999999</v>
      </c>
      <c r="BQ177">
        <v>1</v>
      </c>
      <c r="BR177">
        <v>1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 x14ac:dyDescent="0.35">
      <c r="A178">
        <v>337957</v>
      </c>
      <c r="B178" t="s">
        <v>289</v>
      </c>
      <c r="C178" t="s">
        <v>290</v>
      </c>
      <c r="D178" s="1">
        <v>45786</v>
      </c>
      <c r="E178">
        <v>53850</v>
      </c>
      <c r="F178">
        <v>267</v>
      </c>
      <c r="G178" t="s">
        <v>206</v>
      </c>
      <c r="H178" t="s">
        <v>48</v>
      </c>
      <c r="I178" t="s">
        <v>49</v>
      </c>
      <c r="K178" t="s">
        <v>542</v>
      </c>
      <c r="L178">
        <v>2673300001756</v>
      </c>
      <c r="M178">
        <v>20250508</v>
      </c>
      <c r="N178" t="s">
        <v>222</v>
      </c>
      <c r="P178" t="s">
        <v>136</v>
      </c>
      <c r="Q178" t="s">
        <v>61</v>
      </c>
      <c r="R178">
        <v>1775</v>
      </c>
      <c r="S178">
        <v>0</v>
      </c>
      <c r="T178">
        <v>1646323</v>
      </c>
      <c r="U178" t="s">
        <v>543</v>
      </c>
      <c r="V178" t="s">
        <v>544</v>
      </c>
      <c r="W178" t="s">
        <v>73</v>
      </c>
      <c r="X178" t="s">
        <v>293</v>
      </c>
      <c r="Y178" t="s">
        <v>52</v>
      </c>
      <c r="Z178">
        <v>1878</v>
      </c>
      <c r="AH178">
        <v>0</v>
      </c>
      <c r="AI178">
        <v>202505</v>
      </c>
      <c r="AJ178" t="s">
        <v>205</v>
      </c>
      <c r="AK178">
        <v>1</v>
      </c>
      <c r="AL178">
        <v>1</v>
      </c>
      <c r="AO178">
        <v>0</v>
      </c>
      <c r="AP178">
        <v>999</v>
      </c>
      <c r="AQ178">
        <v>615</v>
      </c>
      <c r="AR178">
        <v>615999</v>
      </c>
      <c r="AT178">
        <v>1</v>
      </c>
      <c r="AU178" t="s">
        <v>65</v>
      </c>
      <c r="AV178">
        <v>1000</v>
      </c>
      <c r="AW178">
        <v>1186.4000000000001</v>
      </c>
      <c r="AX178">
        <v>1500</v>
      </c>
      <c r="AY178">
        <v>1680.386</v>
      </c>
      <c r="AZ178">
        <v>1992.48</v>
      </c>
      <c r="BA178">
        <v>2399.98</v>
      </c>
      <c r="BB178">
        <v>2739.2040000000002</v>
      </c>
      <c r="BC178">
        <v>3000</v>
      </c>
      <c r="BD178">
        <v>3500</v>
      </c>
      <c r="BE178">
        <v>4000</v>
      </c>
      <c r="BF178">
        <v>4800</v>
      </c>
      <c r="BG178">
        <v>5000</v>
      </c>
      <c r="BH178">
        <v>5024.4139999999998</v>
      </c>
      <c r="BI178">
        <v>5617.9639999999999</v>
      </c>
      <c r="BJ178">
        <v>9836.84</v>
      </c>
      <c r="BK178">
        <v>12377.16</v>
      </c>
      <c r="BL178">
        <v>16956.52800000002</v>
      </c>
      <c r="BM178">
        <v>20247.331999999999</v>
      </c>
      <c r="BN178">
        <v>29364.69400000001</v>
      </c>
      <c r="BO178">
        <v>45000</v>
      </c>
      <c r="BP178">
        <v>1149602.8999999999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 x14ac:dyDescent="0.35">
      <c r="A179">
        <v>337953</v>
      </c>
      <c r="B179" t="s">
        <v>289</v>
      </c>
      <c r="C179" t="s">
        <v>290</v>
      </c>
      <c r="D179" s="1">
        <v>45786</v>
      </c>
      <c r="E179">
        <v>53850</v>
      </c>
      <c r="F179">
        <v>261</v>
      </c>
      <c r="G179" t="s">
        <v>96</v>
      </c>
      <c r="H179" t="s">
        <v>48</v>
      </c>
      <c r="I179" t="s">
        <v>49</v>
      </c>
      <c r="K179" t="s">
        <v>545</v>
      </c>
      <c r="L179">
        <v>2613300001265</v>
      </c>
      <c r="M179">
        <v>20250508</v>
      </c>
      <c r="N179" t="s">
        <v>222</v>
      </c>
      <c r="P179" t="s">
        <v>296</v>
      </c>
      <c r="Q179" t="s">
        <v>61</v>
      </c>
      <c r="R179">
        <v>1700</v>
      </c>
      <c r="S179">
        <v>0</v>
      </c>
      <c r="T179">
        <v>1625403</v>
      </c>
      <c r="U179" t="s">
        <v>392</v>
      </c>
      <c r="V179" t="s">
        <v>393</v>
      </c>
      <c r="W179" t="s">
        <v>51</v>
      </c>
      <c r="Y179" t="s">
        <v>52</v>
      </c>
      <c r="Z179">
        <v>1755</v>
      </c>
      <c r="AH179">
        <v>0</v>
      </c>
      <c r="AI179">
        <v>202505</v>
      </c>
      <c r="AJ179" t="s">
        <v>68</v>
      </c>
      <c r="AK179">
        <v>0</v>
      </c>
      <c r="AL179">
        <v>1</v>
      </c>
      <c r="AO179">
        <v>0</v>
      </c>
      <c r="AP179">
        <v>999</v>
      </c>
      <c r="AQ179">
        <v>600</v>
      </c>
      <c r="AR179">
        <v>600999</v>
      </c>
      <c r="AS179" t="s">
        <v>53</v>
      </c>
      <c r="AU179" t="s">
        <v>53</v>
      </c>
      <c r="AV179">
        <v>1000</v>
      </c>
      <c r="AW179">
        <v>1186.4000000000001</v>
      </c>
      <c r="AX179">
        <v>1500</v>
      </c>
      <c r="AY179">
        <v>1680.386</v>
      </c>
      <c r="AZ179">
        <v>1992.48</v>
      </c>
      <c r="BA179">
        <v>2399.98</v>
      </c>
      <c r="BB179">
        <v>2739.2040000000002</v>
      </c>
      <c r="BC179">
        <v>3000</v>
      </c>
      <c r="BD179">
        <v>3500</v>
      </c>
      <c r="BE179">
        <v>4000</v>
      </c>
      <c r="BF179">
        <v>4800</v>
      </c>
      <c r="BG179">
        <v>5000</v>
      </c>
      <c r="BH179">
        <v>5024.4139999999998</v>
      </c>
      <c r="BI179">
        <v>5617.9639999999999</v>
      </c>
      <c r="BJ179">
        <v>9836.84</v>
      </c>
      <c r="BK179">
        <v>12377.16</v>
      </c>
      <c r="BL179">
        <v>16956.52800000002</v>
      </c>
      <c r="BM179">
        <v>20247.331999999999</v>
      </c>
      <c r="BN179">
        <v>29364.69400000001</v>
      </c>
      <c r="BO179">
        <v>45000</v>
      </c>
      <c r="BP179">
        <v>1149602.8999999999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 x14ac:dyDescent="0.35">
      <c r="A180">
        <v>337947</v>
      </c>
      <c r="B180" t="s">
        <v>289</v>
      </c>
      <c r="C180" t="s">
        <v>290</v>
      </c>
      <c r="D180" s="1">
        <v>45786</v>
      </c>
      <c r="E180">
        <v>53850</v>
      </c>
      <c r="F180">
        <v>192</v>
      </c>
      <c r="G180" t="s">
        <v>87</v>
      </c>
      <c r="H180" t="s">
        <v>48</v>
      </c>
      <c r="I180" t="s">
        <v>49</v>
      </c>
      <c r="K180">
        <v>202505087960417</v>
      </c>
      <c r="L180">
        <v>1923300185011</v>
      </c>
      <c r="M180">
        <v>20250508</v>
      </c>
      <c r="N180" t="s">
        <v>222</v>
      </c>
      <c r="P180" t="s">
        <v>303</v>
      </c>
      <c r="Q180" t="s">
        <v>61</v>
      </c>
      <c r="R180">
        <v>5948</v>
      </c>
      <c r="S180">
        <v>0</v>
      </c>
      <c r="T180">
        <v>3710704</v>
      </c>
      <c r="U180" t="s">
        <v>438</v>
      </c>
      <c r="V180" t="s">
        <v>439</v>
      </c>
      <c r="W180" t="s">
        <v>73</v>
      </c>
      <c r="X180" t="s">
        <v>108</v>
      </c>
      <c r="Y180" t="s">
        <v>52</v>
      </c>
      <c r="Z180">
        <v>1907</v>
      </c>
      <c r="AH180">
        <v>0</v>
      </c>
      <c r="AI180">
        <v>202505</v>
      </c>
      <c r="AJ180" t="s">
        <v>203</v>
      </c>
      <c r="AK180">
        <v>1</v>
      </c>
      <c r="AL180">
        <v>1</v>
      </c>
      <c r="AO180">
        <v>0</v>
      </c>
      <c r="AP180">
        <v>999</v>
      </c>
      <c r="AQ180">
        <v>615</v>
      </c>
      <c r="AR180">
        <v>615999</v>
      </c>
      <c r="AT180">
        <v>1</v>
      </c>
      <c r="AU180" t="s">
        <v>65</v>
      </c>
      <c r="AV180">
        <v>1000</v>
      </c>
      <c r="AW180">
        <v>1186.4000000000001</v>
      </c>
      <c r="AX180">
        <v>1500</v>
      </c>
      <c r="AY180">
        <v>1680.386</v>
      </c>
      <c r="AZ180">
        <v>1992.48</v>
      </c>
      <c r="BA180">
        <v>2399.98</v>
      </c>
      <c r="BB180">
        <v>2739.2040000000002</v>
      </c>
      <c r="BC180">
        <v>3000</v>
      </c>
      <c r="BD180">
        <v>3500</v>
      </c>
      <c r="BE180">
        <v>4000</v>
      </c>
      <c r="BF180">
        <v>4800</v>
      </c>
      <c r="BG180">
        <v>5000</v>
      </c>
      <c r="BH180">
        <v>5024.4139999999998</v>
      </c>
      <c r="BI180">
        <v>5617.9639999999999</v>
      </c>
      <c r="BJ180">
        <v>9836.84</v>
      </c>
      <c r="BK180">
        <v>12377.16</v>
      </c>
      <c r="BL180">
        <v>16956.52800000002</v>
      </c>
      <c r="BM180">
        <v>20247.331999999999</v>
      </c>
      <c r="BN180">
        <v>29364.69400000001</v>
      </c>
      <c r="BO180">
        <v>45000</v>
      </c>
      <c r="BP180">
        <v>1149602.8999999999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 x14ac:dyDescent="0.35">
      <c r="A181">
        <v>337942</v>
      </c>
      <c r="B181" t="s">
        <v>289</v>
      </c>
      <c r="C181" t="s">
        <v>290</v>
      </c>
      <c r="D181" s="1">
        <v>45786</v>
      </c>
      <c r="E181">
        <v>53850</v>
      </c>
      <c r="F181">
        <v>118</v>
      </c>
      <c r="G181" t="s">
        <v>130</v>
      </c>
      <c r="H181" t="s">
        <v>48</v>
      </c>
      <c r="I181" t="s">
        <v>49</v>
      </c>
      <c r="K181" t="s">
        <v>539</v>
      </c>
      <c r="L181">
        <v>1183306279722</v>
      </c>
      <c r="M181">
        <v>20250508</v>
      </c>
      <c r="N181" t="s">
        <v>222</v>
      </c>
      <c r="P181" t="s">
        <v>303</v>
      </c>
      <c r="Q181" t="s">
        <v>50</v>
      </c>
      <c r="R181">
        <v>1515</v>
      </c>
      <c r="S181">
        <v>0</v>
      </c>
      <c r="T181">
        <v>4925537</v>
      </c>
      <c r="U181" t="s">
        <v>546</v>
      </c>
      <c r="V181" t="s">
        <v>547</v>
      </c>
      <c r="W181" t="s">
        <v>51</v>
      </c>
      <c r="Y181" t="s">
        <v>52</v>
      </c>
      <c r="Z181">
        <v>632</v>
      </c>
      <c r="AH181">
        <v>0</v>
      </c>
      <c r="AI181">
        <v>202505</v>
      </c>
      <c r="AJ181" t="s">
        <v>203</v>
      </c>
      <c r="AK181">
        <v>1</v>
      </c>
      <c r="AL181">
        <v>1</v>
      </c>
      <c r="AO181">
        <v>0</v>
      </c>
      <c r="AP181">
        <v>999</v>
      </c>
      <c r="AQ181">
        <v>600</v>
      </c>
      <c r="AR181">
        <v>600999</v>
      </c>
      <c r="AS181" t="s">
        <v>53</v>
      </c>
      <c r="AU181" t="s">
        <v>53</v>
      </c>
      <c r="AV181">
        <v>1000</v>
      </c>
      <c r="AW181">
        <v>1186.4000000000001</v>
      </c>
      <c r="AX181">
        <v>1500</v>
      </c>
      <c r="AY181">
        <v>1680.386</v>
      </c>
      <c r="AZ181">
        <v>1992.48</v>
      </c>
      <c r="BA181">
        <v>2399.98</v>
      </c>
      <c r="BB181">
        <v>2739.2040000000002</v>
      </c>
      <c r="BC181">
        <v>3000</v>
      </c>
      <c r="BD181">
        <v>3500</v>
      </c>
      <c r="BE181">
        <v>4000</v>
      </c>
      <c r="BF181">
        <v>4800</v>
      </c>
      <c r="BG181">
        <v>5000</v>
      </c>
      <c r="BH181">
        <v>5024.4139999999998</v>
      </c>
      <c r="BI181">
        <v>5617.9639999999999</v>
      </c>
      <c r="BJ181">
        <v>9836.84</v>
      </c>
      <c r="BK181">
        <v>12377.16</v>
      </c>
      <c r="BL181">
        <v>16956.52800000002</v>
      </c>
      <c r="BM181">
        <v>20247.331999999999</v>
      </c>
      <c r="BN181">
        <v>29364.69400000001</v>
      </c>
      <c r="BO181">
        <v>45000</v>
      </c>
      <c r="BP181">
        <v>1149602.8999999999</v>
      </c>
      <c r="BQ181">
        <v>1</v>
      </c>
      <c r="BR181">
        <v>1</v>
      </c>
      <c r="BS181">
        <v>1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 x14ac:dyDescent="0.35">
      <c r="A182">
        <v>337941</v>
      </c>
      <c r="B182" t="s">
        <v>289</v>
      </c>
      <c r="C182" t="s">
        <v>290</v>
      </c>
      <c r="D182" s="1">
        <v>45786</v>
      </c>
      <c r="E182">
        <v>53850</v>
      </c>
      <c r="F182">
        <v>171</v>
      </c>
      <c r="G182" t="s">
        <v>84</v>
      </c>
      <c r="H182" t="s">
        <v>48</v>
      </c>
      <c r="I182" t="s">
        <v>49</v>
      </c>
      <c r="K182">
        <v>202505087960444</v>
      </c>
      <c r="L182">
        <v>1713302217392</v>
      </c>
      <c r="M182">
        <v>20250508</v>
      </c>
      <c r="N182" t="s">
        <v>222</v>
      </c>
      <c r="P182" t="s">
        <v>303</v>
      </c>
      <c r="Q182" t="s">
        <v>61</v>
      </c>
      <c r="R182">
        <v>7000</v>
      </c>
      <c r="S182">
        <v>0</v>
      </c>
      <c r="T182">
        <v>4926340</v>
      </c>
      <c r="U182" t="s">
        <v>548</v>
      </c>
      <c r="V182" t="s">
        <v>549</v>
      </c>
      <c r="W182" t="s">
        <v>73</v>
      </c>
      <c r="X182" t="s">
        <v>82</v>
      </c>
      <c r="Y182" t="s">
        <v>52</v>
      </c>
      <c r="Z182">
        <v>732</v>
      </c>
      <c r="AH182">
        <v>0</v>
      </c>
      <c r="AI182">
        <v>202505</v>
      </c>
      <c r="AJ182" t="s">
        <v>203</v>
      </c>
      <c r="AK182">
        <v>1</v>
      </c>
      <c r="AL182">
        <v>1</v>
      </c>
      <c r="AO182">
        <v>0</v>
      </c>
      <c r="AP182">
        <v>999</v>
      </c>
      <c r="AQ182">
        <v>615</v>
      </c>
      <c r="AR182">
        <v>615999</v>
      </c>
      <c r="AT182">
        <v>1</v>
      </c>
      <c r="AU182" t="s">
        <v>65</v>
      </c>
      <c r="AV182">
        <v>1000</v>
      </c>
      <c r="AW182">
        <v>1186.4000000000001</v>
      </c>
      <c r="AX182">
        <v>1500</v>
      </c>
      <c r="AY182">
        <v>1680.386</v>
      </c>
      <c r="AZ182">
        <v>1992.48</v>
      </c>
      <c r="BA182">
        <v>2399.98</v>
      </c>
      <c r="BB182">
        <v>2739.2040000000002</v>
      </c>
      <c r="BC182">
        <v>3000</v>
      </c>
      <c r="BD182">
        <v>3500</v>
      </c>
      <c r="BE182">
        <v>4000</v>
      </c>
      <c r="BF182">
        <v>4800</v>
      </c>
      <c r="BG182">
        <v>5000</v>
      </c>
      <c r="BH182">
        <v>5024.4139999999998</v>
      </c>
      <c r="BI182">
        <v>5617.9639999999999</v>
      </c>
      <c r="BJ182">
        <v>9836.84</v>
      </c>
      <c r="BK182">
        <v>12377.16</v>
      </c>
      <c r="BL182">
        <v>16956.52800000002</v>
      </c>
      <c r="BM182">
        <v>20247.331999999999</v>
      </c>
      <c r="BN182">
        <v>29364.69400000001</v>
      </c>
      <c r="BO182">
        <v>45000</v>
      </c>
      <c r="BP182">
        <v>1149602.8999999999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 x14ac:dyDescent="0.35">
      <c r="A183">
        <v>337917</v>
      </c>
      <c r="B183" t="s">
        <v>289</v>
      </c>
      <c r="C183" t="s">
        <v>290</v>
      </c>
      <c r="D183" s="1">
        <v>45786</v>
      </c>
      <c r="E183">
        <v>53850</v>
      </c>
      <c r="F183">
        <v>187</v>
      </c>
      <c r="G183" t="s">
        <v>75</v>
      </c>
      <c r="H183" t="s">
        <v>48</v>
      </c>
      <c r="I183" t="s">
        <v>49</v>
      </c>
      <c r="K183" t="s">
        <v>550</v>
      </c>
      <c r="L183">
        <v>1873300102696</v>
      </c>
      <c r="M183">
        <v>20250508</v>
      </c>
      <c r="N183" t="s">
        <v>222</v>
      </c>
      <c r="P183" t="s">
        <v>303</v>
      </c>
      <c r="Q183" t="s">
        <v>61</v>
      </c>
      <c r="R183">
        <v>4682.99</v>
      </c>
      <c r="S183">
        <v>0</v>
      </c>
      <c r="T183">
        <v>4000559</v>
      </c>
      <c r="U183">
        <v>2099160737</v>
      </c>
      <c r="V183" t="s">
        <v>117</v>
      </c>
      <c r="W183" t="s">
        <v>58</v>
      </c>
      <c r="X183" t="s">
        <v>86</v>
      </c>
      <c r="Y183" t="s">
        <v>52</v>
      </c>
      <c r="Z183">
        <v>1627</v>
      </c>
      <c r="AH183">
        <v>0</v>
      </c>
      <c r="AI183">
        <v>202505</v>
      </c>
      <c r="AJ183" t="s">
        <v>68</v>
      </c>
      <c r="AK183">
        <v>0</v>
      </c>
      <c r="AL183">
        <v>1</v>
      </c>
      <c r="AO183">
        <v>0</v>
      </c>
      <c r="AP183">
        <v>463</v>
      </c>
      <c r="AQ183">
        <v>430</v>
      </c>
      <c r="AR183">
        <v>430463</v>
      </c>
      <c r="AS183" t="s">
        <v>65</v>
      </c>
      <c r="AU183" t="s">
        <v>65</v>
      </c>
      <c r="AV183">
        <v>1000</v>
      </c>
      <c r="AW183">
        <v>1186.4000000000001</v>
      </c>
      <c r="AX183">
        <v>1500</v>
      </c>
      <c r="AY183">
        <v>1680.386</v>
      </c>
      <c r="AZ183">
        <v>1992.48</v>
      </c>
      <c r="BA183">
        <v>2399.98</v>
      </c>
      <c r="BB183">
        <v>2739.2040000000002</v>
      </c>
      <c r="BC183">
        <v>3000</v>
      </c>
      <c r="BD183">
        <v>3500</v>
      </c>
      <c r="BE183">
        <v>4000</v>
      </c>
      <c r="BF183">
        <v>4800</v>
      </c>
      <c r="BG183">
        <v>5000</v>
      </c>
      <c r="BH183">
        <v>5024.4139999999998</v>
      </c>
      <c r="BI183">
        <v>5617.9639999999999</v>
      </c>
      <c r="BJ183">
        <v>9836.84</v>
      </c>
      <c r="BK183">
        <v>12377.16</v>
      </c>
      <c r="BL183">
        <v>16956.52800000002</v>
      </c>
      <c r="BM183">
        <v>20247.331999999999</v>
      </c>
      <c r="BN183">
        <v>29364.69400000001</v>
      </c>
      <c r="BO183">
        <v>45000</v>
      </c>
      <c r="BP183">
        <v>1149602.8999999999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 x14ac:dyDescent="0.35">
      <c r="A184">
        <v>337910</v>
      </c>
      <c r="B184" t="s">
        <v>289</v>
      </c>
      <c r="C184" t="s">
        <v>290</v>
      </c>
      <c r="D184" s="1">
        <v>45786</v>
      </c>
      <c r="E184">
        <v>53850</v>
      </c>
      <c r="F184">
        <v>118</v>
      </c>
      <c r="G184" t="s">
        <v>130</v>
      </c>
      <c r="H184" t="s">
        <v>48</v>
      </c>
      <c r="I184" t="s">
        <v>49</v>
      </c>
      <c r="K184" t="s">
        <v>539</v>
      </c>
      <c r="L184">
        <v>1183306279722</v>
      </c>
      <c r="M184">
        <v>20250508</v>
      </c>
      <c r="N184" t="s">
        <v>222</v>
      </c>
      <c r="P184" t="s">
        <v>303</v>
      </c>
      <c r="Q184" t="s">
        <v>50</v>
      </c>
      <c r="R184">
        <v>1515</v>
      </c>
      <c r="S184">
        <v>0</v>
      </c>
      <c r="T184">
        <v>4144657</v>
      </c>
      <c r="U184" t="s">
        <v>551</v>
      </c>
      <c r="V184" t="s">
        <v>552</v>
      </c>
      <c r="W184" t="s">
        <v>51</v>
      </c>
      <c r="Y184" t="s">
        <v>52</v>
      </c>
      <c r="Z184">
        <v>632</v>
      </c>
      <c r="AH184">
        <v>0</v>
      </c>
      <c r="AI184">
        <v>202505</v>
      </c>
      <c r="AJ184" t="s">
        <v>203</v>
      </c>
      <c r="AK184">
        <v>1</v>
      </c>
      <c r="AL184">
        <v>1</v>
      </c>
      <c r="AO184">
        <v>0</v>
      </c>
      <c r="AP184">
        <v>999</v>
      </c>
      <c r="AQ184">
        <v>600</v>
      </c>
      <c r="AR184">
        <v>600999</v>
      </c>
      <c r="AS184" t="s">
        <v>53</v>
      </c>
      <c r="AU184" t="s">
        <v>53</v>
      </c>
      <c r="AV184">
        <v>1000</v>
      </c>
      <c r="AW184">
        <v>1186.4000000000001</v>
      </c>
      <c r="AX184">
        <v>1500</v>
      </c>
      <c r="AY184">
        <v>1680.386</v>
      </c>
      <c r="AZ184">
        <v>1992.48</v>
      </c>
      <c r="BA184">
        <v>2399.98</v>
      </c>
      <c r="BB184">
        <v>2739.2040000000002</v>
      </c>
      <c r="BC184">
        <v>3000</v>
      </c>
      <c r="BD184">
        <v>3500</v>
      </c>
      <c r="BE184">
        <v>4000</v>
      </c>
      <c r="BF184">
        <v>4800</v>
      </c>
      <c r="BG184">
        <v>5000</v>
      </c>
      <c r="BH184">
        <v>5024.4139999999998</v>
      </c>
      <c r="BI184">
        <v>5617.9639999999999</v>
      </c>
      <c r="BJ184">
        <v>9836.84</v>
      </c>
      <c r="BK184">
        <v>12377.16</v>
      </c>
      <c r="BL184">
        <v>16956.52800000002</v>
      </c>
      <c r="BM184">
        <v>20247.331999999999</v>
      </c>
      <c r="BN184">
        <v>29364.69400000001</v>
      </c>
      <c r="BO184">
        <v>45000</v>
      </c>
      <c r="BP184">
        <v>1149602.8999999999</v>
      </c>
      <c r="BQ184">
        <v>1</v>
      </c>
      <c r="BR184">
        <v>1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 x14ac:dyDescent="0.35">
      <c r="A185">
        <v>337908</v>
      </c>
      <c r="B185" t="s">
        <v>289</v>
      </c>
      <c r="C185" t="s">
        <v>290</v>
      </c>
      <c r="D185" s="1">
        <v>45786</v>
      </c>
      <c r="E185">
        <v>53850</v>
      </c>
      <c r="F185">
        <v>104</v>
      </c>
      <c r="G185" t="s">
        <v>54</v>
      </c>
      <c r="H185" t="s">
        <v>48</v>
      </c>
      <c r="I185" t="s">
        <v>49</v>
      </c>
      <c r="K185" t="s">
        <v>553</v>
      </c>
      <c r="L185">
        <v>1043309506207</v>
      </c>
      <c r="M185">
        <v>20250506</v>
      </c>
      <c r="N185" t="s">
        <v>222</v>
      </c>
      <c r="P185" t="s">
        <v>303</v>
      </c>
      <c r="Q185" t="s">
        <v>50</v>
      </c>
      <c r="R185">
        <v>1583</v>
      </c>
      <c r="S185">
        <v>0</v>
      </c>
      <c r="T185">
        <v>420391</v>
      </c>
      <c r="U185" t="s">
        <v>424</v>
      </c>
      <c r="V185" t="s">
        <v>425</v>
      </c>
      <c r="W185" t="s">
        <v>73</v>
      </c>
      <c r="X185" t="s">
        <v>229</v>
      </c>
      <c r="Y185" t="s">
        <v>52</v>
      </c>
      <c r="Z185">
        <v>1902</v>
      </c>
      <c r="AH185">
        <v>0</v>
      </c>
      <c r="AI185">
        <v>202505</v>
      </c>
      <c r="AJ185" t="s">
        <v>55</v>
      </c>
      <c r="AK185">
        <v>0</v>
      </c>
      <c r="AL185">
        <v>1</v>
      </c>
      <c r="AO185">
        <v>0</v>
      </c>
      <c r="AP185">
        <v>999</v>
      </c>
      <c r="AQ185">
        <v>615</v>
      </c>
      <c r="AR185">
        <v>615999</v>
      </c>
      <c r="AT185">
        <v>1</v>
      </c>
      <c r="AU185" t="s">
        <v>65</v>
      </c>
      <c r="AV185">
        <v>1000</v>
      </c>
      <c r="AW185">
        <v>1186.4000000000001</v>
      </c>
      <c r="AX185">
        <v>1500</v>
      </c>
      <c r="AY185">
        <v>1680.386</v>
      </c>
      <c r="AZ185">
        <v>1992.48</v>
      </c>
      <c r="BA185">
        <v>2399.98</v>
      </c>
      <c r="BB185">
        <v>2739.2040000000002</v>
      </c>
      <c r="BC185">
        <v>3000</v>
      </c>
      <c r="BD185">
        <v>3500</v>
      </c>
      <c r="BE185">
        <v>4000</v>
      </c>
      <c r="BF185">
        <v>4800</v>
      </c>
      <c r="BG185">
        <v>5000</v>
      </c>
      <c r="BH185">
        <v>5024.4139999999998</v>
      </c>
      <c r="BI185">
        <v>5617.9639999999999</v>
      </c>
      <c r="BJ185">
        <v>9836.84</v>
      </c>
      <c r="BK185">
        <v>12377.16</v>
      </c>
      <c r="BL185">
        <v>16956.52800000002</v>
      </c>
      <c r="BM185">
        <v>20247.331999999999</v>
      </c>
      <c r="BN185">
        <v>29364.69400000001</v>
      </c>
      <c r="BO185">
        <v>45000</v>
      </c>
      <c r="BP185">
        <v>1149602.8999999999</v>
      </c>
      <c r="BQ185">
        <v>1</v>
      </c>
      <c r="BR185">
        <v>1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 x14ac:dyDescent="0.35">
      <c r="A186">
        <v>337899</v>
      </c>
      <c r="B186" t="s">
        <v>289</v>
      </c>
      <c r="C186" t="s">
        <v>290</v>
      </c>
      <c r="D186" s="1">
        <v>45785</v>
      </c>
      <c r="E186">
        <v>53850</v>
      </c>
      <c r="F186">
        <v>102</v>
      </c>
      <c r="G186" t="s">
        <v>56</v>
      </c>
      <c r="H186" t="s">
        <v>48</v>
      </c>
      <c r="I186" t="s">
        <v>49</v>
      </c>
      <c r="K186" t="s">
        <v>554</v>
      </c>
      <c r="L186">
        <v>2583300001294</v>
      </c>
      <c r="M186">
        <v>20250507</v>
      </c>
      <c r="N186" t="s">
        <v>222</v>
      </c>
      <c r="P186" t="s">
        <v>291</v>
      </c>
      <c r="Q186" t="s">
        <v>61</v>
      </c>
      <c r="R186">
        <v>3465</v>
      </c>
      <c r="S186">
        <v>0</v>
      </c>
      <c r="T186">
        <v>4923983</v>
      </c>
      <c r="U186">
        <v>8254330726</v>
      </c>
      <c r="V186" t="s">
        <v>555</v>
      </c>
      <c r="W186" t="s">
        <v>58</v>
      </c>
      <c r="X186" t="s">
        <v>231</v>
      </c>
      <c r="Y186" t="s">
        <v>52</v>
      </c>
      <c r="Z186">
        <v>1949</v>
      </c>
      <c r="AH186">
        <v>0</v>
      </c>
      <c r="AI186">
        <v>202505</v>
      </c>
      <c r="AJ186" t="s">
        <v>203</v>
      </c>
      <c r="AK186">
        <v>1</v>
      </c>
      <c r="AL186">
        <v>1</v>
      </c>
      <c r="AO186">
        <v>0</v>
      </c>
      <c r="AP186">
        <v>999</v>
      </c>
      <c r="AQ186">
        <v>430</v>
      </c>
      <c r="AR186">
        <v>430999</v>
      </c>
      <c r="AT186">
        <v>1</v>
      </c>
      <c r="AU186" t="s">
        <v>59</v>
      </c>
      <c r="AV186">
        <v>1000</v>
      </c>
      <c r="AW186">
        <v>1186.4000000000001</v>
      </c>
      <c r="AX186">
        <v>1500</v>
      </c>
      <c r="AY186">
        <v>1680.386</v>
      </c>
      <c r="AZ186">
        <v>1992.48</v>
      </c>
      <c r="BA186">
        <v>2399.98</v>
      </c>
      <c r="BB186">
        <v>2739.2040000000002</v>
      </c>
      <c r="BC186">
        <v>3000</v>
      </c>
      <c r="BD186">
        <v>3500</v>
      </c>
      <c r="BE186">
        <v>4000</v>
      </c>
      <c r="BF186">
        <v>4800</v>
      </c>
      <c r="BG186">
        <v>5000</v>
      </c>
      <c r="BH186">
        <v>5024.4139999999998</v>
      </c>
      <c r="BI186">
        <v>5617.9639999999999</v>
      </c>
      <c r="BJ186">
        <v>9836.84</v>
      </c>
      <c r="BK186">
        <v>12377.16</v>
      </c>
      <c r="BL186">
        <v>16956.52800000002</v>
      </c>
      <c r="BM186">
        <v>20247.331999999999</v>
      </c>
      <c r="BN186">
        <v>29364.69400000001</v>
      </c>
      <c r="BO186">
        <v>45000</v>
      </c>
      <c r="BP186">
        <v>1149602.8999999999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 x14ac:dyDescent="0.35">
      <c r="A187">
        <v>337868</v>
      </c>
      <c r="B187" t="s">
        <v>289</v>
      </c>
      <c r="C187" t="s">
        <v>290</v>
      </c>
      <c r="D187" s="1">
        <v>45785</v>
      </c>
      <c r="E187">
        <v>53850</v>
      </c>
      <c r="F187">
        <v>136</v>
      </c>
      <c r="G187" t="s">
        <v>78</v>
      </c>
      <c r="H187" t="s">
        <v>48</v>
      </c>
      <c r="I187" t="s">
        <v>49</v>
      </c>
      <c r="K187">
        <v>202505077957636</v>
      </c>
      <c r="L187">
        <v>1361147800126</v>
      </c>
      <c r="M187">
        <v>20250507</v>
      </c>
      <c r="N187" t="s">
        <v>222</v>
      </c>
      <c r="P187" t="s">
        <v>136</v>
      </c>
      <c r="Q187" t="s">
        <v>50</v>
      </c>
      <c r="R187">
        <v>716657.07</v>
      </c>
      <c r="S187">
        <v>0</v>
      </c>
      <c r="T187">
        <v>4395683</v>
      </c>
      <c r="U187">
        <v>2036760037</v>
      </c>
      <c r="V187" t="s">
        <v>79</v>
      </c>
      <c r="W187" t="s">
        <v>58</v>
      </c>
      <c r="X187" t="s">
        <v>80</v>
      </c>
      <c r="Y187" t="s">
        <v>52</v>
      </c>
      <c r="Z187">
        <v>1627</v>
      </c>
      <c r="AH187">
        <v>0</v>
      </c>
      <c r="AI187">
        <v>202505</v>
      </c>
      <c r="AJ187" t="s">
        <v>68</v>
      </c>
      <c r="AK187">
        <v>0</v>
      </c>
      <c r="AL187">
        <v>1</v>
      </c>
      <c r="AO187">
        <v>0</v>
      </c>
      <c r="AP187">
        <v>999</v>
      </c>
      <c r="AQ187">
        <v>430</v>
      </c>
      <c r="AR187">
        <v>430999</v>
      </c>
      <c r="AT187">
        <v>1</v>
      </c>
      <c r="AU187" t="s">
        <v>59</v>
      </c>
      <c r="AV187">
        <v>1000</v>
      </c>
      <c r="AW187">
        <v>1186.4000000000001</v>
      </c>
      <c r="AX187">
        <v>1500</v>
      </c>
      <c r="AY187">
        <v>1680.386</v>
      </c>
      <c r="AZ187">
        <v>1992.48</v>
      </c>
      <c r="BA187">
        <v>2399.98</v>
      </c>
      <c r="BB187">
        <v>2739.2040000000002</v>
      </c>
      <c r="BC187">
        <v>3000</v>
      </c>
      <c r="BD187">
        <v>3500</v>
      </c>
      <c r="BE187">
        <v>4000</v>
      </c>
      <c r="BF187">
        <v>4800</v>
      </c>
      <c r="BG187">
        <v>5000</v>
      </c>
      <c r="BH187">
        <v>5024.4139999999998</v>
      </c>
      <c r="BI187">
        <v>5617.9639999999999</v>
      </c>
      <c r="BJ187">
        <v>9836.84</v>
      </c>
      <c r="BK187">
        <v>12377.16</v>
      </c>
      <c r="BL187">
        <v>16956.52800000002</v>
      </c>
      <c r="BM187">
        <v>20247.331999999999</v>
      </c>
      <c r="BN187">
        <v>29364.69400000001</v>
      </c>
      <c r="BO187">
        <v>45000</v>
      </c>
      <c r="BP187">
        <v>1149602.8999999999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0</v>
      </c>
    </row>
    <row r="188" spans="1:89" x14ac:dyDescent="0.35">
      <c r="A188">
        <v>337858</v>
      </c>
      <c r="B188" t="s">
        <v>289</v>
      </c>
      <c r="C188" t="s">
        <v>290</v>
      </c>
      <c r="D188" s="1">
        <v>45784</v>
      </c>
      <c r="E188">
        <v>53850</v>
      </c>
      <c r="F188">
        <v>148</v>
      </c>
      <c r="G188" t="s">
        <v>125</v>
      </c>
      <c r="H188" t="s">
        <v>48</v>
      </c>
      <c r="I188" t="s">
        <v>49</v>
      </c>
      <c r="K188">
        <v>202505067953863</v>
      </c>
      <c r="L188">
        <v>1483300003872</v>
      </c>
      <c r="M188">
        <v>20250506</v>
      </c>
      <c r="N188" t="s">
        <v>222</v>
      </c>
      <c r="P188" t="s">
        <v>291</v>
      </c>
      <c r="Q188" t="s">
        <v>61</v>
      </c>
      <c r="R188">
        <v>28963.49</v>
      </c>
      <c r="S188">
        <v>0</v>
      </c>
      <c r="T188">
        <v>4602337</v>
      </c>
      <c r="U188">
        <v>1418030621</v>
      </c>
      <c r="V188" t="s">
        <v>126</v>
      </c>
      <c r="W188" t="s">
        <v>58</v>
      </c>
      <c r="X188" t="s">
        <v>127</v>
      </c>
      <c r="Y188" t="s">
        <v>52</v>
      </c>
      <c r="Z188">
        <v>982</v>
      </c>
      <c r="AH188">
        <v>0</v>
      </c>
      <c r="AI188">
        <v>202505</v>
      </c>
      <c r="AJ188" t="s">
        <v>68</v>
      </c>
      <c r="AK188">
        <v>0</v>
      </c>
      <c r="AL188">
        <v>1</v>
      </c>
      <c r="AO188">
        <v>0</v>
      </c>
      <c r="AP188">
        <v>999</v>
      </c>
      <c r="AQ188">
        <v>430</v>
      </c>
      <c r="AR188">
        <v>430999</v>
      </c>
      <c r="AT188">
        <v>1</v>
      </c>
      <c r="AU188" t="s">
        <v>59</v>
      </c>
      <c r="AV188">
        <v>1000</v>
      </c>
      <c r="AW188">
        <v>1186.4000000000001</v>
      </c>
      <c r="AX188">
        <v>1500</v>
      </c>
      <c r="AY188">
        <v>1680.386</v>
      </c>
      <c r="AZ188">
        <v>1992.48</v>
      </c>
      <c r="BA188">
        <v>2399.98</v>
      </c>
      <c r="BB188">
        <v>2739.2040000000002</v>
      </c>
      <c r="BC188">
        <v>3000</v>
      </c>
      <c r="BD188">
        <v>3500</v>
      </c>
      <c r="BE188">
        <v>4000</v>
      </c>
      <c r="BF188">
        <v>4800</v>
      </c>
      <c r="BG188">
        <v>5000</v>
      </c>
      <c r="BH188">
        <v>5024.4139999999998</v>
      </c>
      <c r="BI188">
        <v>5617.9639999999999</v>
      </c>
      <c r="BJ188">
        <v>9836.84</v>
      </c>
      <c r="BK188">
        <v>12377.16</v>
      </c>
      <c r="BL188">
        <v>16956.52800000002</v>
      </c>
      <c r="BM188">
        <v>20247.331999999999</v>
      </c>
      <c r="BN188">
        <v>29364.69400000001</v>
      </c>
      <c r="BO188">
        <v>45000</v>
      </c>
      <c r="BP188">
        <v>1149602.8999999999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0</v>
      </c>
      <c r="CJ188">
        <v>0</v>
      </c>
      <c r="CK188">
        <v>0</v>
      </c>
    </row>
    <row r="189" spans="1:89" x14ac:dyDescent="0.35">
      <c r="A189">
        <v>337828</v>
      </c>
      <c r="B189" t="s">
        <v>289</v>
      </c>
      <c r="C189" t="s">
        <v>290</v>
      </c>
      <c r="D189" s="1">
        <v>45784</v>
      </c>
      <c r="E189">
        <v>53850</v>
      </c>
      <c r="F189">
        <v>153</v>
      </c>
      <c r="G189" t="s">
        <v>102</v>
      </c>
      <c r="H189" t="s">
        <v>48</v>
      </c>
      <c r="I189" t="s">
        <v>49</v>
      </c>
      <c r="K189" t="s">
        <v>556</v>
      </c>
      <c r="L189">
        <v>1533300662357</v>
      </c>
      <c r="M189">
        <v>20250506</v>
      </c>
      <c r="N189" t="s">
        <v>222</v>
      </c>
      <c r="P189" t="s">
        <v>557</v>
      </c>
      <c r="Q189" t="s">
        <v>50</v>
      </c>
      <c r="R189">
        <v>1965</v>
      </c>
      <c r="S189">
        <v>0</v>
      </c>
      <c r="T189">
        <v>4735568</v>
      </c>
      <c r="U189">
        <v>92086070643</v>
      </c>
      <c r="V189" t="s">
        <v>558</v>
      </c>
      <c r="W189" t="s">
        <v>93</v>
      </c>
      <c r="X189" t="s">
        <v>407</v>
      </c>
      <c r="Y189" t="s">
        <v>52</v>
      </c>
      <c r="Z189">
        <v>1055</v>
      </c>
      <c r="AH189">
        <v>0</v>
      </c>
      <c r="AI189">
        <v>202505</v>
      </c>
      <c r="AJ189" t="s">
        <v>55</v>
      </c>
      <c r="AK189">
        <v>0</v>
      </c>
      <c r="AL189">
        <v>1</v>
      </c>
      <c r="AO189">
        <v>0</v>
      </c>
      <c r="AP189">
        <v>999</v>
      </c>
      <c r="AQ189">
        <v>501</v>
      </c>
      <c r="AR189">
        <v>501999</v>
      </c>
      <c r="AT189">
        <v>1</v>
      </c>
      <c r="AU189" t="s">
        <v>65</v>
      </c>
      <c r="AV189">
        <v>1000</v>
      </c>
      <c r="AW189">
        <v>1186.4000000000001</v>
      </c>
      <c r="AX189">
        <v>1500</v>
      </c>
      <c r="AY189">
        <v>1680.386</v>
      </c>
      <c r="AZ189">
        <v>1992.48</v>
      </c>
      <c r="BA189">
        <v>2399.98</v>
      </c>
      <c r="BB189">
        <v>2739.2040000000002</v>
      </c>
      <c r="BC189">
        <v>3000</v>
      </c>
      <c r="BD189">
        <v>3500</v>
      </c>
      <c r="BE189">
        <v>4000</v>
      </c>
      <c r="BF189">
        <v>4800</v>
      </c>
      <c r="BG189">
        <v>5000</v>
      </c>
      <c r="BH189">
        <v>5024.4139999999998</v>
      </c>
      <c r="BI189">
        <v>5617.9639999999999</v>
      </c>
      <c r="BJ189">
        <v>9836.84</v>
      </c>
      <c r="BK189">
        <v>12377.16</v>
      </c>
      <c r="BL189">
        <v>16956.52800000002</v>
      </c>
      <c r="BM189">
        <v>20247.331999999999</v>
      </c>
      <c r="BN189">
        <v>29364.69400000001</v>
      </c>
      <c r="BO189">
        <v>45000</v>
      </c>
      <c r="BP189">
        <v>1149602.8999999999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 x14ac:dyDescent="0.35">
      <c r="A190">
        <v>337815</v>
      </c>
      <c r="B190" t="s">
        <v>289</v>
      </c>
      <c r="C190" t="s">
        <v>290</v>
      </c>
      <c r="D190" s="1">
        <v>45784</v>
      </c>
      <c r="E190">
        <v>53850</v>
      </c>
      <c r="F190">
        <v>153</v>
      </c>
      <c r="G190" t="s">
        <v>102</v>
      </c>
      <c r="H190" t="s">
        <v>48</v>
      </c>
      <c r="I190" t="s">
        <v>49</v>
      </c>
      <c r="K190" t="s">
        <v>559</v>
      </c>
      <c r="L190">
        <v>1533300662357</v>
      </c>
      <c r="M190">
        <v>20250506</v>
      </c>
      <c r="N190" t="s">
        <v>222</v>
      </c>
      <c r="P190" t="s">
        <v>557</v>
      </c>
      <c r="Q190" t="s">
        <v>50</v>
      </c>
      <c r="R190">
        <v>1379</v>
      </c>
      <c r="S190">
        <v>0</v>
      </c>
      <c r="T190">
        <v>4735568</v>
      </c>
      <c r="U190">
        <v>92086070643</v>
      </c>
      <c r="V190" t="s">
        <v>558</v>
      </c>
      <c r="W190" t="s">
        <v>93</v>
      </c>
      <c r="X190" t="s">
        <v>407</v>
      </c>
      <c r="Y190" t="s">
        <v>52</v>
      </c>
      <c r="Z190">
        <v>1055</v>
      </c>
      <c r="AH190">
        <v>0</v>
      </c>
      <c r="AI190">
        <v>202505</v>
      </c>
      <c r="AJ190" t="s">
        <v>55</v>
      </c>
      <c r="AK190">
        <v>0</v>
      </c>
      <c r="AL190">
        <v>1</v>
      </c>
      <c r="AO190">
        <v>0</v>
      </c>
      <c r="AP190">
        <v>999</v>
      </c>
      <c r="AQ190">
        <v>501</v>
      </c>
      <c r="AR190">
        <v>501999</v>
      </c>
      <c r="AT190">
        <v>1</v>
      </c>
      <c r="AU190" t="s">
        <v>65</v>
      </c>
      <c r="AV190">
        <v>1000</v>
      </c>
      <c r="AW190">
        <v>1186.4000000000001</v>
      </c>
      <c r="AX190">
        <v>1500</v>
      </c>
      <c r="AY190">
        <v>1680.386</v>
      </c>
      <c r="AZ190">
        <v>1992.48</v>
      </c>
      <c r="BA190">
        <v>2399.98</v>
      </c>
      <c r="BB190">
        <v>2739.2040000000002</v>
      </c>
      <c r="BC190">
        <v>3000</v>
      </c>
      <c r="BD190">
        <v>3500</v>
      </c>
      <c r="BE190">
        <v>4000</v>
      </c>
      <c r="BF190">
        <v>4800</v>
      </c>
      <c r="BG190">
        <v>5000</v>
      </c>
      <c r="BH190">
        <v>5024.4139999999998</v>
      </c>
      <c r="BI190">
        <v>5617.9639999999999</v>
      </c>
      <c r="BJ190">
        <v>9836.84</v>
      </c>
      <c r="BK190">
        <v>12377.16</v>
      </c>
      <c r="BL190">
        <v>16956.52800000002</v>
      </c>
      <c r="BM190">
        <v>20247.331999999999</v>
      </c>
      <c r="BN190">
        <v>29364.69400000001</v>
      </c>
      <c r="BO190">
        <v>45000</v>
      </c>
      <c r="BP190">
        <v>1149602.8999999999</v>
      </c>
      <c r="BQ190">
        <v>1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 x14ac:dyDescent="0.35">
      <c r="A191">
        <v>337814</v>
      </c>
      <c r="B191" t="s">
        <v>289</v>
      </c>
      <c r="C191" t="s">
        <v>290</v>
      </c>
      <c r="D191" s="1">
        <v>45784</v>
      </c>
      <c r="E191">
        <v>53850</v>
      </c>
      <c r="F191">
        <v>102</v>
      </c>
      <c r="G191" t="s">
        <v>56</v>
      </c>
      <c r="H191" t="s">
        <v>48</v>
      </c>
      <c r="I191" t="s">
        <v>49</v>
      </c>
      <c r="K191" t="s">
        <v>560</v>
      </c>
      <c r="L191">
        <v>1023308724471</v>
      </c>
      <c r="M191">
        <v>20250506</v>
      </c>
      <c r="N191" t="s">
        <v>222</v>
      </c>
      <c r="P191" t="s">
        <v>136</v>
      </c>
      <c r="Q191" t="s">
        <v>61</v>
      </c>
      <c r="R191">
        <v>3000</v>
      </c>
      <c r="S191">
        <v>0</v>
      </c>
      <c r="T191">
        <v>4926972</v>
      </c>
      <c r="U191">
        <v>8178330729</v>
      </c>
      <c r="V191" t="s">
        <v>561</v>
      </c>
      <c r="W191" t="s">
        <v>58</v>
      </c>
      <c r="X191" t="s">
        <v>98</v>
      </c>
      <c r="Y191" t="s">
        <v>52</v>
      </c>
      <c r="Z191">
        <v>1443</v>
      </c>
      <c r="AH191">
        <v>0</v>
      </c>
      <c r="AI191">
        <v>202505</v>
      </c>
      <c r="AJ191" t="s">
        <v>203</v>
      </c>
      <c r="AK191">
        <v>1</v>
      </c>
      <c r="AL191">
        <v>1</v>
      </c>
      <c r="AO191">
        <v>0</v>
      </c>
      <c r="AP191">
        <v>477</v>
      </c>
      <c r="AQ191">
        <v>430</v>
      </c>
      <c r="AR191">
        <v>430477</v>
      </c>
      <c r="AS191" t="s">
        <v>65</v>
      </c>
      <c r="AU191" t="s">
        <v>65</v>
      </c>
      <c r="AV191">
        <v>1000</v>
      </c>
      <c r="AW191">
        <v>1186.4000000000001</v>
      </c>
      <c r="AX191">
        <v>1500</v>
      </c>
      <c r="AY191">
        <v>1680.386</v>
      </c>
      <c r="AZ191">
        <v>1992.48</v>
      </c>
      <c r="BA191">
        <v>2399.98</v>
      </c>
      <c r="BB191">
        <v>2739.2040000000002</v>
      </c>
      <c r="BC191">
        <v>3000</v>
      </c>
      <c r="BD191">
        <v>3500</v>
      </c>
      <c r="BE191">
        <v>4000</v>
      </c>
      <c r="BF191">
        <v>4800</v>
      </c>
      <c r="BG191">
        <v>5000</v>
      </c>
      <c r="BH191">
        <v>5024.4139999999998</v>
      </c>
      <c r="BI191">
        <v>5617.9639999999999</v>
      </c>
      <c r="BJ191">
        <v>9836.84</v>
      </c>
      <c r="BK191">
        <v>12377.16</v>
      </c>
      <c r="BL191">
        <v>16956.52800000002</v>
      </c>
      <c r="BM191">
        <v>20247.331999999999</v>
      </c>
      <c r="BN191">
        <v>29364.69400000001</v>
      </c>
      <c r="BO191">
        <v>45000</v>
      </c>
      <c r="BP191">
        <v>1149602.8999999999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 x14ac:dyDescent="0.35">
      <c r="A192">
        <v>337808</v>
      </c>
      <c r="B192" t="s">
        <v>289</v>
      </c>
      <c r="C192" t="s">
        <v>290</v>
      </c>
      <c r="D192" s="1">
        <v>45783</v>
      </c>
      <c r="E192">
        <v>53850</v>
      </c>
      <c r="F192">
        <v>170</v>
      </c>
      <c r="G192" t="s">
        <v>100</v>
      </c>
      <c r="H192" t="s">
        <v>48</v>
      </c>
      <c r="I192" t="s">
        <v>49</v>
      </c>
      <c r="K192" t="s">
        <v>562</v>
      </c>
      <c r="L192">
        <v>1703306287258</v>
      </c>
      <c r="M192">
        <v>20250505</v>
      </c>
      <c r="N192" t="s">
        <v>222</v>
      </c>
      <c r="P192" t="s">
        <v>563</v>
      </c>
      <c r="Q192" t="s">
        <v>50</v>
      </c>
      <c r="R192">
        <v>4193.34</v>
      </c>
      <c r="S192">
        <v>0</v>
      </c>
      <c r="T192">
        <v>4209961</v>
      </c>
      <c r="U192" t="s">
        <v>564</v>
      </c>
      <c r="V192" t="s">
        <v>565</v>
      </c>
      <c r="W192" t="s">
        <v>51</v>
      </c>
      <c r="Y192" t="s">
        <v>52</v>
      </c>
      <c r="Z192">
        <v>1954</v>
      </c>
      <c r="AH192">
        <v>0</v>
      </c>
      <c r="AI192">
        <v>202505</v>
      </c>
      <c r="AJ192" t="s">
        <v>203</v>
      </c>
      <c r="AK192">
        <v>1</v>
      </c>
      <c r="AL192">
        <v>1</v>
      </c>
      <c r="AO192">
        <v>0</v>
      </c>
      <c r="AP192">
        <v>999</v>
      </c>
      <c r="AQ192">
        <v>600</v>
      </c>
      <c r="AR192">
        <v>600999</v>
      </c>
      <c r="AS192" t="s">
        <v>53</v>
      </c>
      <c r="AU192" t="s">
        <v>53</v>
      </c>
      <c r="AV192">
        <v>1000</v>
      </c>
      <c r="AW192">
        <v>1186.4000000000001</v>
      </c>
      <c r="AX192">
        <v>1500</v>
      </c>
      <c r="AY192">
        <v>1680.386</v>
      </c>
      <c r="AZ192">
        <v>1992.48</v>
      </c>
      <c r="BA192">
        <v>2399.98</v>
      </c>
      <c r="BB192">
        <v>2739.2040000000002</v>
      </c>
      <c r="BC192">
        <v>3000</v>
      </c>
      <c r="BD192">
        <v>3500</v>
      </c>
      <c r="BE192">
        <v>4000</v>
      </c>
      <c r="BF192">
        <v>4800</v>
      </c>
      <c r="BG192">
        <v>5000</v>
      </c>
      <c r="BH192">
        <v>5024.4139999999998</v>
      </c>
      <c r="BI192">
        <v>5617.9639999999999</v>
      </c>
      <c r="BJ192">
        <v>9836.84</v>
      </c>
      <c r="BK192">
        <v>12377.16</v>
      </c>
      <c r="BL192">
        <v>16956.52800000002</v>
      </c>
      <c r="BM192">
        <v>20247.331999999999</v>
      </c>
      <c r="BN192">
        <v>29364.69400000001</v>
      </c>
      <c r="BO192">
        <v>45000</v>
      </c>
      <c r="BP192">
        <v>1149602.8999999999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 x14ac:dyDescent="0.35">
      <c r="A193">
        <v>337783</v>
      </c>
      <c r="B193" t="s">
        <v>289</v>
      </c>
      <c r="C193" t="s">
        <v>290</v>
      </c>
      <c r="D193" s="1">
        <v>45783</v>
      </c>
      <c r="E193">
        <v>53850</v>
      </c>
      <c r="F193">
        <v>129</v>
      </c>
      <c r="G193" t="s">
        <v>81</v>
      </c>
      <c r="H193" t="s">
        <v>48</v>
      </c>
      <c r="I193" t="s">
        <v>49</v>
      </c>
      <c r="K193">
        <v>202505057950167</v>
      </c>
      <c r="L193">
        <v>1293300002811</v>
      </c>
      <c r="M193">
        <v>20250505</v>
      </c>
      <c r="N193" t="s">
        <v>222</v>
      </c>
      <c r="P193" t="s">
        <v>291</v>
      </c>
      <c r="Q193" t="s">
        <v>61</v>
      </c>
      <c r="R193">
        <v>13836.71</v>
      </c>
      <c r="S193">
        <v>0</v>
      </c>
      <c r="T193">
        <v>4972184</v>
      </c>
      <c r="U193">
        <v>7780290727</v>
      </c>
      <c r="V193" t="s">
        <v>355</v>
      </c>
      <c r="W193" t="s">
        <v>58</v>
      </c>
      <c r="X193" t="s">
        <v>356</v>
      </c>
      <c r="Y193" t="s">
        <v>52</v>
      </c>
      <c r="Z193">
        <v>1058</v>
      </c>
      <c r="AH193">
        <v>0</v>
      </c>
      <c r="AI193">
        <v>202505</v>
      </c>
      <c r="AJ193" t="s">
        <v>55</v>
      </c>
      <c r="AK193">
        <v>0</v>
      </c>
      <c r="AL193">
        <v>1</v>
      </c>
      <c r="AO193">
        <v>0</v>
      </c>
      <c r="AP193">
        <v>999</v>
      </c>
      <c r="AQ193">
        <v>430</v>
      </c>
      <c r="AR193">
        <v>430999</v>
      </c>
      <c r="AT193">
        <v>1</v>
      </c>
      <c r="AU193" t="s">
        <v>59</v>
      </c>
      <c r="AV193">
        <v>1000</v>
      </c>
      <c r="AW193">
        <v>1186.4000000000001</v>
      </c>
      <c r="AX193">
        <v>1500</v>
      </c>
      <c r="AY193">
        <v>1680.386</v>
      </c>
      <c r="AZ193">
        <v>1992.48</v>
      </c>
      <c r="BA193">
        <v>2399.98</v>
      </c>
      <c r="BB193">
        <v>2739.2040000000002</v>
      </c>
      <c r="BC193">
        <v>3000</v>
      </c>
      <c r="BD193">
        <v>3500</v>
      </c>
      <c r="BE193">
        <v>4000</v>
      </c>
      <c r="BF193">
        <v>4800</v>
      </c>
      <c r="BG193">
        <v>5000</v>
      </c>
      <c r="BH193">
        <v>5024.4139999999998</v>
      </c>
      <c r="BI193">
        <v>5617.9639999999999</v>
      </c>
      <c r="BJ193">
        <v>9836.84</v>
      </c>
      <c r="BK193">
        <v>12377.16</v>
      </c>
      <c r="BL193">
        <v>16956.52800000002</v>
      </c>
      <c r="BM193">
        <v>20247.331999999999</v>
      </c>
      <c r="BN193">
        <v>29364.69400000001</v>
      </c>
      <c r="BO193">
        <v>45000</v>
      </c>
      <c r="BP193">
        <v>1149602.8999999999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 x14ac:dyDescent="0.35">
      <c r="A194">
        <v>337780</v>
      </c>
      <c r="B194" t="s">
        <v>289</v>
      </c>
      <c r="C194" t="s">
        <v>290</v>
      </c>
      <c r="D194" s="1">
        <v>45783</v>
      </c>
      <c r="E194">
        <v>53850</v>
      </c>
      <c r="F194">
        <v>154</v>
      </c>
      <c r="G194" t="s">
        <v>443</v>
      </c>
      <c r="H194" t="s">
        <v>48</v>
      </c>
      <c r="I194" t="s">
        <v>49</v>
      </c>
      <c r="K194">
        <v>202505057950614</v>
      </c>
      <c r="L194">
        <v>1543300004605</v>
      </c>
      <c r="M194">
        <v>20250505</v>
      </c>
      <c r="N194" t="s">
        <v>222</v>
      </c>
      <c r="P194" t="s">
        <v>364</v>
      </c>
      <c r="Q194" t="s">
        <v>61</v>
      </c>
      <c r="R194">
        <v>8112</v>
      </c>
      <c r="S194">
        <v>0</v>
      </c>
      <c r="T194">
        <v>4973543</v>
      </c>
      <c r="U194" t="s">
        <v>444</v>
      </c>
      <c r="V194" t="s">
        <v>445</v>
      </c>
      <c r="W194" t="s">
        <v>73</v>
      </c>
      <c r="X194" t="s">
        <v>446</v>
      </c>
      <c r="Y194" t="s">
        <v>52</v>
      </c>
      <c r="Z194">
        <v>741</v>
      </c>
      <c r="AH194">
        <v>0</v>
      </c>
      <c r="AI194">
        <v>202505</v>
      </c>
      <c r="AJ194" t="s">
        <v>205</v>
      </c>
      <c r="AK194">
        <v>1</v>
      </c>
      <c r="AL194">
        <v>1</v>
      </c>
      <c r="AO194">
        <v>0</v>
      </c>
      <c r="AP194">
        <v>999</v>
      </c>
      <c r="AQ194">
        <v>615</v>
      </c>
      <c r="AR194">
        <v>615999</v>
      </c>
      <c r="AT194">
        <v>1</v>
      </c>
      <c r="AU194" t="s">
        <v>65</v>
      </c>
      <c r="AV194">
        <v>1000</v>
      </c>
      <c r="AW194">
        <v>1186.4000000000001</v>
      </c>
      <c r="AX194">
        <v>1500</v>
      </c>
      <c r="AY194">
        <v>1680.386</v>
      </c>
      <c r="AZ194">
        <v>1992.48</v>
      </c>
      <c r="BA194">
        <v>2399.98</v>
      </c>
      <c r="BB194">
        <v>2739.2040000000002</v>
      </c>
      <c r="BC194">
        <v>3000</v>
      </c>
      <c r="BD194">
        <v>3500</v>
      </c>
      <c r="BE194">
        <v>4000</v>
      </c>
      <c r="BF194">
        <v>4800</v>
      </c>
      <c r="BG194">
        <v>5000</v>
      </c>
      <c r="BH194">
        <v>5024.4139999999998</v>
      </c>
      <c r="BI194">
        <v>5617.9639999999999</v>
      </c>
      <c r="BJ194">
        <v>9836.84</v>
      </c>
      <c r="BK194">
        <v>12377.16</v>
      </c>
      <c r="BL194">
        <v>16956.52800000002</v>
      </c>
      <c r="BM194">
        <v>20247.331999999999</v>
      </c>
      <c r="BN194">
        <v>29364.69400000001</v>
      </c>
      <c r="BO194">
        <v>45000</v>
      </c>
      <c r="BP194">
        <v>1149602.8999999999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 x14ac:dyDescent="0.35">
      <c r="A195">
        <v>337776</v>
      </c>
      <c r="B195" t="s">
        <v>289</v>
      </c>
      <c r="C195" t="s">
        <v>290</v>
      </c>
      <c r="D195" s="1">
        <v>45783</v>
      </c>
      <c r="E195">
        <v>53850</v>
      </c>
      <c r="F195">
        <v>170</v>
      </c>
      <c r="G195" t="s">
        <v>100</v>
      </c>
      <c r="H195" t="s">
        <v>48</v>
      </c>
      <c r="I195" t="s">
        <v>49</v>
      </c>
      <c r="K195" t="s">
        <v>566</v>
      </c>
      <c r="L195">
        <v>1703306289399</v>
      </c>
      <c r="M195">
        <v>20250505</v>
      </c>
      <c r="N195" t="s">
        <v>222</v>
      </c>
      <c r="P195" t="s">
        <v>296</v>
      </c>
      <c r="Q195" t="s">
        <v>61</v>
      </c>
      <c r="R195">
        <v>2900</v>
      </c>
      <c r="S195">
        <v>0</v>
      </c>
      <c r="T195">
        <v>4926611</v>
      </c>
      <c r="U195" t="s">
        <v>567</v>
      </c>
      <c r="V195" t="s">
        <v>568</v>
      </c>
      <c r="W195" t="s">
        <v>73</v>
      </c>
      <c r="X195" t="s">
        <v>131</v>
      </c>
      <c r="Y195" t="s">
        <v>52</v>
      </c>
      <c r="Z195">
        <v>1330</v>
      </c>
      <c r="AH195">
        <v>0</v>
      </c>
      <c r="AI195">
        <v>202505</v>
      </c>
      <c r="AJ195" t="s">
        <v>203</v>
      </c>
      <c r="AK195">
        <v>1</v>
      </c>
      <c r="AL195">
        <v>1</v>
      </c>
      <c r="AO195">
        <v>0</v>
      </c>
      <c r="AP195">
        <v>999</v>
      </c>
      <c r="AQ195">
        <v>615</v>
      </c>
      <c r="AR195">
        <v>615999</v>
      </c>
      <c r="AT195">
        <v>1</v>
      </c>
      <c r="AU195" t="s">
        <v>65</v>
      </c>
      <c r="AV195">
        <v>1000</v>
      </c>
      <c r="AW195">
        <v>1186.4000000000001</v>
      </c>
      <c r="AX195">
        <v>1500</v>
      </c>
      <c r="AY195">
        <v>1680.386</v>
      </c>
      <c r="AZ195">
        <v>1992.48</v>
      </c>
      <c r="BA195">
        <v>2399.98</v>
      </c>
      <c r="BB195">
        <v>2739.2040000000002</v>
      </c>
      <c r="BC195">
        <v>3000</v>
      </c>
      <c r="BD195">
        <v>3500</v>
      </c>
      <c r="BE195">
        <v>4000</v>
      </c>
      <c r="BF195">
        <v>4800</v>
      </c>
      <c r="BG195">
        <v>5000</v>
      </c>
      <c r="BH195">
        <v>5024.4139999999998</v>
      </c>
      <c r="BI195">
        <v>5617.9639999999999</v>
      </c>
      <c r="BJ195">
        <v>9836.84</v>
      </c>
      <c r="BK195">
        <v>12377.16</v>
      </c>
      <c r="BL195">
        <v>16956.52800000002</v>
      </c>
      <c r="BM195">
        <v>20247.331999999999</v>
      </c>
      <c r="BN195">
        <v>29364.69400000001</v>
      </c>
      <c r="BO195">
        <v>45000</v>
      </c>
      <c r="BP195">
        <v>1149602.8999999999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 x14ac:dyDescent="0.35">
      <c r="A196">
        <v>337766</v>
      </c>
      <c r="B196" t="s">
        <v>289</v>
      </c>
      <c r="C196" t="s">
        <v>290</v>
      </c>
      <c r="D196" s="1">
        <v>45783</v>
      </c>
      <c r="E196">
        <v>53850</v>
      </c>
      <c r="F196">
        <v>103</v>
      </c>
      <c r="G196" t="s">
        <v>62</v>
      </c>
      <c r="H196" t="s">
        <v>48</v>
      </c>
      <c r="I196" t="s">
        <v>49</v>
      </c>
      <c r="K196" t="s">
        <v>569</v>
      </c>
      <c r="L196">
        <v>1033304289290</v>
      </c>
      <c r="M196">
        <v>20250505</v>
      </c>
      <c r="N196" t="s">
        <v>222</v>
      </c>
      <c r="P196" t="s">
        <v>303</v>
      </c>
      <c r="Q196" t="s">
        <v>50</v>
      </c>
      <c r="R196">
        <v>3000</v>
      </c>
      <c r="S196">
        <v>0</v>
      </c>
      <c r="T196">
        <v>428929</v>
      </c>
      <c r="U196">
        <v>3895840720</v>
      </c>
      <c r="V196" t="s">
        <v>346</v>
      </c>
      <c r="W196" t="s">
        <v>128</v>
      </c>
      <c r="X196" t="s">
        <v>108</v>
      </c>
      <c r="Y196" t="s">
        <v>52</v>
      </c>
      <c r="Z196">
        <v>1274</v>
      </c>
      <c r="AH196">
        <v>0</v>
      </c>
      <c r="AI196">
        <v>202505</v>
      </c>
      <c r="AJ196" t="s">
        <v>203</v>
      </c>
      <c r="AK196">
        <v>1</v>
      </c>
      <c r="AL196">
        <v>1</v>
      </c>
      <c r="AO196">
        <v>0</v>
      </c>
      <c r="AP196">
        <v>999</v>
      </c>
      <c r="AQ196">
        <v>450</v>
      </c>
      <c r="AR196">
        <v>450999</v>
      </c>
      <c r="AT196">
        <v>1</v>
      </c>
      <c r="AU196" t="s">
        <v>59</v>
      </c>
      <c r="AV196">
        <v>1000</v>
      </c>
      <c r="AW196">
        <v>1186.4000000000001</v>
      </c>
      <c r="AX196">
        <v>1500</v>
      </c>
      <c r="AY196">
        <v>1680.386</v>
      </c>
      <c r="AZ196">
        <v>1992.48</v>
      </c>
      <c r="BA196">
        <v>2399.98</v>
      </c>
      <c r="BB196">
        <v>2739.2040000000002</v>
      </c>
      <c r="BC196">
        <v>3000</v>
      </c>
      <c r="BD196">
        <v>3500</v>
      </c>
      <c r="BE196">
        <v>4000</v>
      </c>
      <c r="BF196">
        <v>4800</v>
      </c>
      <c r="BG196">
        <v>5000</v>
      </c>
      <c r="BH196">
        <v>5024.4139999999998</v>
      </c>
      <c r="BI196">
        <v>5617.9639999999999</v>
      </c>
      <c r="BJ196">
        <v>9836.84</v>
      </c>
      <c r="BK196">
        <v>12377.16</v>
      </c>
      <c r="BL196">
        <v>16956.52800000002</v>
      </c>
      <c r="BM196">
        <v>20247.331999999999</v>
      </c>
      <c r="BN196">
        <v>29364.69400000001</v>
      </c>
      <c r="BO196">
        <v>45000</v>
      </c>
      <c r="BP196">
        <v>1149602.8999999999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 x14ac:dyDescent="0.35">
      <c r="A197">
        <v>337763</v>
      </c>
      <c r="B197" t="s">
        <v>289</v>
      </c>
      <c r="C197" t="s">
        <v>290</v>
      </c>
      <c r="D197" s="1">
        <v>45783</v>
      </c>
      <c r="E197">
        <v>53850</v>
      </c>
      <c r="F197">
        <v>114</v>
      </c>
      <c r="G197" t="s">
        <v>97</v>
      </c>
      <c r="H197" t="s">
        <v>48</v>
      </c>
      <c r="I197" t="s">
        <v>49</v>
      </c>
      <c r="K197" t="s">
        <v>570</v>
      </c>
      <c r="L197">
        <v>1143306281139</v>
      </c>
      <c r="M197">
        <v>20250502</v>
      </c>
      <c r="N197" t="s">
        <v>222</v>
      </c>
      <c r="P197" t="s">
        <v>303</v>
      </c>
      <c r="Q197" t="s">
        <v>50</v>
      </c>
      <c r="R197">
        <v>1000</v>
      </c>
      <c r="S197">
        <v>0</v>
      </c>
      <c r="T197">
        <v>4269365</v>
      </c>
      <c r="U197" t="s">
        <v>571</v>
      </c>
      <c r="V197" t="s">
        <v>572</v>
      </c>
      <c r="W197" t="s">
        <v>51</v>
      </c>
      <c r="Y197" t="s">
        <v>52</v>
      </c>
      <c r="Z197">
        <v>642</v>
      </c>
      <c r="AH197">
        <v>0</v>
      </c>
      <c r="AI197">
        <v>202505</v>
      </c>
      <c r="AJ197" t="s">
        <v>68</v>
      </c>
      <c r="AK197">
        <v>0</v>
      </c>
      <c r="AL197">
        <v>1</v>
      </c>
      <c r="AO197">
        <v>0</v>
      </c>
      <c r="AP197">
        <v>999</v>
      </c>
      <c r="AQ197">
        <v>600</v>
      </c>
      <c r="AR197">
        <v>600999</v>
      </c>
      <c r="AS197" t="s">
        <v>53</v>
      </c>
      <c r="AU197" t="s">
        <v>53</v>
      </c>
      <c r="AV197">
        <v>1000</v>
      </c>
      <c r="AW197">
        <v>1186.4000000000001</v>
      </c>
      <c r="AX197">
        <v>1500</v>
      </c>
      <c r="AY197">
        <v>1680.386</v>
      </c>
      <c r="AZ197">
        <v>1992.48</v>
      </c>
      <c r="BA197">
        <v>2399.98</v>
      </c>
      <c r="BB197">
        <v>2739.2040000000002</v>
      </c>
      <c r="BC197">
        <v>3000</v>
      </c>
      <c r="BD197">
        <v>3500</v>
      </c>
      <c r="BE197">
        <v>4000</v>
      </c>
      <c r="BF197">
        <v>4800</v>
      </c>
      <c r="BG197">
        <v>5000</v>
      </c>
      <c r="BH197">
        <v>5024.4139999999998</v>
      </c>
      <c r="BI197">
        <v>5617.9639999999999</v>
      </c>
      <c r="BJ197">
        <v>9836.84</v>
      </c>
      <c r="BK197">
        <v>12377.16</v>
      </c>
      <c r="BL197">
        <v>16956.52800000002</v>
      </c>
      <c r="BM197">
        <v>20247.331999999999</v>
      </c>
      <c r="BN197">
        <v>29364.69400000001</v>
      </c>
      <c r="BO197">
        <v>45000</v>
      </c>
      <c r="BP197">
        <v>1149602.8999999999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 x14ac:dyDescent="0.35">
      <c r="A198">
        <v>337753</v>
      </c>
      <c r="B198" t="s">
        <v>289</v>
      </c>
      <c r="C198" t="s">
        <v>290</v>
      </c>
      <c r="D198" s="1">
        <v>45780</v>
      </c>
      <c r="E198">
        <v>53850</v>
      </c>
      <c r="F198">
        <v>129</v>
      </c>
      <c r="G198" t="s">
        <v>81</v>
      </c>
      <c r="H198" t="s">
        <v>48</v>
      </c>
      <c r="I198" t="s">
        <v>49</v>
      </c>
      <c r="K198">
        <v>202505027942484</v>
      </c>
      <c r="L198">
        <v>1293300002811</v>
      </c>
      <c r="M198">
        <v>20250502</v>
      </c>
      <c r="N198" t="s">
        <v>222</v>
      </c>
      <c r="P198" t="s">
        <v>291</v>
      </c>
      <c r="Q198" t="s">
        <v>61</v>
      </c>
      <c r="R198">
        <v>20412.22</v>
      </c>
      <c r="S198">
        <v>0</v>
      </c>
      <c r="T198">
        <v>4972184</v>
      </c>
      <c r="U198">
        <v>7780290727</v>
      </c>
      <c r="V198" t="s">
        <v>355</v>
      </c>
      <c r="W198" t="s">
        <v>58</v>
      </c>
      <c r="X198" t="s">
        <v>356</v>
      </c>
      <c r="Y198" t="s">
        <v>52</v>
      </c>
      <c r="Z198">
        <v>1058</v>
      </c>
      <c r="AH198">
        <v>0</v>
      </c>
      <c r="AI198">
        <v>202505</v>
      </c>
      <c r="AJ198" t="s">
        <v>55</v>
      </c>
      <c r="AK198">
        <v>0</v>
      </c>
      <c r="AL198">
        <v>1</v>
      </c>
      <c r="AO198">
        <v>0</v>
      </c>
      <c r="AP198">
        <v>999</v>
      </c>
      <c r="AQ198">
        <v>430</v>
      </c>
      <c r="AR198">
        <v>430999</v>
      </c>
      <c r="AT198">
        <v>1</v>
      </c>
      <c r="AU198" t="s">
        <v>59</v>
      </c>
      <c r="AV198">
        <v>1000</v>
      </c>
      <c r="AW198">
        <v>1186.4000000000001</v>
      </c>
      <c r="AX198">
        <v>1500</v>
      </c>
      <c r="AY198">
        <v>1680.386</v>
      </c>
      <c r="AZ198">
        <v>1992.48</v>
      </c>
      <c r="BA198">
        <v>2399.98</v>
      </c>
      <c r="BB198">
        <v>2739.2040000000002</v>
      </c>
      <c r="BC198">
        <v>3000</v>
      </c>
      <c r="BD198">
        <v>3500</v>
      </c>
      <c r="BE198">
        <v>4000</v>
      </c>
      <c r="BF198">
        <v>4800</v>
      </c>
      <c r="BG198">
        <v>5000</v>
      </c>
      <c r="BH198">
        <v>5024.4139999999998</v>
      </c>
      <c r="BI198">
        <v>5617.9639999999999</v>
      </c>
      <c r="BJ198">
        <v>9836.84</v>
      </c>
      <c r="BK198">
        <v>12377.16</v>
      </c>
      <c r="BL198">
        <v>16956.52800000002</v>
      </c>
      <c r="BM198">
        <v>20247.331999999999</v>
      </c>
      <c r="BN198">
        <v>29364.69400000001</v>
      </c>
      <c r="BO198">
        <v>45000</v>
      </c>
      <c r="BP198">
        <v>1149602.8999999999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0</v>
      </c>
      <c r="CJ198">
        <v>0</v>
      </c>
      <c r="CK198">
        <v>0</v>
      </c>
    </row>
    <row r="199" spans="1:89" x14ac:dyDescent="0.35">
      <c r="A199">
        <v>337737</v>
      </c>
      <c r="B199" t="s">
        <v>289</v>
      </c>
      <c r="C199" t="s">
        <v>290</v>
      </c>
      <c r="D199" s="1">
        <v>45780</v>
      </c>
      <c r="E199">
        <v>53850</v>
      </c>
      <c r="F199">
        <v>164</v>
      </c>
      <c r="G199" t="s">
        <v>94</v>
      </c>
      <c r="H199" t="s">
        <v>48</v>
      </c>
      <c r="I199" t="s">
        <v>49</v>
      </c>
      <c r="K199">
        <v>202505027942312</v>
      </c>
      <c r="L199">
        <v>1643300370610</v>
      </c>
      <c r="M199">
        <v>20250502</v>
      </c>
      <c r="N199" t="s">
        <v>222</v>
      </c>
      <c r="P199" t="s">
        <v>296</v>
      </c>
      <c r="Q199" t="s">
        <v>61</v>
      </c>
      <c r="R199">
        <v>27633.15</v>
      </c>
      <c r="S199">
        <v>0</v>
      </c>
      <c r="T199">
        <v>3700118</v>
      </c>
      <c r="U199">
        <v>4318090711</v>
      </c>
      <c r="V199" t="s">
        <v>573</v>
      </c>
      <c r="W199" t="s">
        <v>58</v>
      </c>
      <c r="X199" t="s">
        <v>470</v>
      </c>
      <c r="Y199" t="s">
        <v>52</v>
      </c>
      <c r="Z199">
        <v>677</v>
      </c>
      <c r="AH199">
        <v>0</v>
      </c>
      <c r="AI199">
        <v>202505</v>
      </c>
      <c r="AJ199" t="s">
        <v>68</v>
      </c>
      <c r="AK199">
        <v>0</v>
      </c>
      <c r="AL199">
        <v>1</v>
      </c>
      <c r="AO199">
        <v>0</v>
      </c>
      <c r="AP199">
        <v>999</v>
      </c>
      <c r="AQ199">
        <v>430</v>
      </c>
      <c r="AR199">
        <v>430999</v>
      </c>
      <c r="AT199">
        <v>1</v>
      </c>
      <c r="AU199" t="s">
        <v>59</v>
      </c>
      <c r="AV199">
        <v>1000</v>
      </c>
      <c r="AW199">
        <v>1186.4000000000001</v>
      </c>
      <c r="AX199">
        <v>1500</v>
      </c>
      <c r="AY199">
        <v>1680.386</v>
      </c>
      <c r="AZ199">
        <v>1992.48</v>
      </c>
      <c r="BA199">
        <v>2399.98</v>
      </c>
      <c r="BB199">
        <v>2739.2040000000002</v>
      </c>
      <c r="BC199">
        <v>3000</v>
      </c>
      <c r="BD199">
        <v>3500</v>
      </c>
      <c r="BE199">
        <v>4000</v>
      </c>
      <c r="BF199">
        <v>4800</v>
      </c>
      <c r="BG199">
        <v>5000</v>
      </c>
      <c r="BH199">
        <v>5024.4139999999998</v>
      </c>
      <c r="BI199">
        <v>5617.9639999999999</v>
      </c>
      <c r="BJ199">
        <v>9836.84</v>
      </c>
      <c r="BK199">
        <v>12377.16</v>
      </c>
      <c r="BL199">
        <v>16956.52800000002</v>
      </c>
      <c r="BM199">
        <v>20247.331999999999</v>
      </c>
      <c r="BN199">
        <v>29364.69400000001</v>
      </c>
      <c r="BO199">
        <v>45000</v>
      </c>
      <c r="BP199">
        <v>1149602.8999999999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0</v>
      </c>
      <c r="CJ199">
        <v>0</v>
      </c>
      <c r="CK199">
        <v>0</v>
      </c>
    </row>
    <row r="200" spans="1:89" x14ac:dyDescent="0.35">
      <c r="A200">
        <v>337729</v>
      </c>
      <c r="B200" t="s">
        <v>289</v>
      </c>
      <c r="C200" t="s">
        <v>290</v>
      </c>
      <c r="D200" s="1">
        <v>45780</v>
      </c>
      <c r="E200">
        <v>53850</v>
      </c>
      <c r="F200">
        <v>105</v>
      </c>
      <c r="G200" t="s">
        <v>47</v>
      </c>
      <c r="H200" t="s">
        <v>48</v>
      </c>
      <c r="I200" t="s">
        <v>49</v>
      </c>
      <c r="K200" t="s">
        <v>574</v>
      </c>
      <c r="L200">
        <v>1053306295089</v>
      </c>
      <c r="M200">
        <v>20250502</v>
      </c>
      <c r="N200" t="s">
        <v>222</v>
      </c>
      <c r="P200" t="s">
        <v>303</v>
      </c>
      <c r="Q200" t="s">
        <v>61</v>
      </c>
      <c r="R200">
        <v>1312.01</v>
      </c>
      <c r="S200">
        <v>0</v>
      </c>
      <c r="T200">
        <v>3716148</v>
      </c>
      <c r="U200">
        <v>6264740728</v>
      </c>
      <c r="V200" t="s">
        <v>485</v>
      </c>
      <c r="W200" t="s">
        <v>58</v>
      </c>
      <c r="X200" t="s">
        <v>320</v>
      </c>
      <c r="Y200" t="s">
        <v>52</v>
      </c>
      <c r="Z200">
        <v>462</v>
      </c>
      <c r="AH200">
        <v>0</v>
      </c>
      <c r="AI200">
        <v>202505</v>
      </c>
      <c r="AJ200" t="s">
        <v>205</v>
      </c>
      <c r="AK200">
        <v>1</v>
      </c>
      <c r="AL200">
        <v>1</v>
      </c>
      <c r="AO200">
        <v>0</v>
      </c>
      <c r="AP200">
        <v>999</v>
      </c>
      <c r="AQ200">
        <v>430</v>
      </c>
      <c r="AR200">
        <v>430999</v>
      </c>
      <c r="AT200">
        <v>1</v>
      </c>
      <c r="AU200" t="s">
        <v>59</v>
      </c>
      <c r="AV200">
        <v>1000</v>
      </c>
      <c r="AW200">
        <v>1186.4000000000001</v>
      </c>
      <c r="AX200">
        <v>1500</v>
      </c>
      <c r="AY200">
        <v>1680.386</v>
      </c>
      <c r="AZ200">
        <v>1992.48</v>
      </c>
      <c r="BA200">
        <v>2399.98</v>
      </c>
      <c r="BB200">
        <v>2739.2040000000002</v>
      </c>
      <c r="BC200">
        <v>3000</v>
      </c>
      <c r="BD200">
        <v>3500</v>
      </c>
      <c r="BE200">
        <v>4000</v>
      </c>
      <c r="BF200">
        <v>4800</v>
      </c>
      <c r="BG200">
        <v>5000</v>
      </c>
      <c r="BH200">
        <v>5024.4139999999998</v>
      </c>
      <c r="BI200">
        <v>5617.9639999999999</v>
      </c>
      <c r="BJ200">
        <v>9836.84</v>
      </c>
      <c r="BK200">
        <v>12377.16</v>
      </c>
      <c r="BL200">
        <v>16956.52800000002</v>
      </c>
      <c r="BM200">
        <v>20247.331999999999</v>
      </c>
      <c r="BN200">
        <v>29364.69400000001</v>
      </c>
      <c r="BO200">
        <v>45000</v>
      </c>
      <c r="BP200">
        <v>1149602.8999999999</v>
      </c>
      <c r="BQ200">
        <v>1</v>
      </c>
      <c r="BR200">
        <v>1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 x14ac:dyDescent="0.35">
      <c r="A201">
        <v>360666</v>
      </c>
      <c r="B201" t="s">
        <v>289</v>
      </c>
      <c r="C201" t="s">
        <v>290</v>
      </c>
      <c r="D201" s="1">
        <v>45839</v>
      </c>
      <c r="E201">
        <v>53850</v>
      </c>
      <c r="F201">
        <v>116</v>
      </c>
      <c r="G201" t="s">
        <v>209</v>
      </c>
      <c r="H201" t="s">
        <v>48</v>
      </c>
      <c r="I201" t="s">
        <v>49</v>
      </c>
      <c r="K201" t="s">
        <v>575</v>
      </c>
      <c r="L201">
        <v>1423300308824</v>
      </c>
      <c r="M201">
        <v>20250630</v>
      </c>
      <c r="N201" t="s">
        <v>222</v>
      </c>
      <c r="P201" t="s">
        <v>576</v>
      </c>
      <c r="Q201" t="s">
        <v>61</v>
      </c>
      <c r="R201">
        <v>2500</v>
      </c>
      <c r="S201">
        <v>0</v>
      </c>
      <c r="T201">
        <v>526336</v>
      </c>
      <c r="U201" t="s">
        <v>577</v>
      </c>
      <c r="V201" t="s">
        <v>578</v>
      </c>
      <c r="W201" t="s">
        <v>51</v>
      </c>
      <c r="Y201" t="s">
        <v>52</v>
      </c>
      <c r="AH201">
        <v>0</v>
      </c>
      <c r="AI201">
        <v>202506</v>
      </c>
      <c r="AJ201" t="s">
        <v>203</v>
      </c>
      <c r="AK201">
        <v>1</v>
      </c>
      <c r="AL201">
        <v>1</v>
      </c>
      <c r="AO201">
        <v>0</v>
      </c>
      <c r="AP201">
        <v>999</v>
      </c>
      <c r="AQ201">
        <v>600</v>
      </c>
      <c r="AR201">
        <v>600999</v>
      </c>
      <c r="AS201" t="s">
        <v>53</v>
      </c>
      <c r="AU201" t="s">
        <v>53</v>
      </c>
      <c r="AV201">
        <v>1000</v>
      </c>
      <c r="AW201">
        <v>1186.4000000000001</v>
      </c>
      <c r="AX201">
        <v>1500</v>
      </c>
      <c r="AY201">
        <v>1680.386</v>
      </c>
      <c r="AZ201">
        <v>1992.48</v>
      </c>
      <c r="BA201">
        <v>2399.98</v>
      </c>
      <c r="BB201">
        <v>2739.2040000000002</v>
      </c>
      <c r="BC201">
        <v>3000</v>
      </c>
      <c r="BD201">
        <v>3500</v>
      </c>
      <c r="BE201">
        <v>4000</v>
      </c>
      <c r="BF201">
        <v>4800</v>
      </c>
      <c r="BG201">
        <v>5000</v>
      </c>
      <c r="BH201">
        <v>5024.4139999999998</v>
      </c>
      <c r="BI201">
        <v>5617.9639999999999</v>
      </c>
      <c r="BJ201">
        <v>9836.84</v>
      </c>
      <c r="BK201">
        <v>12377.16</v>
      </c>
      <c r="BL201">
        <v>16956.52800000002</v>
      </c>
      <c r="BM201">
        <v>20247.331999999999</v>
      </c>
      <c r="BN201">
        <v>29364.69400000001</v>
      </c>
      <c r="BO201">
        <v>45000</v>
      </c>
      <c r="BP201">
        <v>1149602.8999999999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 x14ac:dyDescent="0.35">
      <c r="A202">
        <v>360661</v>
      </c>
      <c r="B202" t="s">
        <v>289</v>
      </c>
      <c r="C202" t="s">
        <v>290</v>
      </c>
      <c r="D202" s="1">
        <v>45839</v>
      </c>
      <c r="E202">
        <v>53850</v>
      </c>
      <c r="F202">
        <v>282</v>
      </c>
      <c r="G202" t="s">
        <v>110</v>
      </c>
      <c r="H202" t="s">
        <v>48</v>
      </c>
      <c r="I202" t="s">
        <v>49</v>
      </c>
      <c r="K202" t="s">
        <v>579</v>
      </c>
      <c r="L202">
        <v>2823300001773</v>
      </c>
      <c r="M202">
        <v>20250630</v>
      </c>
      <c r="N202" t="s">
        <v>222</v>
      </c>
      <c r="P202" t="s">
        <v>136</v>
      </c>
      <c r="Q202" t="s">
        <v>61</v>
      </c>
      <c r="R202">
        <v>3000</v>
      </c>
      <c r="S202">
        <v>0</v>
      </c>
      <c r="T202">
        <v>1669726</v>
      </c>
      <c r="U202" t="s">
        <v>314</v>
      </c>
      <c r="V202" t="s">
        <v>315</v>
      </c>
      <c r="W202" t="s">
        <v>51</v>
      </c>
      <c r="Y202" t="s">
        <v>52</v>
      </c>
      <c r="Z202">
        <v>1802</v>
      </c>
      <c r="AH202">
        <v>0</v>
      </c>
      <c r="AI202">
        <v>202506</v>
      </c>
      <c r="AJ202" t="s">
        <v>203</v>
      </c>
      <c r="AK202">
        <v>1</v>
      </c>
      <c r="AL202">
        <v>1</v>
      </c>
      <c r="AO202">
        <v>0</v>
      </c>
      <c r="AP202">
        <v>999</v>
      </c>
      <c r="AQ202">
        <v>600</v>
      </c>
      <c r="AR202">
        <v>600999</v>
      </c>
      <c r="AS202" t="s">
        <v>53</v>
      </c>
      <c r="AU202" t="s">
        <v>53</v>
      </c>
      <c r="AV202">
        <v>1000</v>
      </c>
      <c r="AW202">
        <v>1186.4000000000001</v>
      </c>
      <c r="AX202">
        <v>1500</v>
      </c>
      <c r="AY202">
        <v>1680.386</v>
      </c>
      <c r="AZ202">
        <v>1992.48</v>
      </c>
      <c r="BA202">
        <v>2399.98</v>
      </c>
      <c r="BB202">
        <v>2739.2040000000002</v>
      </c>
      <c r="BC202">
        <v>3000</v>
      </c>
      <c r="BD202">
        <v>3500</v>
      </c>
      <c r="BE202">
        <v>4000</v>
      </c>
      <c r="BF202">
        <v>4800</v>
      </c>
      <c r="BG202">
        <v>5000</v>
      </c>
      <c r="BH202">
        <v>5024.4139999999998</v>
      </c>
      <c r="BI202">
        <v>5617.9639999999999</v>
      </c>
      <c r="BJ202">
        <v>9836.84</v>
      </c>
      <c r="BK202">
        <v>12377.16</v>
      </c>
      <c r="BL202">
        <v>16956.52800000002</v>
      </c>
      <c r="BM202">
        <v>20247.331999999999</v>
      </c>
      <c r="BN202">
        <v>29364.69400000001</v>
      </c>
      <c r="BO202">
        <v>45000</v>
      </c>
      <c r="BP202">
        <v>1149602.8999999999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 x14ac:dyDescent="0.35">
      <c r="A203">
        <v>360651</v>
      </c>
      <c r="B203" t="s">
        <v>289</v>
      </c>
      <c r="C203" t="s">
        <v>290</v>
      </c>
      <c r="D203" s="1">
        <v>45839</v>
      </c>
      <c r="E203">
        <v>53850</v>
      </c>
      <c r="F203">
        <v>170</v>
      </c>
      <c r="G203" t="s">
        <v>100</v>
      </c>
      <c r="H203" t="s">
        <v>48</v>
      </c>
      <c r="I203" t="s">
        <v>49</v>
      </c>
      <c r="K203">
        <v>202506308138265</v>
      </c>
      <c r="L203">
        <v>1701200589881</v>
      </c>
      <c r="M203">
        <v>20250630</v>
      </c>
      <c r="N203" t="s">
        <v>222</v>
      </c>
      <c r="P203" t="s">
        <v>291</v>
      </c>
      <c r="Q203" t="s">
        <v>50</v>
      </c>
      <c r="R203">
        <v>10441.91</v>
      </c>
      <c r="S203">
        <v>0</v>
      </c>
      <c r="T203">
        <v>589881</v>
      </c>
      <c r="U203">
        <v>2615270721</v>
      </c>
      <c r="V203" t="s">
        <v>580</v>
      </c>
      <c r="W203" t="s">
        <v>58</v>
      </c>
      <c r="X203" t="s">
        <v>581</v>
      </c>
      <c r="Y203" t="s">
        <v>52</v>
      </c>
      <c r="Z203">
        <v>1920</v>
      </c>
      <c r="AH203">
        <v>0</v>
      </c>
      <c r="AI203">
        <v>202506</v>
      </c>
      <c r="AJ203" t="s">
        <v>203</v>
      </c>
      <c r="AK203">
        <v>1</v>
      </c>
      <c r="AL203">
        <v>1</v>
      </c>
      <c r="AO203">
        <v>0</v>
      </c>
      <c r="AP203">
        <v>999</v>
      </c>
      <c r="AQ203">
        <v>430</v>
      </c>
      <c r="AR203">
        <v>430999</v>
      </c>
      <c r="AT203">
        <v>1</v>
      </c>
      <c r="AU203" t="s">
        <v>59</v>
      </c>
      <c r="AV203">
        <v>1000</v>
      </c>
      <c r="AW203">
        <v>1186.4000000000001</v>
      </c>
      <c r="AX203">
        <v>1500</v>
      </c>
      <c r="AY203">
        <v>1680.386</v>
      </c>
      <c r="AZ203">
        <v>1992.48</v>
      </c>
      <c r="BA203">
        <v>2399.98</v>
      </c>
      <c r="BB203">
        <v>2739.2040000000002</v>
      </c>
      <c r="BC203">
        <v>3000</v>
      </c>
      <c r="BD203">
        <v>3500</v>
      </c>
      <c r="BE203">
        <v>4000</v>
      </c>
      <c r="BF203">
        <v>4800</v>
      </c>
      <c r="BG203">
        <v>5000</v>
      </c>
      <c r="BH203">
        <v>5024.4139999999998</v>
      </c>
      <c r="BI203">
        <v>5617.9639999999999</v>
      </c>
      <c r="BJ203">
        <v>9836.84</v>
      </c>
      <c r="BK203">
        <v>12377.16</v>
      </c>
      <c r="BL203">
        <v>16956.52800000002</v>
      </c>
      <c r="BM203">
        <v>20247.331999999999</v>
      </c>
      <c r="BN203">
        <v>29364.69400000001</v>
      </c>
      <c r="BO203">
        <v>45000</v>
      </c>
      <c r="BP203">
        <v>1149602.8999999999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 x14ac:dyDescent="0.35">
      <c r="A204">
        <v>360641</v>
      </c>
      <c r="B204" t="s">
        <v>289</v>
      </c>
      <c r="C204" t="s">
        <v>290</v>
      </c>
      <c r="D204" s="1">
        <v>45839</v>
      </c>
      <c r="E204">
        <v>53850</v>
      </c>
      <c r="F204">
        <v>261</v>
      </c>
      <c r="G204" t="s">
        <v>96</v>
      </c>
      <c r="H204" t="s">
        <v>48</v>
      </c>
      <c r="I204" t="s">
        <v>49</v>
      </c>
      <c r="K204">
        <v>202506308136404</v>
      </c>
      <c r="L204">
        <v>2613300010205</v>
      </c>
      <c r="M204">
        <v>20250630</v>
      </c>
      <c r="N204" t="s">
        <v>222</v>
      </c>
      <c r="P204" t="s">
        <v>303</v>
      </c>
      <c r="Q204" t="s">
        <v>50</v>
      </c>
      <c r="R204">
        <v>20000</v>
      </c>
      <c r="S204">
        <v>0</v>
      </c>
      <c r="T204">
        <v>4991786</v>
      </c>
      <c r="U204">
        <v>993400944</v>
      </c>
      <c r="V204" t="s">
        <v>698</v>
      </c>
      <c r="W204" t="s">
        <v>58</v>
      </c>
      <c r="X204" t="s">
        <v>470</v>
      </c>
      <c r="Y204" t="s">
        <v>52</v>
      </c>
      <c r="Z204">
        <v>1782</v>
      </c>
      <c r="AH204">
        <v>0</v>
      </c>
      <c r="AI204">
        <v>202506</v>
      </c>
      <c r="AJ204" t="s">
        <v>68</v>
      </c>
      <c r="AK204">
        <v>0</v>
      </c>
      <c r="AL204">
        <v>1</v>
      </c>
      <c r="AM204">
        <v>4991786</v>
      </c>
      <c r="AN204">
        <v>1</v>
      </c>
      <c r="AO204">
        <v>0</v>
      </c>
      <c r="AP204">
        <v>999</v>
      </c>
      <c r="AQ204">
        <v>430</v>
      </c>
      <c r="AR204">
        <v>430999</v>
      </c>
      <c r="AT204">
        <v>1</v>
      </c>
      <c r="AU204" t="s">
        <v>59</v>
      </c>
      <c r="AV204">
        <v>1000</v>
      </c>
      <c r="AW204">
        <v>1186.4000000000001</v>
      </c>
      <c r="AX204">
        <v>1500</v>
      </c>
      <c r="AY204">
        <v>1680.386</v>
      </c>
      <c r="AZ204">
        <v>1992.48</v>
      </c>
      <c r="BA204">
        <v>2399.98</v>
      </c>
      <c r="BB204">
        <v>2739.2040000000002</v>
      </c>
      <c r="BC204">
        <v>3000</v>
      </c>
      <c r="BD204">
        <v>3500</v>
      </c>
      <c r="BE204">
        <v>4000</v>
      </c>
      <c r="BF204">
        <v>4800</v>
      </c>
      <c r="BG204">
        <v>5000</v>
      </c>
      <c r="BH204">
        <v>5024.4139999999998</v>
      </c>
      <c r="BI204">
        <v>5617.9639999999999</v>
      </c>
      <c r="BJ204">
        <v>9836.84</v>
      </c>
      <c r="BK204">
        <v>12377.16</v>
      </c>
      <c r="BL204">
        <v>16956.52800000002</v>
      </c>
      <c r="BM204">
        <v>20247.331999999999</v>
      </c>
      <c r="BN204">
        <v>29364.69400000001</v>
      </c>
      <c r="BO204">
        <v>45000</v>
      </c>
      <c r="BP204">
        <v>1149602.8999999999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0</v>
      </c>
      <c r="CI204">
        <v>0</v>
      </c>
      <c r="CJ204">
        <v>0</v>
      </c>
      <c r="CK204">
        <v>0</v>
      </c>
    </row>
    <row r="205" spans="1:89" x14ac:dyDescent="0.35">
      <c r="A205">
        <v>360621</v>
      </c>
      <c r="B205" t="s">
        <v>289</v>
      </c>
      <c r="C205" t="s">
        <v>290</v>
      </c>
      <c r="D205" s="1">
        <v>45839</v>
      </c>
      <c r="E205">
        <v>53850</v>
      </c>
      <c r="F205">
        <v>261</v>
      </c>
      <c r="G205" t="s">
        <v>96</v>
      </c>
      <c r="H205" t="s">
        <v>48</v>
      </c>
      <c r="I205" t="s">
        <v>49</v>
      </c>
      <c r="K205" t="s">
        <v>701</v>
      </c>
      <c r="L205">
        <v>2613300010205</v>
      </c>
      <c r="M205">
        <v>20250630</v>
      </c>
      <c r="N205" t="s">
        <v>222</v>
      </c>
      <c r="P205" t="s">
        <v>303</v>
      </c>
      <c r="Q205" t="s">
        <v>50</v>
      </c>
      <c r="R205">
        <v>2069.75</v>
      </c>
      <c r="S205">
        <v>0</v>
      </c>
      <c r="T205">
        <v>4991786</v>
      </c>
      <c r="U205">
        <v>993400944</v>
      </c>
      <c r="V205" t="s">
        <v>698</v>
      </c>
      <c r="W205" t="s">
        <v>58</v>
      </c>
      <c r="X205" t="s">
        <v>470</v>
      </c>
      <c r="Y205" t="s">
        <v>52</v>
      </c>
      <c r="Z205">
        <v>1782</v>
      </c>
      <c r="AH205">
        <v>0</v>
      </c>
      <c r="AI205">
        <v>202506</v>
      </c>
      <c r="AJ205" t="s">
        <v>68</v>
      </c>
      <c r="AK205">
        <v>0</v>
      </c>
      <c r="AL205">
        <v>1</v>
      </c>
      <c r="AM205">
        <v>4991786</v>
      </c>
      <c r="AN205">
        <v>1</v>
      </c>
      <c r="AO205">
        <v>0</v>
      </c>
      <c r="AP205">
        <v>999</v>
      </c>
      <c r="AQ205">
        <v>430</v>
      </c>
      <c r="AR205">
        <v>430999</v>
      </c>
      <c r="AT205">
        <v>1</v>
      </c>
      <c r="AU205" t="s">
        <v>59</v>
      </c>
      <c r="AV205">
        <v>1000</v>
      </c>
      <c r="AW205">
        <v>1186.4000000000001</v>
      </c>
      <c r="AX205">
        <v>1500</v>
      </c>
      <c r="AY205">
        <v>1680.386</v>
      </c>
      <c r="AZ205">
        <v>1992.48</v>
      </c>
      <c r="BA205">
        <v>2399.98</v>
      </c>
      <c r="BB205">
        <v>2739.2040000000002</v>
      </c>
      <c r="BC205">
        <v>3000</v>
      </c>
      <c r="BD205">
        <v>3500</v>
      </c>
      <c r="BE205">
        <v>4000</v>
      </c>
      <c r="BF205">
        <v>4800</v>
      </c>
      <c r="BG205">
        <v>5000</v>
      </c>
      <c r="BH205">
        <v>5024.4139999999998</v>
      </c>
      <c r="BI205">
        <v>5617.9639999999999</v>
      </c>
      <c r="BJ205">
        <v>9836.84</v>
      </c>
      <c r="BK205">
        <v>12377.16</v>
      </c>
      <c r="BL205">
        <v>16956.52800000002</v>
      </c>
      <c r="BM205">
        <v>20247.331999999999</v>
      </c>
      <c r="BN205">
        <v>29364.69400000001</v>
      </c>
      <c r="BO205">
        <v>45000</v>
      </c>
      <c r="BP205">
        <v>1149602.8999999999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 x14ac:dyDescent="0.35">
      <c r="A206">
        <v>360620</v>
      </c>
      <c r="B206" t="s">
        <v>289</v>
      </c>
      <c r="C206" t="s">
        <v>290</v>
      </c>
      <c r="D206" s="1">
        <v>45839</v>
      </c>
      <c r="E206">
        <v>53850</v>
      </c>
      <c r="F206">
        <v>270</v>
      </c>
      <c r="G206" t="s">
        <v>92</v>
      </c>
      <c r="H206" t="s">
        <v>48</v>
      </c>
      <c r="I206" t="s">
        <v>49</v>
      </c>
      <c r="K206">
        <v>202506308138274</v>
      </c>
      <c r="L206">
        <v>2703300010883</v>
      </c>
      <c r="M206">
        <v>20250630</v>
      </c>
      <c r="N206" t="s">
        <v>222</v>
      </c>
      <c r="P206" t="s">
        <v>300</v>
      </c>
      <c r="Q206" t="s">
        <v>61</v>
      </c>
      <c r="R206">
        <v>14490.42</v>
      </c>
      <c r="S206">
        <v>0</v>
      </c>
      <c r="T206">
        <v>3741718</v>
      </c>
      <c r="U206">
        <v>2347470680</v>
      </c>
      <c r="V206" t="s">
        <v>339</v>
      </c>
      <c r="W206" t="s">
        <v>58</v>
      </c>
      <c r="X206" t="s">
        <v>220</v>
      </c>
      <c r="Y206" t="s">
        <v>52</v>
      </c>
      <c r="Z206">
        <v>1560</v>
      </c>
      <c r="AH206">
        <v>0</v>
      </c>
      <c r="AI206">
        <v>202506</v>
      </c>
      <c r="AJ206" t="s">
        <v>55</v>
      </c>
      <c r="AK206">
        <v>0</v>
      </c>
      <c r="AL206">
        <v>1</v>
      </c>
      <c r="AO206">
        <v>0</v>
      </c>
      <c r="AP206">
        <v>999</v>
      </c>
      <c r="AQ206">
        <v>430</v>
      </c>
      <c r="AR206">
        <v>430999</v>
      </c>
      <c r="AT206">
        <v>1</v>
      </c>
      <c r="AU206" t="s">
        <v>59</v>
      </c>
      <c r="AV206">
        <v>1000</v>
      </c>
      <c r="AW206">
        <v>1186.4000000000001</v>
      </c>
      <c r="AX206">
        <v>1500</v>
      </c>
      <c r="AY206">
        <v>1680.386</v>
      </c>
      <c r="AZ206">
        <v>1992.48</v>
      </c>
      <c r="BA206">
        <v>2399.98</v>
      </c>
      <c r="BB206">
        <v>2739.2040000000002</v>
      </c>
      <c r="BC206">
        <v>3000</v>
      </c>
      <c r="BD206">
        <v>3500</v>
      </c>
      <c r="BE206">
        <v>4000</v>
      </c>
      <c r="BF206">
        <v>4800</v>
      </c>
      <c r="BG206">
        <v>5000</v>
      </c>
      <c r="BH206">
        <v>5024.4139999999998</v>
      </c>
      <c r="BI206">
        <v>5617.9639999999999</v>
      </c>
      <c r="BJ206">
        <v>9836.84</v>
      </c>
      <c r="BK206">
        <v>12377.16</v>
      </c>
      <c r="BL206">
        <v>16956.52800000002</v>
      </c>
      <c r="BM206">
        <v>20247.331999999999</v>
      </c>
      <c r="BN206">
        <v>29364.69400000001</v>
      </c>
      <c r="BO206">
        <v>45000</v>
      </c>
      <c r="BP206">
        <v>1149602.8999999999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 x14ac:dyDescent="0.35">
      <c r="A207">
        <v>360619</v>
      </c>
      <c r="B207" t="s">
        <v>289</v>
      </c>
      <c r="C207" t="s">
        <v>290</v>
      </c>
      <c r="D207" s="1">
        <v>45839</v>
      </c>
      <c r="E207">
        <v>53850</v>
      </c>
      <c r="F207">
        <v>129</v>
      </c>
      <c r="G207" t="s">
        <v>81</v>
      </c>
      <c r="H207" t="s">
        <v>48</v>
      </c>
      <c r="I207" t="s">
        <v>49</v>
      </c>
      <c r="K207">
        <v>202506308136591</v>
      </c>
      <c r="L207">
        <v>1293300002811</v>
      </c>
      <c r="M207">
        <v>20250630</v>
      </c>
      <c r="N207" t="s">
        <v>222</v>
      </c>
      <c r="P207" t="s">
        <v>291</v>
      </c>
      <c r="Q207" t="s">
        <v>61</v>
      </c>
      <c r="R207">
        <v>9234.65</v>
      </c>
      <c r="S207">
        <v>0</v>
      </c>
      <c r="T207">
        <v>4972184</v>
      </c>
      <c r="U207">
        <v>7780290727</v>
      </c>
      <c r="V207" t="s">
        <v>355</v>
      </c>
      <c r="W207" t="s">
        <v>58</v>
      </c>
      <c r="X207" t="s">
        <v>356</v>
      </c>
      <c r="Y207" t="s">
        <v>52</v>
      </c>
      <c r="Z207">
        <v>1058</v>
      </c>
      <c r="AH207">
        <v>0</v>
      </c>
      <c r="AI207">
        <v>202506</v>
      </c>
      <c r="AJ207" t="s">
        <v>203</v>
      </c>
      <c r="AK207">
        <v>1</v>
      </c>
      <c r="AL207">
        <v>1</v>
      </c>
      <c r="AO207">
        <v>0</v>
      </c>
      <c r="AP207">
        <v>999</v>
      </c>
      <c r="AQ207">
        <v>430</v>
      </c>
      <c r="AR207">
        <v>430999</v>
      </c>
      <c r="AT207">
        <v>1</v>
      </c>
      <c r="AU207" t="s">
        <v>59</v>
      </c>
      <c r="AV207">
        <v>1000</v>
      </c>
      <c r="AW207">
        <v>1186.4000000000001</v>
      </c>
      <c r="AX207">
        <v>1500</v>
      </c>
      <c r="AY207">
        <v>1680.386</v>
      </c>
      <c r="AZ207">
        <v>1992.48</v>
      </c>
      <c r="BA207">
        <v>2399.98</v>
      </c>
      <c r="BB207">
        <v>2739.2040000000002</v>
      </c>
      <c r="BC207">
        <v>3000</v>
      </c>
      <c r="BD207">
        <v>3500</v>
      </c>
      <c r="BE207">
        <v>4000</v>
      </c>
      <c r="BF207">
        <v>4800</v>
      </c>
      <c r="BG207">
        <v>5000</v>
      </c>
      <c r="BH207">
        <v>5024.4139999999998</v>
      </c>
      <c r="BI207">
        <v>5617.9639999999999</v>
      </c>
      <c r="BJ207">
        <v>9836.84</v>
      </c>
      <c r="BK207">
        <v>12377.16</v>
      </c>
      <c r="BL207">
        <v>16956.52800000002</v>
      </c>
      <c r="BM207">
        <v>20247.331999999999</v>
      </c>
      <c r="BN207">
        <v>29364.69400000001</v>
      </c>
      <c r="BO207">
        <v>45000</v>
      </c>
      <c r="BP207">
        <v>1149602.8999999999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 x14ac:dyDescent="0.35">
      <c r="A208">
        <v>360611</v>
      </c>
      <c r="B208" t="s">
        <v>289</v>
      </c>
      <c r="C208" t="s">
        <v>290</v>
      </c>
      <c r="D208" s="1">
        <v>45839</v>
      </c>
      <c r="E208">
        <v>53850</v>
      </c>
      <c r="F208">
        <v>282</v>
      </c>
      <c r="G208" t="s">
        <v>110</v>
      </c>
      <c r="H208" t="s">
        <v>48</v>
      </c>
      <c r="I208" t="s">
        <v>49</v>
      </c>
      <c r="K208" t="s">
        <v>582</v>
      </c>
      <c r="L208">
        <v>2823300001773</v>
      </c>
      <c r="M208">
        <v>20250630</v>
      </c>
      <c r="N208" t="s">
        <v>222</v>
      </c>
      <c r="P208" t="s">
        <v>136</v>
      </c>
      <c r="Q208" t="s">
        <v>61</v>
      </c>
      <c r="R208">
        <v>3000</v>
      </c>
      <c r="S208">
        <v>0</v>
      </c>
      <c r="T208">
        <v>1669726</v>
      </c>
      <c r="U208" t="s">
        <v>314</v>
      </c>
      <c r="V208" t="s">
        <v>315</v>
      </c>
      <c r="W208" t="s">
        <v>51</v>
      </c>
      <c r="Y208" t="s">
        <v>52</v>
      </c>
      <c r="Z208">
        <v>1802</v>
      </c>
      <c r="AH208">
        <v>0</v>
      </c>
      <c r="AI208">
        <v>202506</v>
      </c>
      <c r="AJ208" t="s">
        <v>203</v>
      </c>
      <c r="AK208">
        <v>1</v>
      </c>
      <c r="AL208">
        <v>1</v>
      </c>
      <c r="AO208">
        <v>0</v>
      </c>
      <c r="AP208">
        <v>999</v>
      </c>
      <c r="AQ208">
        <v>600</v>
      </c>
      <c r="AR208">
        <v>600999</v>
      </c>
      <c r="AS208" t="s">
        <v>53</v>
      </c>
      <c r="AU208" t="s">
        <v>53</v>
      </c>
      <c r="AV208">
        <v>1000</v>
      </c>
      <c r="AW208">
        <v>1186.4000000000001</v>
      </c>
      <c r="AX208">
        <v>1500</v>
      </c>
      <c r="AY208">
        <v>1680.386</v>
      </c>
      <c r="AZ208">
        <v>1992.48</v>
      </c>
      <c r="BA208">
        <v>2399.98</v>
      </c>
      <c r="BB208">
        <v>2739.2040000000002</v>
      </c>
      <c r="BC208">
        <v>3000</v>
      </c>
      <c r="BD208">
        <v>3500</v>
      </c>
      <c r="BE208">
        <v>4000</v>
      </c>
      <c r="BF208">
        <v>4800</v>
      </c>
      <c r="BG208">
        <v>5000</v>
      </c>
      <c r="BH208">
        <v>5024.4139999999998</v>
      </c>
      <c r="BI208">
        <v>5617.9639999999999</v>
      </c>
      <c r="BJ208">
        <v>9836.84</v>
      </c>
      <c r="BK208">
        <v>12377.16</v>
      </c>
      <c r="BL208">
        <v>16956.52800000002</v>
      </c>
      <c r="BM208">
        <v>20247.331999999999</v>
      </c>
      <c r="BN208">
        <v>29364.69400000001</v>
      </c>
      <c r="BO208">
        <v>45000</v>
      </c>
      <c r="BP208">
        <v>1149602.8999999999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 x14ac:dyDescent="0.35">
      <c r="A209">
        <v>360605</v>
      </c>
      <c r="B209" t="s">
        <v>289</v>
      </c>
      <c r="C209" t="s">
        <v>290</v>
      </c>
      <c r="D209" s="1">
        <v>45839</v>
      </c>
      <c r="E209">
        <v>53850</v>
      </c>
      <c r="F209">
        <v>170</v>
      </c>
      <c r="G209" t="s">
        <v>100</v>
      </c>
      <c r="H209" t="s">
        <v>48</v>
      </c>
      <c r="I209" t="s">
        <v>49</v>
      </c>
      <c r="K209">
        <v>202506308138263</v>
      </c>
      <c r="L209">
        <v>1701200589881</v>
      </c>
      <c r="M209">
        <v>20250630</v>
      </c>
      <c r="N209" t="s">
        <v>222</v>
      </c>
      <c r="P209" t="s">
        <v>291</v>
      </c>
      <c r="Q209" t="s">
        <v>50</v>
      </c>
      <c r="R209">
        <v>27167</v>
      </c>
      <c r="S209">
        <v>0</v>
      </c>
      <c r="T209">
        <v>589881</v>
      </c>
      <c r="U209">
        <v>2615270721</v>
      </c>
      <c r="V209" t="s">
        <v>580</v>
      </c>
      <c r="W209" t="s">
        <v>58</v>
      </c>
      <c r="X209" t="s">
        <v>581</v>
      </c>
      <c r="Y209" t="s">
        <v>52</v>
      </c>
      <c r="Z209">
        <v>1920</v>
      </c>
      <c r="AH209">
        <v>0</v>
      </c>
      <c r="AI209">
        <v>202506</v>
      </c>
      <c r="AJ209" t="s">
        <v>203</v>
      </c>
      <c r="AK209">
        <v>1</v>
      </c>
      <c r="AL209">
        <v>1</v>
      </c>
      <c r="AO209">
        <v>0</v>
      </c>
      <c r="AP209">
        <v>999</v>
      </c>
      <c r="AQ209">
        <v>430</v>
      </c>
      <c r="AR209">
        <v>430999</v>
      </c>
      <c r="AT209">
        <v>1</v>
      </c>
      <c r="AU209" t="s">
        <v>59</v>
      </c>
      <c r="AV209">
        <v>1000</v>
      </c>
      <c r="AW209">
        <v>1186.4000000000001</v>
      </c>
      <c r="AX209">
        <v>1500</v>
      </c>
      <c r="AY209">
        <v>1680.386</v>
      </c>
      <c r="AZ209">
        <v>1992.48</v>
      </c>
      <c r="BA209">
        <v>2399.98</v>
      </c>
      <c r="BB209">
        <v>2739.2040000000002</v>
      </c>
      <c r="BC209">
        <v>3000</v>
      </c>
      <c r="BD209">
        <v>3500</v>
      </c>
      <c r="BE209">
        <v>4000</v>
      </c>
      <c r="BF209">
        <v>4800</v>
      </c>
      <c r="BG209">
        <v>5000</v>
      </c>
      <c r="BH209">
        <v>5024.4139999999998</v>
      </c>
      <c r="BI209">
        <v>5617.9639999999999</v>
      </c>
      <c r="BJ209">
        <v>9836.84</v>
      </c>
      <c r="BK209">
        <v>12377.16</v>
      </c>
      <c r="BL209">
        <v>16956.52800000002</v>
      </c>
      <c r="BM209">
        <v>20247.331999999999</v>
      </c>
      <c r="BN209">
        <v>29364.69400000001</v>
      </c>
      <c r="BO209">
        <v>45000</v>
      </c>
      <c r="BP209">
        <v>1149602.8999999999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0</v>
      </c>
      <c r="CJ209">
        <v>0</v>
      </c>
      <c r="CK209">
        <v>0</v>
      </c>
    </row>
    <row r="210" spans="1:89" x14ac:dyDescent="0.35">
      <c r="A210">
        <v>360595</v>
      </c>
      <c r="B210" t="s">
        <v>289</v>
      </c>
      <c r="C210" t="s">
        <v>290</v>
      </c>
      <c r="D210" s="1">
        <v>45839</v>
      </c>
      <c r="E210">
        <v>53850</v>
      </c>
      <c r="F210">
        <v>149</v>
      </c>
      <c r="G210" t="s">
        <v>107</v>
      </c>
      <c r="H210" t="s">
        <v>48</v>
      </c>
      <c r="I210" t="s">
        <v>49</v>
      </c>
      <c r="K210" t="s">
        <v>583</v>
      </c>
      <c r="L210">
        <v>1493300663564</v>
      </c>
      <c r="M210">
        <v>20250630</v>
      </c>
      <c r="N210" t="s">
        <v>222</v>
      </c>
      <c r="P210" t="s">
        <v>303</v>
      </c>
      <c r="Q210" t="s">
        <v>61</v>
      </c>
      <c r="R210">
        <v>1920</v>
      </c>
      <c r="S210">
        <v>0</v>
      </c>
      <c r="T210">
        <v>4851736</v>
      </c>
      <c r="U210">
        <v>8243781211</v>
      </c>
      <c r="V210" t="s">
        <v>447</v>
      </c>
      <c r="W210" t="s">
        <v>58</v>
      </c>
      <c r="X210" t="s">
        <v>137</v>
      </c>
      <c r="Y210" t="s">
        <v>52</v>
      </c>
      <c r="Z210">
        <v>1256</v>
      </c>
      <c r="AH210">
        <v>0</v>
      </c>
      <c r="AI210">
        <v>202506</v>
      </c>
      <c r="AJ210" t="s">
        <v>203</v>
      </c>
      <c r="AK210">
        <v>1</v>
      </c>
      <c r="AL210">
        <v>1</v>
      </c>
      <c r="AO210">
        <v>0</v>
      </c>
      <c r="AP210">
        <v>999</v>
      </c>
      <c r="AQ210">
        <v>430</v>
      </c>
      <c r="AR210">
        <v>430999</v>
      </c>
      <c r="AT210">
        <v>1</v>
      </c>
      <c r="AU210" t="s">
        <v>59</v>
      </c>
      <c r="AV210">
        <v>1000</v>
      </c>
      <c r="AW210">
        <v>1186.4000000000001</v>
      </c>
      <c r="AX210">
        <v>1500</v>
      </c>
      <c r="AY210">
        <v>1680.386</v>
      </c>
      <c r="AZ210">
        <v>1992.48</v>
      </c>
      <c r="BA210">
        <v>2399.98</v>
      </c>
      <c r="BB210">
        <v>2739.2040000000002</v>
      </c>
      <c r="BC210">
        <v>3000</v>
      </c>
      <c r="BD210">
        <v>3500</v>
      </c>
      <c r="BE210">
        <v>4000</v>
      </c>
      <c r="BF210">
        <v>4800</v>
      </c>
      <c r="BG210">
        <v>5000</v>
      </c>
      <c r="BH210">
        <v>5024.4139999999998</v>
      </c>
      <c r="BI210">
        <v>5617.9639999999999</v>
      </c>
      <c r="BJ210">
        <v>9836.84</v>
      </c>
      <c r="BK210">
        <v>12377.16</v>
      </c>
      <c r="BL210">
        <v>16956.52800000002</v>
      </c>
      <c r="BM210">
        <v>20247.331999999999</v>
      </c>
      <c r="BN210">
        <v>29364.69400000001</v>
      </c>
      <c r="BO210">
        <v>45000</v>
      </c>
      <c r="BP210">
        <v>1149602.8999999999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 x14ac:dyDescent="0.35">
      <c r="A211">
        <v>360585</v>
      </c>
      <c r="B211" t="s">
        <v>289</v>
      </c>
      <c r="C211" t="s">
        <v>290</v>
      </c>
      <c r="D211" s="1">
        <v>45836</v>
      </c>
      <c r="E211">
        <v>53850</v>
      </c>
      <c r="F211">
        <v>137</v>
      </c>
      <c r="G211" t="s">
        <v>83</v>
      </c>
      <c r="H211" t="s">
        <v>48</v>
      </c>
      <c r="I211" t="s">
        <v>49</v>
      </c>
      <c r="K211">
        <v>202506278128569</v>
      </c>
      <c r="L211">
        <v>1373300005994</v>
      </c>
      <c r="M211">
        <v>20250627</v>
      </c>
      <c r="N211" t="s">
        <v>222</v>
      </c>
      <c r="P211" t="s">
        <v>291</v>
      </c>
      <c r="Q211" t="s">
        <v>50</v>
      </c>
      <c r="R211">
        <v>47690.76</v>
      </c>
      <c r="S211">
        <v>0</v>
      </c>
      <c r="T211">
        <v>3734872</v>
      </c>
      <c r="U211">
        <v>1896670708</v>
      </c>
      <c r="V211" t="s">
        <v>292</v>
      </c>
      <c r="W211" t="s">
        <v>58</v>
      </c>
      <c r="X211" t="s">
        <v>293</v>
      </c>
      <c r="Y211" t="s">
        <v>52</v>
      </c>
      <c r="Z211">
        <v>1867</v>
      </c>
      <c r="AH211">
        <v>0</v>
      </c>
      <c r="AI211">
        <v>202506</v>
      </c>
      <c r="AJ211" t="s">
        <v>203</v>
      </c>
      <c r="AK211">
        <v>1</v>
      </c>
      <c r="AL211">
        <v>1</v>
      </c>
      <c r="AM211">
        <v>3734872</v>
      </c>
      <c r="AN211">
        <v>1</v>
      </c>
      <c r="AO211">
        <v>0</v>
      </c>
      <c r="AP211">
        <v>999</v>
      </c>
      <c r="AQ211">
        <v>430</v>
      </c>
      <c r="AR211">
        <v>430999</v>
      </c>
      <c r="AT211">
        <v>1</v>
      </c>
      <c r="AU211" t="s">
        <v>59</v>
      </c>
      <c r="AV211">
        <v>1000</v>
      </c>
      <c r="AW211">
        <v>1186.4000000000001</v>
      </c>
      <c r="AX211">
        <v>1500</v>
      </c>
      <c r="AY211">
        <v>1680.386</v>
      </c>
      <c r="AZ211">
        <v>1992.48</v>
      </c>
      <c r="BA211">
        <v>2399.98</v>
      </c>
      <c r="BB211">
        <v>2739.2040000000002</v>
      </c>
      <c r="BC211">
        <v>3000</v>
      </c>
      <c r="BD211">
        <v>3500</v>
      </c>
      <c r="BE211">
        <v>4000</v>
      </c>
      <c r="BF211">
        <v>4800</v>
      </c>
      <c r="BG211">
        <v>5000</v>
      </c>
      <c r="BH211">
        <v>5024.4139999999998</v>
      </c>
      <c r="BI211">
        <v>5617.9639999999999</v>
      </c>
      <c r="BJ211">
        <v>9836.84</v>
      </c>
      <c r="BK211">
        <v>12377.16</v>
      </c>
      <c r="BL211">
        <v>16956.52800000002</v>
      </c>
      <c r="BM211">
        <v>20247.331999999999</v>
      </c>
      <c r="BN211">
        <v>29364.69400000001</v>
      </c>
      <c r="BO211">
        <v>45000</v>
      </c>
      <c r="BP211">
        <v>1149602.8999999999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0</v>
      </c>
    </row>
    <row r="212" spans="1:89" x14ac:dyDescent="0.35">
      <c r="A212">
        <v>360569</v>
      </c>
      <c r="B212" t="s">
        <v>289</v>
      </c>
      <c r="C212" t="s">
        <v>290</v>
      </c>
      <c r="D212" s="1">
        <v>45836</v>
      </c>
      <c r="E212">
        <v>53850</v>
      </c>
      <c r="F212">
        <v>129</v>
      </c>
      <c r="G212" t="s">
        <v>81</v>
      </c>
      <c r="H212" t="s">
        <v>48</v>
      </c>
      <c r="I212" t="s">
        <v>49</v>
      </c>
      <c r="K212">
        <v>202506278129838</v>
      </c>
      <c r="L212">
        <v>1293300002811</v>
      </c>
      <c r="M212">
        <v>20250627</v>
      </c>
      <c r="N212" t="s">
        <v>222</v>
      </c>
      <c r="P212" t="s">
        <v>291</v>
      </c>
      <c r="Q212" t="s">
        <v>61</v>
      </c>
      <c r="R212">
        <v>5066.41</v>
      </c>
      <c r="S212">
        <v>0</v>
      </c>
      <c r="T212">
        <v>4972184</v>
      </c>
      <c r="U212">
        <v>7780290727</v>
      </c>
      <c r="V212" t="s">
        <v>355</v>
      </c>
      <c r="W212" t="s">
        <v>58</v>
      </c>
      <c r="X212" t="s">
        <v>356</v>
      </c>
      <c r="Y212" t="s">
        <v>52</v>
      </c>
      <c r="Z212">
        <v>1058</v>
      </c>
      <c r="AH212">
        <v>0</v>
      </c>
      <c r="AI212">
        <v>202506</v>
      </c>
      <c r="AJ212" t="s">
        <v>203</v>
      </c>
      <c r="AK212">
        <v>1</v>
      </c>
      <c r="AL212">
        <v>1</v>
      </c>
      <c r="AO212">
        <v>0</v>
      </c>
      <c r="AP212">
        <v>999</v>
      </c>
      <c r="AQ212">
        <v>430</v>
      </c>
      <c r="AR212">
        <v>430999</v>
      </c>
      <c r="AT212">
        <v>1</v>
      </c>
      <c r="AU212" t="s">
        <v>59</v>
      </c>
      <c r="AV212">
        <v>1000</v>
      </c>
      <c r="AW212">
        <v>1186.4000000000001</v>
      </c>
      <c r="AX212">
        <v>1500</v>
      </c>
      <c r="AY212">
        <v>1680.386</v>
      </c>
      <c r="AZ212">
        <v>1992.48</v>
      </c>
      <c r="BA212">
        <v>2399.98</v>
      </c>
      <c r="BB212">
        <v>2739.2040000000002</v>
      </c>
      <c r="BC212">
        <v>3000</v>
      </c>
      <c r="BD212">
        <v>3500</v>
      </c>
      <c r="BE212">
        <v>4000</v>
      </c>
      <c r="BF212">
        <v>4800</v>
      </c>
      <c r="BG212">
        <v>5000</v>
      </c>
      <c r="BH212">
        <v>5024.4139999999998</v>
      </c>
      <c r="BI212">
        <v>5617.9639999999999</v>
      </c>
      <c r="BJ212">
        <v>9836.84</v>
      </c>
      <c r="BK212">
        <v>12377.16</v>
      </c>
      <c r="BL212">
        <v>16956.52800000002</v>
      </c>
      <c r="BM212">
        <v>20247.331999999999</v>
      </c>
      <c r="BN212">
        <v>29364.69400000001</v>
      </c>
      <c r="BO212">
        <v>45000</v>
      </c>
      <c r="BP212">
        <v>1149602.8999999999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 x14ac:dyDescent="0.35">
      <c r="A213">
        <v>360561</v>
      </c>
      <c r="B213" t="s">
        <v>289</v>
      </c>
      <c r="C213" t="s">
        <v>290</v>
      </c>
      <c r="D213" s="1">
        <v>45836</v>
      </c>
      <c r="E213">
        <v>53850</v>
      </c>
      <c r="F213">
        <v>131</v>
      </c>
      <c r="G213" t="s">
        <v>207</v>
      </c>
      <c r="H213" t="s">
        <v>48</v>
      </c>
      <c r="I213" t="s">
        <v>49</v>
      </c>
      <c r="K213">
        <v>202506278130293</v>
      </c>
      <c r="L213">
        <v>1313300003506</v>
      </c>
      <c r="M213">
        <v>20250627</v>
      </c>
      <c r="N213" t="s">
        <v>222</v>
      </c>
      <c r="P213" t="s">
        <v>405</v>
      </c>
      <c r="Q213" t="s">
        <v>50</v>
      </c>
      <c r="R213">
        <v>5000</v>
      </c>
      <c r="S213">
        <v>0</v>
      </c>
      <c r="T213">
        <v>4052665</v>
      </c>
      <c r="U213" t="s">
        <v>584</v>
      </c>
      <c r="V213" t="s">
        <v>585</v>
      </c>
      <c r="W213" t="s">
        <v>73</v>
      </c>
      <c r="X213" t="s">
        <v>120</v>
      </c>
      <c r="Y213" t="s">
        <v>52</v>
      </c>
      <c r="Z213">
        <v>827</v>
      </c>
      <c r="AH213">
        <v>0</v>
      </c>
      <c r="AI213">
        <v>202506</v>
      </c>
      <c r="AJ213" t="s">
        <v>205</v>
      </c>
      <c r="AK213">
        <v>1</v>
      </c>
      <c r="AL213">
        <v>1</v>
      </c>
      <c r="AO213">
        <v>0</v>
      </c>
      <c r="AP213">
        <v>999</v>
      </c>
      <c r="AQ213">
        <v>615</v>
      </c>
      <c r="AR213">
        <v>615999</v>
      </c>
      <c r="AT213">
        <v>1</v>
      </c>
      <c r="AU213" t="s">
        <v>65</v>
      </c>
      <c r="AV213">
        <v>1000</v>
      </c>
      <c r="AW213">
        <v>1186.4000000000001</v>
      </c>
      <c r="AX213">
        <v>1500</v>
      </c>
      <c r="AY213">
        <v>1680.386</v>
      </c>
      <c r="AZ213">
        <v>1992.48</v>
      </c>
      <c r="BA213">
        <v>2399.98</v>
      </c>
      <c r="BB213">
        <v>2739.2040000000002</v>
      </c>
      <c r="BC213">
        <v>3000</v>
      </c>
      <c r="BD213">
        <v>3500</v>
      </c>
      <c r="BE213">
        <v>4000</v>
      </c>
      <c r="BF213">
        <v>4800</v>
      </c>
      <c r="BG213">
        <v>5000</v>
      </c>
      <c r="BH213">
        <v>5024.4139999999998</v>
      </c>
      <c r="BI213">
        <v>5617.9639999999999</v>
      </c>
      <c r="BJ213">
        <v>9836.84</v>
      </c>
      <c r="BK213">
        <v>12377.16</v>
      </c>
      <c r="BL213">
        <v>16956.52800000002</v>
      </c>
      <c r="BM213">
        <v>20247.331999999999</v>
      </c>
      <c r="BN213">
        <v>29364.69400000001</v>
      </c>
      <c r="BO213">
        <v>45000</v>
      </c>
      <c r="BP213">
        <v>1149602.8999999999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 x14ac:dyDescent="0.35">
      <c r="A214">
        <v>360545</v>
      </c>
      <c r="B214" t="s">
        <v>289</v>
      </c>
      <c r="C214" t="s">
        <v>290</v>
      </c>
      <c r="D214" s="1">
        <v>45835</v>
      </c>
      <c r="E214">
        <v>53850</v>
      </c>
      <c r="F214">
        <v>266</v>
      </c>
      <c r="G214" t="s">
        <v>236</v>
      </c>
      <c r="H214" t="s">
        <v>48</v>
      </c>
      <c r="I214" t="s">
        <v>49</v>
      </c>
      <c r="K214" t="s">
        <v>586</v>
      </c>
      <c r="L214">
        <v>2663300010537</v>
      </c>
      <c r="M214">
        <v>20250626</v>
      </c>
      <c r="N214" t="s">
        <v>222</v>
      </c>
      <c r="P214" t="s">
        <v>303</v>
      </c>
      <c r="Q214" t="s">
        <v>61</v>
      </c>
      <c r="R214">
        <v>2300</v>
      </c>
      <c r="S214">
        <v>0</v>
      </c>
      <c r="T214">
        <v>1637486</v>
      </c>
      <c r="U214" t="s">
        <v>587</v>
      </c>
      <c r="V214" t="s">
        <v>588</v>
      </c>
      <c r="W214" t="s">
        <v>51</v>
      </c>
      <c r="Y214" t="s">
        <v>52</v>
      </c>
      <c r="Z214">
        <v>1785</v>
      </c>
      <c r="AH214">
        <v>0</v>
      </c>
      <c r="AI214">
        <v>202506</v>
      </c>
      <c r="AJ214" t="s">
        <v>203</v>
      </c>
      <c r="AK214">
        <v>1</v>
      </c>
      <c r="AL214">
        <v>1</v>
      </c>
      <c r="AO214">
        <v>0</v>
      </c>
      <c r="AP214">
        <v>999</v>
      </c>
      <c r="AQ214">
        <v>600</v>
      </c>
      <c r="AR214">
        <v>600999</v>
      </c>
      <c r="AS214" t="s">
        <v>53</v>
      </c>
      <c r="AU214" t="s">
        <v>53</v>
      </c>
      <c r="AV214">
        <v>1000</v>
      </c>
      <c r="AW214">
        <v>1186.4000000000001</v>
      </c>
      <c r="AX214">
        <v>1500</v>
      </c>
      <c r="AY214">
        <v>1680.386</v>
      </c>
      <c r="AZ214">
        <v>1992.48</v>
      </c>
      <c r="BA214">
        <v>2399.98</v>
      </c>
      <c r="BB214">
        <v>2739.2040000000002</v>
      </c>
      <c r="BC214">
        <v>3000</v>
      </c>
      <c r="BD214">
        <v>3500</v>
      </c>
      <c r="BE214">
        <v>4000</v>
      </c>
      <c r="BF214">
        <v>4800</v>
      </c>
      <c r="BG214">
        <v>5000</v>
      </c>
      <c r="BH214">
        <v>5024.4139999999998</v>
      </c>
      <c r="BI214">
        <v>5617.9639999999999</v>
      </c>
      <c r="BJ214">
        <v>9836.84</v>
      </c>
      <c r="BK214">
        <v>12377.16</v>
      </c>
      <c r="BL214">
        <v>16956.52800000002</v>
      </c>
      <c r="BM214">
        <v>20247.331999999999</v>
      </c>
      <c r="BN214">
        <v>29364.69400000001</v>
      </c>
      <c r="BO214">
        <v>45000</v>
      </c>
      <c r="BP214">
        <v>1149602.8999999999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 x14ac:dyDescent="0.35">
      <c r="A215">
        <v>360537</v>
      </c>
      <c r="B215" t="s">
        <v>289</v>
      </c>
      <c r="C215" t="s">
        <v>290</v>
      </c>
      <c r="D215" s="1">
        <v>45835</v>
      </c>
      <c r="E215">
        <v>53850</v>
      </c>
      <c r="F215">
        <v>171</v>
      </c>
      <c r="G215" t="s">
        <v>84</v>
      </c>
      <c r="H215" t="s">
        <v>48</v>
      </c>
      <c r="I215" t="s">
        <v>49</v>
      </c>
      <c r="K215" t="s">
        <v>589</v>
      </c>
      <c r="L215">
        <v>1713302217392</v>
      </c>
      <c r="M215">
        <v>20250626</v>
      </c>
      <c r="N215" t="s">
        <v>222</v>
      </c>
      <c r="P215" t="s">
        <v>303</v>
      </c>
      <c r="Q215" t="s">
        <v>61</v>
      </c>
      <c r="R215">
        <v>1300</v>
      </c>
      <c r="S215">
        <v>0</v>
      </c>
      <c r="T215">
        <v>4926340</v>
      </c>
      <c r="U215" t="s">
        <v>548</v>
      </c>
      <c r="V215" t="s">
        <v>549</v>
      </c>
      <c r="W215" t="s">
        <v>73</v>
      </c>
      <c r="X215" t="s">
        <v>82</v>
      </c>
      <c r="Y215" t="s">
        <v>52</v>
      </c>
      <c r="Z215">
        <v>732</v>
      </c>
      <c r="AH215">
        <v>0</v>
      </c>
      <c r="AI215">
        <v>202506</v>
      </c>
      <c r="AJ215" t="s">
        <v>203</v>
      </c>
      <c r="AK215">
        <v>1</v>
      </c>
      <c r="AL215">
        <v>1</v>
      </c>
      <c r="AO215">
        <v>0</v>
      </c>
      <c r="AP215">
        <v>999</v>
      </c>
      <c r="AQ215">
        <v>615</v>
      </c>
      <c r="AR215">
        <v>615999</v>
      </c>
      <c r="AT215">
        <v>1</v>
      </c>
      <c r="AU215" t="s">
        <v>65</v>
      </c>
      <c r="AV215">
        <v>1000</v>
      </c>
      <c r="AW215">
        <v>1186.4000000000001</v>
      </c>
      <c r="AX215">
        <v>1500</v>
      </c>
      <c r="AY215">
        <v>1680.386</v>
      </c>
      <c r="AZ215">
        <v>1992.48</v>
      </c>
      <c r="BA215">
        <v>2399.98</v>
      </c>
      <c r="BB215">
        <v>2739.2040000000002</v>
      </c>
      <c r="BC215">
        <v>3000</v>
      </c>
      <c r="BD215">
        <v>3500</v>
      </c>
      <c r="BE215">
        <v>4000</v>
      </c>
      <c r="BF215">
        <v>4800</v>
      </c>
      <c r="BG215">
        <v>5000</v>
      </c>
      <c r="BH215">
        <v>5024.4139999999998</v>
      </c>
      <c r="BI215">
        <v>5617.9639999999999</v>
      </c>
      <c r="BJ215">
        <v>9836.84</v>
      </c>
      <c r="BK215">
        <v>12377.16</v>
      </c>
      <c r="BL215">
        <v>16956.52800000002</v>
      </c>
      <c r="BM215">
        <v>20247.331999999999</v>
      </c>
      <c r="BN215">
        <v>29364.69400000001</v>
      </c>
      <c r="BO215">
        <v>45000</v>
      </c>
      <c r="BP215">
        <v>1149602.8999999999</v>
      </c>
      <c r="BQ215">
        <v>1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 x14ac:dyDescent="0.35">
      <c r="A216">
        <v>360536</v>
      </c>
      <c r="B216" t="s">
        <v>289</v>
      </c>
      <c r="C216" t="s">
        <v>290</v>
      </c>
      <c r="D216" s="1">
        <v>45835</v>
      </c>
      <c r="E216">
        <v>53850</v>
      </c>
      <c r="F216">
        <v>261</v>
      </c>
      <c r="G216" t="s">
        <v>96</v>
      </c>
      <c r="H216" t="s">
        <v>48</v>
      </c>
      <c r="I216" t="s">
        <v>49</v>
      </c>
      <c r="K216">
        <v>202506268125555</v>
      </c>
      <c r="L216">
        <v>2613300010205</v>
      </c>
      <c r="M216">
        <v>20250626</v>
      </c>
      <c r="N216" t="s">
        <v>222</v>
      </c>
      <c r="P216" t="s">
        <v>303</v>
      </c>
      <c r="Q216" t="s">
        <v>50</v>
      </c>
      <c r="R216">
        <v>25000</v>
      </c>
      <c r="S216">
        <v>0</v>
      </c>
      <c r="T216">
        <v>4991786</v>
      </c>
      <c r="U216">
        <v>993400944</v>
      </c>
      <c r="V216" t="s">
        <v>698</v>
      </c>
      <c r="W216" t="s">
        <v>58</v>
      </c>
      <c r="X216" t="s">
        <v>470</v>
      </c>
      <c r="Y216" t="s">
        <v>52</v>
      </c>
      <c r="Z216">
        <v>1782</v>
      </c>
      <c r="AH216">
        <v>0</v>
      </c>
      <c r="AI216">
        <v>202506</v>
      </c>
      <c r="AJ216" t="s">
        <v>68</v>
      </c>
      <c r="AK216">
        <v>0</v>
      </c>
      <c r="AL216">
        <v>1</v>
      </c>
      <c r="AM216">
        <v>4991786</v>
      </c>
      <c r="AN216">
        <v>1</v>
      </c>
      <c r="AO216">
        <v>0</v>
      </c>
      <c r="AP216">
        <v>999</v>
      </c>
      <c r="AQ216">
        <v>430</v>
      </c>
      <c r="AR216">
        <v>430999</v>
      </c>
      <c r="AT216">
        <v>1</v>
      </c>
      <c r="AU216" t="s">
        <v>59</v>
      </c>
      <c r="AV216">
        <v>1000</v>
      </c>
      <c r="AW216">
        <v>1186.4000000000001</v>
      </c>
      <c r="AX216">
        <v>1500</v>
      </c>
      <c r="AY216">
        <v>1680.386</v>
      </c>
      <c r="AZ216">
        <v>1992.48</v>
      </c>
      <c r="BA216">
        <v>2399.98</v>
      </c>
      <c r="BB216">
        <v>2739.2040000000002</v>
      </c>
      <c r="BC216">
        <v>3000</v>
      </c>
      <c r="BD216">
        <v>3500</v>
      </c>
      <c r="BE216">
        <v>4000</v>
      </c>
      <c r="BF216">
        <v>4800</v>
      </c>
      <c r="BG216">
        <v>5000</v>
      </c>
      <c r="BH216">
        <v>5024.4139999999998</v>
      </c>
      <c r="BI216">
        <v>5617.9639999999999</v>
      </c>
      <c r="BJ216">
        <v>9836.84</v>
      </c>
      <c r="BK216">
        <v>12377.16</v>
      </c>
      <c r="BL216">
        <v>16956.52800000002</v>
      </c>
      <c r="BM216">
        <v>20247.331999999999</v>
      </c>
      <c r="BN216">
        <v>29364.69400000001</v>
      </c>
      <c r="BO216">
        <v>45000</v>
      </c>
      <c r="BP216">
        <v>1149602.8999999999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0</v>
      </c>
      <c r="CJ216">
        <v>0</v>
      </c>
      <c r="CK216">
        <v>0</v>
      </c>
    </row>
    <row r="217" spans="1:89" x14ac:dyDescent="0.35">
      <c r="A217">
        <v>360535</v>
      </c>
      <c r="B217" t="s">
        <v>289</v>
      </c>
      <c r="C217" t="s">
        <v>290</v>
      </c>
      <c r="D217" s="1">
        <v>45835</v>
      </c>
      <c r="E217">
        <v>53850</v>
      </c>
      <c r="F217">
        <v>266</v>
      </c>
      <c r="G217" t="s">
        <v>236</v>
      </c>
      <c r="H217" t="s">
        <v>48</v>
      </c>
      <c r="I217" t="s">
        <v>49</v>
      </c>
      <c r="K217" t="s">
        <v>590</v>
      </c>
      <c r="L217">
        <v>2663300000131</v>
      </c>
      <c r="M217">
        <v>20250626</v>
      </c>
      <c r="N217" t="s">
        <v>222</v>
      </c>
      <c r="P217" t="s">
        <v>303</v>
      </c>
      <c r="Q217" t="s">
        <v>61</v>
      </c>
      <c r="R217">
        <v>2300</v>
      </c>
      <c r="S217">
        <v>0</v>
      </c>
      <c r="T217">
        <v>1614579</v>
      </c>
      <c r="U217" t="s">
        <v>591</v>
      </c>
      <c r="V217" t="s">
        <v>592</v>
      </c>
      <c r="W217" t="s">
        <v>51</v>
      </c>
      <c r="Y217" t="s">
        <v>52</v>
      </c>
      <c r="Z217">
        <v>1785</v>
      </c>
      <c r="AH217">
        <v>0</v>
      </c>
      <c r="AI217">
        <v>202506</v>
      </c>
      <c r="AJ217" t="s">
        <v>203</v>
      </c>
      <c r="AK217">
        <v>1</v>
      </c>
      <c r="AL217">
        <v>1</v>
      </c>
      <c r="AO217">
        <v>0</v>
      </c>
      <c r="AP217">
        <v>999</v>
      </c>
      <c r="AQ217">
        <v>600</v>
      </c>
      <c r="AR217">
        <v>600999</v>
      </c>
      <c r="AS217" t="s">
        <v>53</v>
      </c>
      <c r="AU217" t="s">
        <v>53</v>
      </c>
      <c r="AV217">
        <v>1000</v>
      </c>
      <c r="AW217">
        <v>1186.4000000000001</v>
      </c>
      <c r="AX217">
        <v>1500</v>
      </c>
      <c r="AY217">
        <v>1680.386</v>
      </c>
      <c r="AZ217">
        <v>1992.48</v>
      </c>
      <c r="BA217">
        <v>2399.98</v>
      </c>
      <c r="BB217">
        <v>2739.2040000000002</v>
      </c>
      <c r="BC217">
        <v>3000</v>
      </c>
      <c r="BD217">
        <v>3500</v>
      </c>
      <c r="BE217">
        <v>4000</v>
      </c>
      <c r="BF217">
        <v>4800</v>
      </c>
      <c r="BG217">
        <v>5000</v>
      </c>
      <c r="BH217">
        <v>5024.4139999999998</v>
      </c>
      <c r="BI217">
        <v>5617.9639999999999</v>
      </c>
      <c r="BJ217">
        <v>9836.84</v>
      </c>
      <c r="BK217">
        <v>12377.16</v>
      </c>
      <c r="BL217">
        <v>16956.52800000002</v>
      </c>
      <c r="BM217">
        <v>20247.331999999999</v>
      </c>
      <c r="BN217">
        <v>29364.69400000001</v>
      </c>
      <c r="BO217">
        <v>45000</v>
      </c>
      <c r="BP217">
        <v>1149602.8999999999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 x14ac:dyDescent="0.35">
      <c r="A218">
        <v>360526</v>
      </c>
      <c r="B218" t="s">
        <v>289</v>
      </c>
      <c r="C218" t="s">
        <v>290</v>
      </c>
      <c r="D218" s="1">
        <v>45835</v>
      </c>
      <c r="E218">
        <v>53850</v>
      </c>
      <c r="F218">
        <v>266</v>
      </c>
      <c r="G218" t="s">
        <v>236</v>
      </c>
      <c r="H218" t="s">
        <v>48</v>
      </c>
      <c r="I218" t="s">
        <v>49</v>
      </c>
      <c r="K218" t="s">
        <v>593</v>
      </c>
      <c r="L218">
        <v>2663300001473</v>
      </c>
      <c r="M218">
        <v>20250626</v>
      </c>
      <c r="N218" t="s">
        <v>222</v>
      </c>
      <c r="P218" t="s">
        <v>303</v>
      </c>
      <c r="Q218" t="s">
        <v>61</v>
      </c>
      <c r="R218">
        <v>2300</v>
      </c>
      <c r="S218">
        <v>0</v>
      </c>
      <c r="T218">
        <v>1613112</v>
      </c>
      <c r="U218" t="s">
        <v>594</v>
      </c>
      <c r="V218" t="s">
        <v>595</v>
      </c>
      <c r="W218" t="s">
        <v>51</v>
      </c>
      <c r="Y218" t="s">
        <v>52</v>
      </c>
      <c r="Z218">
        <v>1811</v>
      </c>
      <c r="AH218">
        <v>0</v>
      </c>
      <c r="AI218">
        <v>202506</v>
      </c>
      <c r="AJ218" t="s">
        <v>203</v>
      </c>
      <c r="AK218">
        <v>1</v>
      </c>
      <c r="AL218">
        <v>1</v>
      </c>
      <c r="AO218">
        <v>0</v>
      </c>
      <c r="AP218">
        <v>999</v>
      </c>
      <c r="AQ218">
        <v>600</v>
      </c>
      <c r="AR218">
        <v>600999</v>
      </c>
      <c r="AS218" t="s">
        <v>53</v>
      </c>
      <c r="AU218" t="s">
        <v>53</v>
      </c>
      <c r="AV218">
        <v>1000</v>
      </c>
      <c r="AW218">
        <v>1186.4000000000001</v>
      </c>
      <c r="AX218">
        <v>1500</v>
      </c>
      <c r="AY218">
        <v>1680.386</v>
      </c>
      <c r="AZ218">
        <v>1992.48</v>
      </c>
      <c r="BA218">
        <v>2399.98</v>
      </c>
      <c r="BB218">
        <v>2739.2040000000002</v>
      </c>
      <c r="BC218">
        <v>3000</v>
      </c>
      <c r="BD218">
        <v>3500</v>
      </c>
      <c r="BE218">
        <v>4000</v>
      </c>
      <c r="BF218">
        <v>4800</v>
      </c>
      <c r="BG218">
        <v>5000</v>
      </c>
      <c r="BH218">
        <v>5024.4139999999998</v>
      </c>
      <c r="BI218">
        <v>5617.9639999999999</v>
      </c>
      <c r="BJ218">
        <v>9836.84</v>
      </c>
      <c r="BK218">
        <v>12377.16</v>
      </c>
      <c r="BL218">
        <v>16956.52800000002</v>
      </c>
      <c r="BM218">
        <v>20247.331999999999</v>
      </c>
      <c r="BN218">
        <v>29364.69400000001</v>
      </c>
      <c r="BO218">
        <v>45000</v>
      </c>
      <c r="BP218">
        <v>1149602.8999999999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 x14ac:dyDescent="0.35">
      <c r="A219">
        <v>360524</v>
      </c>
      <c r="B219" t="s">
        <v>289</v>
      </c>
      <c r="C219" t="s">
        <v>290</v>
      </c>
      <c r="D219" s="1">
        <v>45835</v>
      </c>
      <c r="E219">
        <v>53850</v>
      </c>
      <c r="F219">
        <v>266</v>
      </c>
      <c r="G219" t="s">
        <v>236</v>
      </c>
      <c r="H219" t="s">
        <v>48</v>
      </c>
      <c r="I219" t="s">
        <v>49</v>
      </c>
      <c r="K219" t="s">
        <v>593</v>
      </c>
      <c r="L219">
        <v>2663300001473</v>
      </c>
      <c r="M219">
        <v>20250626</v>
      </c>
      <c r="N219" t="s">
        <v>222</v>
      </c>
      <c r="P219" t="s">
        <v>303</v>
      </c>
      <c r="Q219" t="s">
        <v>61</v>
      </c>
      <c r="R219">
        <v>2300</v>
      </c>
      <c r="S219">
        <v>0</v>
      </c>
      <c r="T219">
        <v>1627249</v>
      </c>
      <c r="U219" t="s">
        <v>596</v>
      </c>
      <c r="V219" t="s">
        <v>597</v>
      </c>
      <c r="W219" t="s">
        <v>51</v>
      </c>
      <c r="Y219" t="s">
        <v>52</v>
      </c>
      <c r="Z219">
        <v>1811</v>
      </c>
      <c r="AH219">
        <v>0</v>
      </c>
      <c r="AI219">
        <v>202506</v>
      </c>
      <c r="AJ219" t="s">
        <v>203</v>
      </c>
      <c r="AK219">
        <v>1</v>
      </c>
      <c r="AL219">
        <v>1</v>
      </c>
      <c r="AO219">
        <v>0</v>
      </c>
      <c r="AP219">
        <v>999</v>
      </c>
      <c r="AQ219">
        <v>600</v>
      </c>
      <c r="AR219">
        <v>600999</v>
      </c>
      <c r="AS219" t="s">
        <v>53</v>
      </c>
      <c r="AU219" t="s">
        <v>53</v>
      </c>
      <c r="AV219">
        <v>1000</v>
      </c>
      <c r="AW219">
        <v>1186.4000000000001</v>
      </c>
      <c r="AX219">
        <v>1500</v>
      </c>
      <c r="AY219">
        <v>1680.386</v>
      </c>
      <c r="AZ219">
        <v>1992.48</v>
      </c>
      <c r="BA219">
        <v>2399.98</v>
      </c>
      <c r="BB219">
        <v>2739.2040000000002</v>
      </c>
      <c r="BC219">
        <v>3000</v>
      </c>
      <c r="BD219">
        <v>3500</v>
      </c>
      <c r="BE219">
        <v>4000</v>
      </c>
      <c r="BF219">
        <v>4800</v>
      </c>
      <c r="BG219">
        <v>5000</v>
      </c>
      <c r="BH219">
        <v>5024.4139999999998</v>
      </c>
      <c r="BI219">
        <v>5617.9639999999999</v>
      </c>
      <c r="BJ219">
        <v>9836.84</v>
      </c>
      <c r="BK219">
        <v>12377.16</v>
      </c>
      <c r="BL219">
        <v>16956.52800000002</v>
      </c>
      <c r="BM219">
        <v>20247.331999999999</v>
      </c>
      <c r="BN219">
        <v>29364.69400000001</v>
      </c>
      <c r="BO219">
        <v>45000</v>
      </c>
      <c r="BP219">
        <v>1149602.8999999999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 x14ac:dyDescent="0.35">
      <c r="A220">
        <v>360518</v>
      </c>
      <c r="B220" t="s">
        <v>289</v>
      </c>
      <c r="C220" t="s">
        <v>290</v>
      </c>
      <c r="D220" s="1">
        <v>45835</v>
      </c>
      <c r="E220">
        <v>53850</v>
      </c>
      <c r="F220">
        <v>129</v>
      </c>
      <c r="G220" t="s">
        <v>81</v>
      </c>
      <c r="H220" t="s">
        <v>48</v>
      </c>
      <c r="I220" t="s">
        <v>49</v>
      </c>
      <c r="K220" t="s">
        <v>598</v>
      </c>
      <c r="L220">
        <v>1293300002811</v>
      </c>
      <c r="M220">
        <v>20250626</v>
      </c>
      <c r="N220" t="s">
        <v>222</v>
      </c>
      <c r="P220" t="s">
        <v>291</v>
      </c>
      <c r="Q220" t="s">
        <v>61</v>
      </c>
      <c r="R220">
        <v>4554.57</v>
      </c>
      <c r="S220">
        <v>0</v>
      </c>
      <c r="T220">
        <v>4972184</v>
      </c>
      <c r="U220">
        <v>7780290727</v>
      </c>
      <c r="V220" t="s">
        <v>355</v>
      </c>
      <c r="W220" t="s">
        <v>58</v>
      </c>
      <c r="X220" t="s">
        <v>356</v>
      </c>
      <c r="Y220" t="s">
        <v>52</v>
      </c>
      <c r="Z220">
        <v>1058</v>
      </c>
      <c r="AH220">
        <v>0</v>
      </c>
      <c r="AI220">
        <v>202506</v>
      </c>
      <c r="AJ220" t="s">
        <v>203</v>
      </c>
      <c r="AK220">
        <v>1</v>
      </c>
      <c r="AL220">
        <v>1</v>
      </c>
      <c r="AO220">
        <v>0</v>
      </c>
      <c r="AP220">
        <v>999</v>
      </c>
      <c r="AQ220">
        <v>430</v>
      </c>
      <c r="AR220">
        <v>430999</v>
      </c>
      <c r="AT220">
        <v>1</v>
      </c>
      <c r="AU220" t="s">
        <v>59</v>
      </c>
      <c r="AV220">
        <v>1000</v>
      </c>
      <c r="AW220">
        <v>1186.4000000000001</v>
      </c>
      <c r="AX220">
        <v>1500</v>
      </c>
      <c r="AY220">
        <v>1680.386</v>
      </c>
      <c r="AZ220">
        <v>1992.48</v>
      </c>
      <c r="BA220">
        <v>2399.98</v>
      </c>
      <c r="BB220">
        <v>2739.2040000000002</v>
      </c>
      <c r="BC220">
        <v>3000</v>
      </c>
      <c r="BD220">
        <v>3500</v>
      </c>
      <c r="BE220">
        <v>4000</v>
      </c>
      <c r="BF220">
        <v>4800</v>
      </c>
      <c r="BG220">
        <v>5000</v>
      </c>
      <c r="BH220">
        <v>5024.4139999999998</v>
      </c>
      <c r="BI220">
        <v>5617.9639999999999</v>
      </c>
      <c r="BJ220">
        <v>9836.84</v>
      </c>
      <c r="BK220">
        <v>12377.16</v>
      </c>
      <c r="BL220">
        <v>16956.52800000002</v>
      </c>
      <c r="BM220">
        <v>20247.331999999999</v>
      </c>
      <c r="BN220">
        <v>29364.69400000001</v>
      </c>
      <c r="BO220">
        <v>45000</v>
      </c>
      <c r="BP220">
        <v>1149602.8999999999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 x14ac:dyDescent="0.35">
      <c r="A221">
        <v>360512</v>
      </c>
      <c r="B221" t="s">
        <v>289</v>
      </c>
      <c r="C221" t="s">
        <v>290</v>
      </c>
      <c r="D221" s="1">
        <v>45835</v>
      </c>
      <c r="E221">
        <v>53850</v>
      </c>
      <c r="F221">
        <v>193</v>
      </c>
      <c r="G221" t="s">
        <v>219</v>
      </c>
      <c r="H221" t="s">
        <v>48</v>
      </c>
      <c r="I221" t="s">
        <v>49</v>
      </c>
      <c r="K221">
        <v>202506268126823</v>
      </c>
      <c r="L221">
        <v>1943300006197</v>
      </c>
      <c r="M221">
        <v>20250626</v>
      </c>
      <c r="N221" t="s">
        <v>222</v>
      </c>
      <c r="P221" t="s">
        <v>300</v>
      </c>
      <c r="Q221" t="s">
        <v>61</v>
      </c>
      <c r="R221">
        <v>7985</v>
      </c>
      <c r="S221">
        <v>0</v>
      </c>
      <c r="T221">
        <v>4859366</v>
      </c>
      <c r="U221">
        <v>2744530730</v>
      </c>
      <c r="V221" t="s">
        <v>599</v>
      </c>
      <c r="W221" t="s">
        <v>58</v>
      </c>
      <c r="X221" t="s">
        <v>86</v>
      </c>
      <c r="Y221" t="s">
        <v>52</v>
      </c>
      <c r="Z221">
        <v>1361</v>
      </c>
      <c r="AH221">
        <v>0</v>
      </c>
      <c r="AI221">
        <v>202506</v>
      </c>
      <c r="AJ221" t="s">
        <v>203</v>
      </c>
      <c r="AK221">
        <v>1</v>
      </c>
      <c r="AL221">
        <v>1</v>
      </c>
      <c r="AO221">
        <v>0</v>
      </c>
      <c r="AP221">
        <v>463</v>
      </c>
      <c r="AQ221">
        <v>430</v>
      </c>
      <c r="AR221">
        <v>430463</v>
      </c>
      <c r="AS221" t="s">
        <v>65</v>
      </c>
      <c r="AU221" t="s">
        <v>65</v>
      </c>
      <c r="AV221">
        <v>1000</v>
      </c>
      <c r="AW221">
        <v>1186.4000000000001</v>
      </c>
      <c r="AX221">
        <v>1500</v>
      </c>
      <c r="AY221">
        <v>1680.386</v>
      </c>
      <c r="AZ221">
        <v>1992.48</v>
      </c>
      <c r="BA221">
        <v>2399.98</v>
      </c>
      <c r="BB221">
        <v>2739.2040000000002</v>
      </c>
      <c r="BC221">
        <v>3000</v>
      </c>
      <c r="BD221">
        <v>3500</v>
      </c>
      <c r="BE221">
        <v>4000</v>
      </c>
      <c r="BF221">
        <v>4800</v>
      </c>
      <c r="BG221">
        <v>5000</v>
      </c>
      <c r="BH221">
        <v>5024.4139999999998</v>
      </c>
      <c r="BI221">
        <v>5617.9639999999999</v>
      </c>
      <c r="BJ221">
        <v>9836.84</v>
      </c>
      <c r="BK221">
        <v>12377.16</v>
      </c>
      <c r="BL221">
        <v>16956.52800000002</v>
      </c>
      <c r="BM221">
        <v>20247.331999999999</v>
      </c>
      <c r="BN221">
        <v>29364.69400000001</v>
      </c>
      <c r="BO221">
        <v>45000</v>
      </c>
      <c r="BP221">
        <v>1149602.8999999999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 x14ac:dyDescent="0.35">
      <c r="A222">
        <v>360504</v>
      </c>
      <c r="B222" t="s">
        <v>289</v>
      </c>
      <c r="C222" t="s">
        <v>290</v>
      </c>
      <c r="D222" s="1">
        <v>45835</v>
      </c>
      <c r="E222">
        <v>53850</v>
      </c>
      <c r="F222">
        <v>119</v>
      </c>
      <c r="G222" t="s">
        <v>69</v>
      </c>
      <c r="H222" t="s">
        <v>48</v>
      </c>
      <c r="I222" t="s">
        <v>49</v>
      </c>
      <c r="K222" t="s">
        <v>600</v>
      </c>
      <c r="L222">
        <v>1193305851980</v>
      </c>
      <c r="M222">
        <v>20250624</v>
      </c>
      <c r="N222" t="s">
        <v>222</v>
      </c>
      <c r="P222" t="s">
        <v>303</v>
      </c>
      <c r="Q222" t="s">
        <v>50</v>
      </c>
      <c r="R222">
        <v>1137</v>
      </c>
      <c r="S222">
        <v>0</v>
      </c>
      <c r="T222">
        <v>585198</v>
      </c>
      <c r="U222" t="s">
        <v>601</v>
      </c>
      <c r="V222" t="s">
        <v>602</v>
      </c>
      <c r="W222" t="s">
        <v>51</v>
      </c>
      <c r="Y222" t="s">
        <v>52</v>
      </c>
      <c r="Z222">
        <v>669</v>
      </c>
      <c r="AH222">
        <v>0</v>
      </c>
      <c r="AI222">
        <v>202506</v>
      </c>
      <c r="AJ222" t="s">
        <v>203</v>
      </c>
      <c r="AK222">
        <v>1</v>
      </c>
      <c r="AL222">
        <v>1</v>
      </c>
      <c r="AO222">
        <v>0</v>
      </c>
      <c r="AP222">
        <v>999</v>
      </c>
      <c r="AQ222">
        <v>600</v>
      </c>
      <c r="AR222">
        <v>600999</v>
      </c>
      <c r="AS222" t="s">
        <v>53</v>
      </c>
      <c r="AU222" t="s">
        <v>53</v>
      </c>
      <c r="AV222">
        <v>1000</v>
      </c>
      <c r="AW222">
        <v>1186.4000000000001</v>
      </c>
      <c r="AX222">
        <v>1500</v>
      </c>
      <c r="AY222">
        <v>1680.386</v>
      </c>
      <c r="AZ222">
        <v>1992.48</v>
      </c>
      <c r="BA222">
        <v>2399.98</v>
      </c>
      <c r="BB222">
        <v>2739.2040000000002</v>
      </c>
      <c r="BC222">
        <v>3000</v>
      </c>
      <c r="BD222">
        <v>3500</v>
      </c>
      <c r="BE222">
        <v>4000</v>
      </c>
      <c r="BF222">
        <v>4800</v>
      </c>
      <c r="BG222">
        <v>5000</v>
      </c>
      <c r="BH222">
        <v>5024.4139999999998</v>
      </c>
      <c r="BI222">
        <v>5617.9639999999999</v>
      </c>
      <c r="BJ222">
        <v>9836.84</v>
      </c>
      <c r="BK222">
        <v>12377.16</v>
      </c>
      <c r="BL222">
        <v>16956.52800000002</v>
      </c>
      <c r="BM222">
        <v>20247.331999999999</v>
      </c>
      <c r="BN222">
        <v>29364.69400000001</v>
      </c>
      <c r="BO222">
        <v>45000</v>
      </c>
      <c r="BP222">
        <v>1149602.8999999999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 x14ac:dyDescent="0.35">
      <c r="A223">
        <v>360499</v>
      </c>
      <c r="B223" t="s">
        <v>289</v>
      </c>
      <c r="C223" t="s">
        <v>290</v>
      </c>
      <c r="D223" s="1">
        <v>45834</v>
      </c>
      <c r="E223">
        <v>53850</v>
      </c>
      <c r="F223">
        <v>131</v>
      </c>
      <c r="G223" t="s">
        <v>207</v>
      </c>
      <c r="H223" t="s">
        <v>48</v>
      </c>
      <c r="I223" t="s">
        <v>49</v>
      </c>
      <c r="K223">
        <v>202506258123930</v>
      </c>
      <c r="L223">
        <v>1313300001588</v>
      </c>
      <c r="M223">
        <v>20250625</v>
      </c>
      <c r="N223" t="s">
        <v>222</v>
      </c>
      <c r="P223" t="s">
        <v>136</v>
      </c>
      <c r="Q223" t="s">
        <v>61</v>
      </c>
      <c r="R223">
        <v>8900</v>
      </c>
      <c r="S223">
        <v>0</v>
      </c>
      <c r="T223">
        <v>4121868</v>
      </c>
      <c r="U223">
        <v>5913290630</v>
      </c>
      <c r="V223" t="s">
        <v>436</v>
      </c>
      <c r="W223" t="s">
        <v>58</v>
      </c>
      <c r="X223" t="s">
        <v>437</v>
      </c>
      <c r="Y223" t="s">
        <v>52</v>
      </c>
      <c r="Z223">
        <v>739</v>
      </c>
      <c r="AH223">
        <v>0</v>
      </c>
      <c r="AI223">
        <v>202506</v>
      </c>
      <c r="AJ223" t="s">
        <v>68</v>
      </c>
      <c r="AK223">
        <v>0</v>
      </c>
      <c r="AL223">
        <v>1</v>
      </c>
      <c r="AO223">
        <v>0</v>
      </c>
      <c r="AP223">
        <v>999</v>
      </c>
      <c r="AQ223">
        <v>430</v>
      </c>
      <c r="AR223">
        <v>430999</v>
      </c>
      <c r="AT223">
        <v>1</v>
      </c>
      <c r="AU223" t="s">
        <v>59</v>
      </c>
      <c r="AV223">
        <v>1000</v>
      </c>
      <c r="AW223">
        <v>1186.4000000000001</v>
      </c>
      <c r="AX223">
        <v>1500</v>
      </c>
      <c r="AY223">
        <v>1680.386</v>
      </c>
      <c r="AZ223">
        <v>1992.48</v>
      </c>
      <c r="BA223">
        <v>2399.98</v>
      </c>
      <c r="BB223">
        <v>2739.2040000000002</v>
      </c>
      <c r="BC223">
        <v>3000</v>
      </c>
      <c r="BD223">
        <v>3500</v>
      </c>
      <c r="BE223">
        <v>4000</v>
      </c>
      <c r="BF223">
        <v>4800</v>
      </c>
      <c r="BG223">
        <v>5000</v>
      </c>
      <c r="BH223">
        <v>5024.4139999999998</v>
      </c>
      <c r="BI223">
        <v>5617.9639999999999</v>
      </c>
      <c r="BJ223">
        <v>9836.84</v>
      </c>
      <c r="BK223">
        <v>12377.16</v>
      </c>
      <c r="BL223">
        <v>16956.52800000002</v>
      </c>
      <c r="BM223">
        <v>20247.331999999999</v>
      </c>
      <c r="BN223">
        <v>29364.69400000001</v>
      </c>
      <c r="BO223">
        <v>45000</v>
      </c>
      <c r="BP223">
        <v>1149602.8999999999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 x14ac:dyDescent="0.35">
      <c r="A224">
        <v>360497</v>
      </c>
      <c r="B224" t="s">
        <v>289</v>
      </c>
      <c r="C224" t="s">
        <v>290</v>
      </c>
      <c r="D224" s="1">
        <v>45834</v>
      </c>
      <c r="E224">
        <v>53850</v>
      </c>
      <c r="F224">
        <v>118</v>
      </c>
      <c r="G224" t="s">
        <v>130</v>
      </c>
      <c r="H224" t="s">
        <v>48</v>
      </c>
      <c r="I224" t="s">
        <v>49</v>
      </c>
      <c r="K224">
        <v>202506258123751</v>
      </c>
      <c r="L224">
        <v>1183306277717</v>
      </c>
      <c r="M224">
        <v>20250625</v>
      </c>
      <c r="N224" t="s">
        <v>222</v>
      </c>
      <c r="P224" t="s">
        <v>303</v>
      </c>
      <c r="Q224" t="s">
        <v>61</v>
      </c>
      <c r="R224">
        <v>11882</v>
      </c>
      <c r="S224">
        <v>0</v>
      </c>
      <c r="T224">
        <v>4237439</v>
      </c>
      <c r="U224">
        <v>5982410721</v>
      </c>
      <c r="V224" t="s">
        <v>603</v>
      </c>
      <c r="W224" t="s">
        <v>58</v>
      </c>
      <c r="X224" t="s">
        <v>111</v>
      </c>
      <c r="Y224" t="s">
        <v>52</v>
      </c>
      <c r="Z224">
        <v>1203</v>
      </c>
      <c r="AH224">
        <v>0</v>
      </c>
      <c r="AI224">
        <v>202506</v>
      </c>
      <c r="AJ224" t="s">
        <v>203</v>
      </c>
      <c r="AK224">
        <v>1</v>
      </c>
      <c r="AL224">
        <v>1</v>
      </c>
      <c r="AO224">
        <v>0</v>
      </c>
      <c r="AP224">
        <v>462</v>
      </c>
      <c r="AQ224">
        <v>430</v>
      </c>
      <c r="AR224">
        <v>430462</v>
      </c>
      <c r="AS224" t="s">
        <v>65</v>
      </c>
      <c r="AU224" t="s">
        <v>65</v>
      </c>
      <c r="AV224">
        <v>1000</v>
      </c>
      <c r="AW224">
        <v>1186.4000000000001</v>
      </c>
      <c r="AX224">
        <v>1500</v>
      </c>
      <c r="AY224">
        <v>1680.386</v>
      </c>
      <c r="AZ224">
        <v>1992.48</v>
      </c>
      <c r="BA224">
        <v>2399.98</v>
      </c>
      <c r="BB224">
        <v>2739.2040000000002</v>
      </c>
      <c r="BC224">
        <v>3000</v>
      </c>
      <c r="BD224">
        <v>3500</v>
      </c>
      <c r="BE224">
        <v>4000</v>
      </c>
      <c r="BF224">
        <v>4800</v>
      </c>
      <c r="BG224">
        <v>5000</v>
      </c>
      <c r="BH224">
        <v>5024.4139999999998</v>
      </c>
      <c r="BI224">
        <v>5617.9639999999999</v>
      </c>
      <c r="BJ224">
        <v>9836.84</v>
      </c>
      <c r="BK224">
        <v>12377.16</v>
      </c>
      <c r="BL224">
        <v>16956.52800000002</v>
      </c>
      <c r="BM224">
        <v>20247.331999999999</v>
      </c>
      <c r="BN224">
        <v>29364.69400000001</v>
      </c>
      <c r="BO224">
        <v>45000</v>
      </c>
      <c r="BP224">
        <v>1149602.8999999999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 x14ac:dyDescent="0.35">
      <c r="A225">
        <v>360493</v>
      </c>
      <c r="B225" t="s">
        <v>289</v>
      </c>
      <c r="C225" t="s">
        <v>290</v>
      </c>
      <c r="D225" s="1">
        <v>45834</v>
      </c>
      <c r="E225">
        <v>53850</v>
      </c>
      <c r="F225">
        <v>171</v>
      </c>
      <c r="G225" t="s">
        <v>84</v>
      </c>
      <c r="H225" t="s">
        <v>48</v>
      </c>
      <c r="I225" t="s">
        <v>49</v>
      </c>
      <c r="K225" t="s">
        <v>604</v>
      </c>
      <c r="L225">
        <v>1713302217392</v>
      </c>
      <c r="M225">
        <v>20250625</v>
      </c>
      <c r="N225" t="s">
        <v>222</v>
      </c>
      <c r="P225" t="s">
        <v>303</v>
      </c>
      <c r="Q225" t="s">
        <v>61</v>
      </c>
      <c r="R225">
        <v>2300</v>
      </c>
      <c r="S225">
        <v>0</v>
      </c>
      <c r="T225">
        <v>4926340</v>
      </c>
      <c r="U225" t="s">
        <v>548</v>
      </c>
      <c r="V225" t="s">
        <v>549</v>
      </c>
      <c r="W225" t="s">
        <v>73</v>
      </c>
      <c r="X225" t="s">
        <v>82</v>
      </c>
      <c r="Y225" t="s">
        <v>52</v>
      </c>
      <c r="Z225">
        <v>732</v>
      </c>
      <c r="AH225">
        <v>0</v>
      </c>
      <c r="AI225">
        <v>202506</v>
      </c>
      <c r="AJ225" t="s">
        <v>203</v>
      </c>
      <c r="AK225">
        <v>1</v>
      </c>
      <c r="AL225">
        <v>1</v>
      </c>
      <c r="AO225">
        <v>0</v>
      </c>
      <c r="AP225">
        <v>999</v>
      </c>
      <c r="AQ225">
        <v>615</v>
      </c>
      <c r="AR225">
        <v>615999</v>
      </c>
      <c r="AT225">
        <v>1</v>
      </c>
      <c r="AU225" t="s">
        <v>65</v>
      </c>
      <c r="AV225">
        <v>1000</v>
      </c>
      <c r="AW225">
        <v>1186.4000000000001</v>
      </c>
      <c r="AX225">
        <v>1500</v>
      </c>
      <c r="AY225">
        <v>1680.386</v>
      </c>
      <c r="AZ225">
        <v>1992.48</v>
      </c>
      <c r="BA225">
        <v>2399.98</v>
      </c>
      <c r="BB225">
        <v>2739.2040000000002</v>
      </c>
      <c r="BC225">
        <v>3000</v>
      </c>
      <c r="BD225">
        <v>3500</v>
      </c>
      <c r="BE225">
        <v>4000</v>
      </c>
      <c r="BF225">
        <v>4800</v>
      </c>
      <c r="BG225">
        <v>5000</v>
      </c>
      <c r="BH225">
        <v>5024.4139999999998</v>
      </c>
      <c r="BI225">
        <v>5617.9639999999999</v>
      </c>
      <c r="BJ225">
        <v>9836.84</v>
      </c>
      <c r="BK225">
        <v>12377.16</v>
      </c>
      <c r="BL225">
        <v>16956.52800000002</v>
      </c>
      <c r="BM225">
        <v>20247.331999999999</v>
      </c>
      <c r="BN225">
        <v>29364.69400000001</v>
      </c>
      <c r="BO225">
        <v>45000</v>
      </c>
      <c r="BP225">
        <v>1149602.8999999999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 x14ac:dyDescent="0.35">
      <c r="A226">
        <v>360464</v>
      </c>
      <c r="B226" t="s">
        <v>289</v>
      </c>
      <c r="C226" t="s">
        <v>290</v>
      </c>
      <c r="D226" s="1">
        <v>45834</v>
      </c>
      <c r="E226">
        <v>53850</v>
      </c>
      <c r="F226">
        <v>111</v>
      </c>
      <c r="G226" t="s">
        <v>211</v>
      </c>
      <c r="H226" t="s">
        <v>48</v>
      </c>
      <c r="I226" t="s">
        <v>49</v>
      </c>
      <c r="K226">
        <v>202506248122915</v>
      </c>
      <c r="L226">
        <v>1113305626850</v>
      </c>
      <c r="M226">
        <v>20250624</v>
      </c>
      <c r="N226" t="s">
        <v>222</v>
      </c>
      <c r="P226" t="s">
        <v>291</v>
      </c>
      <c r="Q226" t="s">
        <v>50</v>
      </c>
      <c r="R226">
        <v>5000</v>
      </c>
      <c r="S226">
        <v>0</v>
      </c>
      <c r="T226">
        <v>562685</v>
      </c>
      <c r="U226" t="s">
        <v>317</v>
      </c>
      <c r="V226" t="s">
        <v>318</v>
      </c>
      <c r="W226" t="s">
        <v>51</v>
      </c>
      <c r="Y226" t="s">
        <v>52</v>
      </c>
      <c r="Z226">
        <v>593</v>
      </c>
      <c r="AH226">
        <v>0</v>
      </c>
      <c r="AI226">
        <v>202506</v>
      </c>
      <c r="AJ226" t="s">
        <v>203</v>
      </c>
      <c r="AK226">
        <v>1</v>
      </c>
      <c r="AL226">
        <v>1</v>
      </c>
      <c r="AO226">
        <v>0</v>
      </c>
      <c r="AP226">
        <v>999</v>
      </c>
      <c r="AQ226">
        <v>600</v>
      </c>
      <c r="AR226">
        <v>600999</v>
      </c>
      <c r="AS226" t="s">
        <v>53</v>
      </c>
      <c r="AU226" t="s">
        <v>53</v>
      </c>
      <c r="AV226">
        <v>1000</v>
      </c>
      <c r="AW226">
        <v>1186.4000000000001</v>
      </c>
      <c r="AX226">
        <v>1500</v>
      </c>
      <c r="AY226">
        <v>1680.386</v>
      </c>
      <c r="AZ226">
        <v>1992.48</v>
      </c>
      <c r="BA226">
        <v>2399.98</v>
      </c>
      <c r="BB226">
        <v>2739.2040000000002</v>
      </c>
      <c r="BC226">
        <v>3000</v>
      </c>
      <c r="BD226">
        <v>3500</v>
      </c>
      <c r="BE226">
        <v>4000</v>
      </c>
      <c r="BF226">
        <v>4800</v>
      </c>
      <c r="BG226">
        <v>5000</v>
      </c>
      <c r="BH226">
        <v>5024.4139999999998</v>
      </c>
      <c r="BI226">
        <v>5617.9639999999999</v>
      </c>
      <c r="BJ226">
        <v>9836.84</v>
      </c>
      <c r="BK226">
        <v>12377.16</v>
      </c>
      <c r="BL226">
        <v>16956.52800000002</v>
      </c>
      <c r="BM226">
        <v>20247.331999999999</v>
      </c>
      <c r="BN226">
        <v>29364.69400000001</v>
      </c>
      <c r="BO226">
        <v>45000</v>
      </c>
      <c r="BP226">
        <v>1149602.8999999999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 x14ac:dyDescent="0.35">
      <c r="A227">
        <v>360435</v>
      </c>
      <c r="B227" t="s">
        <v>289</v>
      </c>
      <c r="C227" t="s">
        <v>290</v>
      </c>
      <c r="D227" s="1">
        <v>45833</v>
      </c>
      <c r="E227">
        <v>53850</v>
      </c>
      <c r="F227">
        <v>169</v>
      </c>
      <c r="G227" t="s">
        <v>214</v>
      </c>
      <c r="H227" t="s">
        <v>48</v>
      </c>
      <c r="I227" t="s">
        <v>49</v>
      </c>
      <c r="K227">
        <v>202506248121006</v>
      </c>
      <c r="L227">
        <v>1693302225120</v>
      </c>
      <c r="M227">
        <v>20250624</v>
      </c>
      <c r="N227" t="s">
        <v>222</v>
      </c>
      <c r="P227" t="s">
        <v>136</v>
      </c>
      <c r="Q227" t="s">
        <v>61</v>
      </c>
      <c r="R227">
        <v>7855</v>
      </c>
      <c r="S227">
        <v>0</v>
      </c>
      <c r="T227">
        <v>4535489</v>
      </c>
      <c r="U227" t="s">
        <v>605</v>
      </c>
      <c r="V227" t="s">
        <v>606</v>
      </c>
      <c r="W227" t="s">
        <v>73</v>
      </c>
      <c r="X227" t="s">
        <v>320</v>
      </c>
      <c r="Y227" t="s">
        <v>52</v>
      </c>
      <c r="Z227">
        <v>905</v>
      </c>
      <c r="AH227">
        <v>0</v>
      </c>
      <c r="AI227">
        <v>202506</v>
      </c>
      <c r="AJ227" t="s">
        <v>203</v>
      </c>
      <c r="AK227">
        <v>1</v>
      </c>
      <c r="AL227">
        <v>1</v>
      </c>
      <c r="AO227">
        <v>0</v>
      </c>
      <c r="AP227">
        <v>999</v>
      </c>
      <c r="AQ227">
        <v>615</v>
      </c>
      <c r="AR227">
        <v>615999</v>
      </c>
      <c r="AT227">
        <v>1</v>
      </c>
      <c r="AU227" t="s">
        <v>65</v>
      </c>
      <c r="AV227">
        <v>1000</v>
      </c>
      <c r="AW227">
        <v>1186.4000000000001</v>
      </c>
      <c r="AX227">
        <v>1500</v>
      </c>
      <c r="AY227">
        <v>1680.386</v>
      </c>
      <c r="AZ227">
        <v>1992.48</v>
      </c>
      <c r="BA227">
        <v>2399.98</v>
      </c>
      <c r="BB227">
        <v>2739.2040000000002</v>
      </c>
      <c r="BC227">
        <v>3000</v>
      </c>
      <c r="BD227">
        <v>3500</v>
      </c>
      <c r="BE227">
        <v>4000</v>
      </c>
      <c r="BF227">
        <v>4800</v>
      </c>
      <c r="BG227">
        <v>5000</v>
      </c>
      <c r="BH227">
        <v>5024.4139999999998</v>
      </c>
      <c r="BI227">
        <v>5617.9639999999999</v>
      </c>
      <c r="BJ227">
        <v>9836.84</v>
      </c>
      <c r="BK227">
        <v>12377.16</v>
      </c>
      <c r="BL227">
        <v>16956.52800000002</v>
      </c>
      <c r="BM227">
        <v>20247.331999999999</v>
      </c>
      <c r="BN227">
        <v>29364.69400000001</v>
      </c>
      <c r="BO227">
        <v>45000</v>
      </c>
      <c r="BP227">
        <v>1149602.8999999999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 x14ac:dyDescent="0.35">
      <c r="A228">
        <v>360418</v>
      </c>
      <c r="B228" t="s">
        <v>289</v>
      </c>
      <c r="C228" t="s">
        <v>290</v>
      </c>
      <c r="D228" s="1">
        <v>45832</v>
      </c>
      <c r="E228">
        <v>53850</v>
      </c>
      <c r="F228">
        <v>274</v>
      </c>
      <c r="G228" t="s">
        <v>134</v>
      </c>
      <c r="H228" t="s">
        <v>48</v>
      </c>
      <c r="I228" t="s">
        <v>49</v>
      </c>
      <c r="K228" t="s">
        <v>607</v>
      </c>
      <c r="L228">
        <v>2743300000272</v>
      </c>
      <c r="M228">
        <v>20250623</v>
      </c>
      <c r="N228" t="s">
        <v>222</v>
      </c>
      <c r="P228" t="s">
        <v>303</v>
      </c>
      <c r="Q228" t="s">
        <v>61</v>
      </c>
      <c r="R228">
        <v>2739.39</v>
      </c>
      <c r="S228">
        <v>0</v>
      </c>
      <c r="T228">
        <v>1622875</v>
      </c>
      <c r="U228">
        <v>1689300695</v>
      </c>
      <c r="V228" t="s">
        <v>312</v>
      </c>
      <c r="W228" t="s">
        <v>58</v>
      </c>
      <c r="X228" t="s">
        <v>105</v>
      </c>
      <c r="Y228" t="s">
        <v>52</v>
      </c>
      <c r="Z228">
        <v>1413</v>
      </c>
      <c r="AH228">
        <v>0</v>
      </c>
      <c r="AI228">
        <v>202506</v>
      </c>
      <c r="AJ228" t="s">
        <v>55</v>
      </c>
      <c r="AK228">
        <v>0</v>
      </c>
      <c r="AL228">
        <v>1</v>
      </c>
      <c r="AO228">
        <v>0</v>
      </c>
      <c r="AP228">
        <v>999</v>
      </c>
      <c r="AQ228">
        <v>430</v>
      </c>
      <c r="AR228">
        <v>430999</v>
      </c>
      <c r="AT228">
        <v>1</v>
      </c>
      <c r="AU228" t="s">
        <v>59</v>
      </c>
      <c r="AV228">
        <v>1000</v>
      </c>
      <c r="AW228">
        <v>1186.4000000000001</v>
      </c>
      <c r="AX228">
        <v>1500</v>
      </c>
      <c r="AY228">
        <v>1680.386</v>
      </c>
      <c r="AZ228">
        <v>1992.48</v>
      </c>
      <c r="BA228">
        <v>2399.98</v>
      </c>
      <c r="BB228">
        <v>2739.2040000000002</v>
      </c>
      <c r="BC228">
        <v>3000</v>
      </c>
      <c r="BD228">
        <v>3500</v>
      </c>
      <c r="BE228">
        <v>4000</v>
      </c>
      <c r="BF228">
        <v>4800</v>
      </c>
      <c r="BG228">
        <v>5000</v>
      </c>
      <c r="BH228">
        <v>5024.4139999999998</v>
      </c>
      <c r="BI228">
        <v>5617.9639999999999</v>
      </c>
      <c r="BJ228">
        <v>9836.84</v>
      </c>
      <c r="BK228">
        <v>12377.16</v>
      </c>
      <c r="BL228">
        <v>16956.52800000002</v>
      </c>
      <c r="BM228">
        <v>20247.331999999999</v>
      </c>
      <c r="BN228">
        <v>29364.69400000001</v>
      </c>
      <c r="BO228">
        <v>45000</v>
      </c>
      <c r="BP228">
        <v>1149602.8999999999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 x14ac:dyDescent="0.35">
      <c r="A229">
        <v>360409</v>
      </c>
      <c r="B229" t="s">
        <v>289</v>
      </c>
      <c r="C229" t="s">
        <v>290</v>
      </c>
      <c r="D229" s="1">
        <v>45832</v>
      </c>
      <c r="E229">
        <v>53850</v>
      </c>
      <c r="F229">
        <v>192</v>
      </c>
      <c r="G229" t="s">
        <v>87</v>
      </c>
      <c r="H229" t="s">
        <v>48</v>
      </c>
      <c r="I229" t="s">
        <v>49</v>
      </c>
      <c r="K229">
        <v>202506238117145</v>
      </c>
      <c r="L229">
        <v>1923300181730</v>
      </c>
      <c r="M229">
        <v>20250623</v>
      </c>
      <c r="N229" t="s">
        <v>222</v>
      </c>
      <c r="P229" t="s">
        <v>296</v>
      </c>
      <c r="Q229" t="s">
        <v>61</v>
      </c>
      <c r="R229">
        <v>10930</v>
      </c>
      <c r="S229">
        <v>0</v>
      </c>
      <c r="T229">
        <v>4728790</v>
      </c>
      <c r="U229">
        <v>7892320966</v>
      </c>
      <c r="V229" t="s">
        <v>608</v>
      </c>
      <c r="W229" t="s">
        <v>58</v>
      </c>
      <c r="X229" t="s">
        <v>609</v>
      </c>
      <c r="Y229" t="s">
        <v>52</v>
      </c>
      <c r="Z229">
        <v>1907</v>
      </c>
      <c r="AH229">
        <v>0</v>
      </c>
      <c r="AI229">
        <v>202506</v>
      </c>
      <c r="AJ229" t="s">
        <v>203</v>
      </c>
      <c r="AK229">
        <v>1</v>
      </c>
      <c r="AL229">
        <v>1</v>
      </c>
      <c r="AO229">
        <v>0</v>
      </c>
      <c r="AP229">
        <v>999</v>
      </c>
      <c r="AQ229">
        <v>430</v>
      </c>
      <c r="AR229">
        <v>430999</v>
      </c>
      <c r="AT229">
        <v>1</v>
      </c>
      <c r="AU229" t="s">
        <v>59</v>
      </c>
      <c r="AV229">
        <v>1000</v>
      </c>
      <c r="AW229">
        <v>1186.4000000000001</v>
      </c>
      <c r="AX229">
        <v>1500</v>
      </c>
      <c r="AY229">
        <v>1680.386</v>
      </c>
      <c r="AZ229">
        <v>1992.48</v>
      </c>
      <c r="BA229">
        <v>2399.98</v>
      </c>
      <c r="BB229">
        <v>2739.2040000000002</v>
      </c>
      <c r="BC229">
        <v>3000</v>
      </c>
      <c r="BD229">
        <v>3500</v>
      </c>
      <c r="BE229">
        <v>4000</v>
      </c>
      <c r="BF229">
        <v>4800</v>
      </c>
      <c r="BG229">
        <v>5000</v>
      </c>
      <c r="BH229">
        <v>5024.4139999999998</v>
      </c>
      <c r="BI229">
        <v>5617.9639999999999</v>
      </c>
      <c r="BJ229">
        <v>9836.84</v>
      </c>
      <c r="BK229">
        <v>12377.16</v>
      </c>
      <c r="BL229">
        <v>16956.52800000002</v>
      </c>
      <c r="BM229">
        <v>20247.331999999999</v>
      </c>
      <c r="BN229">
        <v>29364.69400000001</v>
      </c>
      <c r="BO229">
        <v>45000</v>
      </c>
      <c r="BP229">
        <v>1149602.8999999999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 x14ac:dyDescent="0.35">
      <c r="A230">
        <v>360407</v>
      </c>
      <c r="B230" t="s">
        <v>289</v>
      </c>
      <c r="C230" t="s">
        <v>290</v>
      </c>
      <c r="D230" s="1">
        <v>45832</v>
      </c>
      <c r="E230">
        <v>53850</v>
      </c>
      <c r="F230">
        <v>149</v>
      </c>
      <c r="G230" t="s">
        <v>107</v>
      </c>
      <c r="H230" t="s">
        <v>48</v>
      </c>
      <c r="I230" t="s">
        <v>49</v>
      </c>
      <c r="K230">
        <v>202506238117440</v>
      </c>
      <c r="L230">
        <v>1493300663564</v>
      </c>
      <c r="M230">
        <v>20250623</v>
      </c>
      <c r="N230" t="s">
        <v>222</v>
      </c>
      <c r="P230" t="s">
        <v>303</v>
      </c>
      <c r="Q230" t="s">
        <v>61</v>
      </c>
      <c r="R230">
        <v>16286.5</v>
      </c>
      <c r="S230">
        <v>0</v>
      </c>
      <c r="T230">
        <v>4851736</v>
      </c>
      <c r="U230">
        <v>8243781211</v>
      </c>
      <c r="V230" t="s">
        <v>447</v>
      </c>
      <c r="W230" t="s">
        <v>58</v>
      </c>
      <c r="X230" t="s">
        <v>137</v>
      </c>
      <c r="Y230" t="s">
        <v>52</v>
      </c>
      <c r="Z230">
        <v>1256</v>
      </c>
      <c r="AH230">
        <v>0</v>
      </c>
      <c r="AI230">
        <v>202506</v>
      </c>
      <c r="AJ230" t="s">
        <v>203</v>
      </c>
      <c r="AK230">
        <v>1</v>
      </c>
      <c r="AL230">
        <v>1</v>
      </c>
      <c r="AO230">
        <v>0</v>
      </c>
      <c r="AP230">
        <v>999</v>
      </c>
      <c r="AQ230">
        <v>430</v>
      </c>
      <c r="AR230">
        <v>430999</v>
      </c>
      <c r="AT230">
        <v>1</v>
      </c>
      <c r="AU230" t="s">
        <v>59</v>
      </c>
      <c r="AV230">
        <v>1000</v>
      </c>
      <c r="AW230">
        <v>1186.4000000000001</v>
      </c>
      <c r="AX230">
        <v>1500</v>
      </c>
      <c r="AY230">
        <v>1680.386</v>
      </c>
      <c r="AZ230">
        <v>1992.48</v>
      </c>
      <c r="BA230">
        <v>2399.98</v>
      </c>
      <c r="BB230">
        <v>2739.2040000000002</v>
      </c>
      <c r="BC230">
        <v>3000</v>
      </c>
      <c r="BD230">
        <v>3500</v>
      </c>
      <c r="BE230">
        <v>4000</v>
      </c>
      <c r="BF230">
        <v>4800</v>
      </c>
      <c r="BG230">
        <v>5000</v>
      </c>
      <c r="BH230">
        <v>5024.4139999999998</v>
      </c>
      <c r="BI230">
        <v>5617.9639999999999</v>
      </c>
      <c r="BJ230">
        <v>9836.84</v>
      </c>
      <c r="BK230">
        <v>12377.16</v>
      </c>
      <c r="BL230">
        <v>16956.52800000002</v>
      </c>
      <c r="BM230">
        <v>20247.331999999999</v>
      </c>
      <c r="BN230">
        <v>29364.69400000001</v>
      </c>
      <c r="BO230">
        <v>45000</v>
      </c>
      <c r="BP230">
        <v>1149602.8999999999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 x14ac:dyDescent="0.35">
      <c r="A231">
        <v>360406</v>
      </c>
      <c r="B231" t="s">
        <v>289</v>
      </c>
      <c r="C231" t="s">
        <v>290</v>
      </c>
      <c r="D231" s="1">
        <v>45832</v>
      </c>
      <c r="E231">
        <v>53850</v>
      </c>
      <c r="F231">
        <v>175</v>
      </c>
      <c r="G231" t="s">
        <v>72</v>
      </c>
      <c r="H231" t="s">
        <v>48</v>
      </c>
      <c r="I231" t="s">
        <v>49</v>
      </c>
      <c r="K231" t="s">
        <v>610</v>
      </c>
      <c r="L231">
        <v>1753302204249</v>
      </c>
      <c r="M231">
        <v>20250623</v>
      </c>
      <c r="N231" t="s">
        <v>222</v>
      </c>
      <c r="P231" t="s">
        <v>303</v>
      </c>
      <c r="Q231" t="s">
        <v>61</v>
      </c>
      <c r="R231">
        <v>1000</v>
      </c>
      <c r="S231">
        <v>0</v>
      </c>
      <c r="T231">
        <v>4971678</v>
      </c>
      <c r="U231" t="s">
        <v>611</v>
      </c>
      <c r="V231" t="s">
        <v>612</v>
      </c>
      <c r="W231" t="s">
        <v>101</v>
      </c>
      <c r="X231" t="s">
        <v>387</v>
      </c>
      <c r="Y231" t="s">
        <v>52</v>
      </c>
      <c r="Z231">
        <v>1093</v>
      </c>
      <c r="AH231">
        <v>0</v>
      </c>
      <c r="AI231">
        <v>202506</v>
      </c>
      <c r="AJ231" t="s">
        <v>203</v>
      </c>
      <c r="AK231">
        <v>1</v>
      </c>
      <c r="AL231">
        <v>1</v>
      </c>
      <c r="AO231">
        <v>0</v>
      </c>
      <c r="AP231">
        <v>999</v>
      </c>
      <c r="AQ231">
        <v>614</v>
      </c>
      <c r="AR231">
        <v>614999</v>
      </c>
      <c r="AT231">
        <v>1</v>
      </c>
      <c r="AU231" t="s">
        <v>65</v>
      </c>
      <c r="AV231">
        <v>1000</v>
      </c>
      <c r="AW231">
        <v>1186.4000000000001</v>
      </c>
      <c r="AX231">
        <v>1500</v>
      </c>
      <c r="AY231">
        <v>1680.386</v>
      </c>
      <c r="AZ231">
        <v>1992.48</v>
      </c>
      <c r="BA231">
        <v>2399.98</v>
      </c>
      <c r="BB231">
        <v>2739.2040000000002</v>
      </c>
      <c r="BC231">
        <v>3000</v>
      </c>
      <c r="BD231">
        <v>3500</v>
      </c>
      <c r="BE231">
        <v>4000</v>
      </c>
      <c r="BF231">
        <v>4800</v>
      </c>
      <c r="BG231">
        <v>5000</v>
      </c>
      <c r="BH231">
        <v>5024.4139999999998</v>
      </c>
      <c r="BI231">
        <v>5617.9639999999999</v>
      </c>
      <c r="BJ231">
        <v>9836.84</v>
      </c>
      <c r="BK231">
        <v>12377.16</v>
      </c>
      <c r="BL231">
        <v>16956.52800000002</v>
      </c>
      <c r="BM231">
        <v>20247.331999999999</v>
      </c>
      <c r="BN231">
        <v>29364.69400000001</v>
      </c>
      <c r="BO231">
        <v>45000</v>
      </c>
      <c r="BP231">
        <v>1149602.8999999999</v>
      </c>
      <c r="BQ231">
        <v>1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 x14ac:dyDescent="0.35">
      <c r="A232">
        <v>360395</v>
      </c>
      <c r="B232" t="s">
        <v>289</v>
      </c>
      <c r="C232" t="s">
        <v>290</v>
      </c>
      <c r="D232" s="1">
        <v>45832</v>
      </c>
      <c r="E232">
        <v>53850</v>
      </c>
      <c r="F232">
        <v>111</v>
      </c>
      <c r="G232" t="s">
        <v>211</v>
      </c>
      <c r="H232" t="s">
        <v>48</v>
      </c>
      <c r="I232" t="s">
        <v>49</v>
      </c>
      <c r="K232" t="s">
        <v>613</v>
      </c>
      <c r="L232">
        <v>1113302815423</v>
      </c>
      <c r="M232">
        <v>20250623</v>
      </c>
      <c r="N232" t="s">
        <v>222</v>
      </c>
      <c r="P232" t="s">
        <v>291</v>
      </c>
      <c r="Q232" t="s">
        <v>50</v>
      </c>
      <c r="R232">
        <v>2150</v>
      </c>
      <c r="S232">
        <v>0</v>
      </c>
      <c r="T232">
        <v>4943888</v>
      </c>
      <c r="U232" t="s">
        <v>614</v>
      </c>
      <c r="V232" t="s">
        <v>615</v>
      </c>
      <c r="W232" t="s">
        <v>51</v>
      </c>
      <c r="Y232" t="s">
        <v>52</v>
      </c>
      <c r="Z232">
        <v>593</v>
      </c>
      <c r="AH232">
        <v>0</v>
      </c>
      <c r="AI232">
        <v>202506</v>
      </c>
      <c r="AJ232" t="s">
        <v>203</v>
      </c>
      <c r="AK232">
        <v>1</v>
      </c>
      <c r="AL232">
        <v>1</v>
      </c>
      <c r="AO232">
        <v>0</v>
      </c>
      <c r="AP232">
        <v>999</v>
      </c>
      <c r="AQ232">
        <v>600</v>
      </c>
      <c r="AR232">
        <v>600999</v>
      </c>
      <c r="AS232" t="s">
        <v>53</v>
      </c>
      <c r="AU232" t="s">
        <v>53</v>
      </c>
      <c r="AV232">
        <v>1000</v>
      </c>
      <c r="AW232">
        <v>1186.4000000000001</v>
      </c>
      <c r="AX232">
        <v>1500</v>
      </c>
      <c r="AY232">
        <v>1680.386</v>
      </c>
      <c r="AZ232">
        <v>1992.48</v>
      </c>
      <c r="BA232">
        <v>2399.98</v>
      </c>
      <c r="BB232">
        <v>2739.2040000000002</v>
      </c>
      <c r="BC232">
        <v>3000</v>
      </c>
      <c r="BD232">
        <v>3500</v>
      </c>
      <c r="BE232">
        <v>4000</v>
      </c>
      <c r="BF232">
        <v>4800</v>
      </c>
      <c r="BG232">
        <v>5000</v>
      </c>
      <c r="BH232">
        <v>5024.4139999999998</v>
      </c>
      <c r="BI232">
        <v>5617.9639999999999</v>
      </c>
      <c r="BJ232">
        <v>9836.84</v>
      </c>
      <c r="BK232">
        <v>12377.16</v>
      </c>
      <c r="BL232">
        <v>16956.52800000002</v>
      </c>
      <c r="BM232">
        <v>20247.331999999999</v>
      </c>
      <c r="BN232">
        <v>29364.69400000001</v>
      </c>
      <c r="BO232">
        <v>45000</v>
      </c>
      <c r="BP232">
        <v>1149602.8999999999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 x14ac:dyDescent="0.35">
      <c r="A233">
        <v>360382</v>
      </c>
      <c r="B233" t="s">
        <v>289</v>
      </c>
      <c r="C233" t="s">
        <v>290</v>
      </c>
      <c r="D233" s="1">
        <v>45832</v>
      </c>
      <c r="E233">
        <v>53850</v>
      </c>
      <c r="F233">
        <v>261</v>
      </c>
      <c r="G233" t="s">
        <v>96</v>
      </c>
      <c r="H233" t="s">
        <v>48</v>
      </c>
      <c r="I233" t="s">
        <v>49</v>
      </c>
      <c r="K233" t="s">
        <v>702</v>
      </c>
      <c r="L233">
        <v>2613300010205</v>
      </c>
      <c r="M233">
        <v>20250623</v>
      </c>
      <c r="N233" t="s">
        <v>222</v>
      </c>
      <c r="P233" t="s">
        <v>303</v>
      </c>
      <c r="Q233" t="s">
        <v>50</v>
      </c>
      <c r="R233">
        <v>1130</v>
      </c>
      <c r="S233">
        <v>0</v>
      </c>
      <c r="T233">
        <v>4991786</v>
      </c>
      <c r="U233">
        <v>993400944</v>
      </c>
      <c r="V233" t="s">
        <v>698</v>
      </c>
      <c r="W233" t="s">
        <v>58</v>
      </c>
      <c r="X233" t="s">
        <v>470</v>
      </c>
      <c r="Y233" t="s">
        <v>52</v>
      </c>
      <c r="Z233">
        <v>1782</v>
      </c>
      <c r="AH233">
        <v>0</v>
      </c>
      <c r="AI233">
        <v>202506</v>
      </c>
      <c r="AJ233" t="s">
        <v>68</v>
      </c>
      <c r="AK233">
        <v>0</v>
      </c>
      <c r="AL233">
        <v>1</v>
      </c>
      <c r="AM233">
        <v>4991786</v>
      </c>
      <c r="AN233">
        <v>1</v>
      </c>
      <c r="AO233">
        <v>0</v>
      </c>
      <c r="AP233">
        <v>999</v>
      </c>
      <c r="AQ233">
        <v>430</v>
      </c>
      <c r="AR233">
        <v>430999</v>
      </c>
      <c r="AT233">
        <v>1</v>
      </c>
      <c r="AU233" t="s">
        <v>59</v>
      </c>
      <c r="AV233">
        <v>1000</v>
      </c>
      <c r="AW233">
        <v>1186.4000000000001</v>
      </c>
      <c r="AX233">
        <v>1500</v>
      </c>
      <c r="AY233">
        <v>1680.386</v>
      </c>
      <c r="AZ233">
        <v>1992.48</v>
      </c>
      <c r="BA233">
        <v>2399.98</v>
      </c>
      <c r="BB233">
        <v>2739.2040000000002</v>
      </c>
      <c r="BC233">
        <v>3000</v>
      </c>
      <c r="BD233">
        <v>3500</v>
      </c>
      <c r="BE233">
        <v>4000</v>
      </c>
      <c r="BF233">
        <v>4800</v>
      </c>
      <c r="BG233">
        <v>5000</v>
      </c>
      <c r="BH233">
        <v>5024.4139999999998</v>
      </c>
      <c r="BI233">
        <v>5617.9639999999999</v>
      </c>
      <c r="BJ233">
        <v>9836.84</v>
      </c>
      <c r="BK233">
        <v>12377.16</v>
      </c>
      <c r="BL233">
        <v>16956.52800000002</v>
      </c>
      <c r="BM233">
        <v>20247.331999999999</v>
      </c>
      <c r="BN233">
        <v>29364.69400000001</v>
      </c>
      <c r="BO233">
        <v>45000</v>
      </c>
      <c r="BP233">
        <v>1149602.8999999999</v>
      </c>
      <c r="BQ233">
        <v>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 x14ac:dyDescent="0.35">
      <c r="A234">
        <v>360370</v>
      </c>
      <c r="B234" t="s">
        <v>289</v>
      </c>
      <c r="C234" t="s">
        <v>290</v>
      </c>
      <c r="D234" s="1">
        <v>45832</v>
      </c>
      <c r="E234">
        <v>53850</v>
      </c>
      <c r="F234">
        <v>168</v>
      </c>
      <c r="G234" t="s">
        <v>213</v>
      </c>
      <c r="H234" t="s">
        <v>48</v>
      </c>
      <c r="I234" t="s">
        <v>49</v>
      </c>
      <c r="K234" t="s">
        <v>616</v>
      </c>
      <c r="L234">
        <v>1683306277308</v>
      </c>
      <c r="M234">
        <v>20250623</v>
      </c>
      <c r="N234" t="s">
        <v>222</v>
      </c>
      <c r="P234" t="s">
        <v>303</v>
      </c>
      <c r="Q234" t="s">
        <v>50</v>
      </c>
      <c r="R234">
        <v>3950</v>
      </c>
      <c r="S234">
        <v>0</v>
      </c>
      <c r="T234">
        <v>4950606</v>
      </c>
      <c r="U234">
        <v>7856760728</v>
      </c>
      <c r="V234" t="s">
        <v>460</v>
      </c>
      <c r="W234" t="s">
        <v>58</v>
      </c>
      <c r="X234" t="s">
        <v>108</v>
      </c>
      <c r="Y234" t="s">
        <v>52</v>
      </c>
      <c r="Z234">
        <v>1926</v>
      </c>
      <c r="AH234">
        <v>0</v>
      </c>
      <c r="AI234">
        <v>202506</v>
      </c>
      <c r="AJ234" t="s">
        <v>203</v>
      </c>
      <c r="AK234">
        <v>1</v>
      </c>
      <c r="AL234">
        <v>1</v>
      </c>
      <c r="AO234">
        <v>0</v>
      </c>
      <c r="AP234">
        <v>999</v>
      </c>
      <c r="AQ234">
        <v>430</v>
      </c>
      <c r="AR234">
        <v>430999</v>
      </c>
      <c r="AT234">
        <v>1</v>
      </c>
      <c r="AU234" t="s">
        <v>59</v>
      </c>
      <c r="AV234">
        <v>1000</v>
      </c>
      <c r="AW234">
        <v>1186.4000000000001</v>
      </c>
      <c r="AX234">
        <v>1500</v>
      </c>
      <c r="AY234">
        <v>1680.386</v>
      </c>
      <c r="AZ234">
        <v>1992.48</v>
      </c>
      <c r="BA234">
        <v>2399.98</v>
      </c>
      <c r="BB234">
        <v>2739.2040000000002</v>
      </c>
      <c r="BC234">
        <v>3000</v>
      </c>
      <c r="BD234">
        <v>3500</v>
      </c>
      <c r="BE234">
        <v>4000</v>
      </c>
      <c r="BF234">
        <v>4800</v>
      </c>
      <c r="BG234">
        <v>5000</v>
      </c>
      <c r="BH234">
        <v>5024.4139999999998</v>
      </c>
      <c r="BI234">
        <v>5617.9639999999999</v>
      </c>
      <c r="BJ234">
        <v>9836.84</v>
      </c>
      <c r="BK234">
        <v>12377.16</v>
      </c>
      <c r="BL234">
        <v>16956.52800000002</v>
      </c>
      <c r="BM234">
        <v>20247.331999999999</v>
      </c>
      <c r="BN234">
        <v>29364.69400000001</v>
      </c>
      <c r="BO234">
        <v>45000</v>
      </c>
      <c r="BP234">
        <v>1149602.8999999999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 x14ac:dyDescent="0.35">
      <c r="A235">
        <v>360367</v>
      </c>
      <c r="B235" t="s">
        <v>289</v>
      </c>
      <c r="C235" t="s">
        <v>290</v>
      </c>
      <c r="D235" s="1">
        <v>45832</v>
      </c>
      <c r="E235">
        <v>53850</v>
      </c>
      <c r="F235">
        <v>187</v>
      </c>
      <c r="G235" t="s">
        <v>75</v>
      </c>
      <c r="H235" t="s">
        <v>48</v>
      </c>
      <c r="I235" t="s">
        <v>49</v>
      </c>
      <c r="K235" t="s">
        <v>617</v>
      </c>
      <c r="L235">
        <v>1873300102696</v>
      </c>
      <c r="M235">
        <v>20250623</v>
      </c>
      <c r="N235" t="s">
        <v>222</v>
      </c>
      <c r="P235" t="s">
        <v>303</v>
      </c>
      <c r="Q235" t="s">
        <v>61</v>
      </c>
      <c r="R235">
        <v>1667.31</v>
      </c>
      <c r="S235">
        <v>0</v>
      </c>
      <c r="T235">
        <v>4000559</v>
      </c>
      <c r="U235">
        <v>2099160737</v>
      </c>
      <c r="V235" t="s">
        <v>117</v>
      </c>
      <c r="W235" t="s">
        <v>58</v>
      </c>
      <c r="X235" t="s">
        <v>86</v>
      </c>
      <c r="Y235" t="s">
        <v>52</v>
      </c>
      <c r="Z235">
        <v>1627</v>
      </c>
      <c r="AH235">
        <v>0</v>
      </c>
      <c r="AI235">
        <v>202506</v>
      </c>
      <c r="AJ235" t="s">
        <v>68</v>
      </c>
      <c r="AK235">
        <v>0</v>
      </c>
      <c r="AL235">
        <v>1</v>
      </c>
      <c r="AO235">
        <v>0</v>
      </c>
      <c r="AP235">
        <v>463</v>
      </c>
      <c r="AQ235">
        <v>430</v>
      </c>
      <c r="AR235">
        <v>430463</v>
      </c>
      <c r="AS235" t="s">
        <v>65</v>
      </c>
      <c r="AU235" t="s">
        <v>65</v>
      </c>
      <c r="AV235">
        <v>1000</v>
      </c>
      <c r="AW235">
        <v>1186.4000000000001</v>
      </c>
      <c r="AX235">
        <v>1500</v>
      </c>
      <c r="AY235">
        <v>1680.386</v>
      </c>
      <c r="AZ235">
        <v>1992.48</v>
      </c>
      <c r="BA235">
        <v>2399.98</v>
      </c>
      <c r="BB235">
        <v>2739.2040000000002</v>
      </c>
      <c r="BC235">
        <v>3000</v>
      </c>
      <c r="BD235">
        <v>3500</v>
      </c>
      <c r="BE235">
        <v>4000</v>
      </c>
      <c r="BF235">
        <v>4800</v>
      </c>
      <c r="BG235">
        <v>5000</v>
      </c>
      <c r="BH235">
        <v>5024.4139999999998</v>
      </c>
      <c r="BI235">
        <v>5617.9639999999999</v>
      </c>
      <c r="BJ235">
        <v>9836.84</v>
      </c>
      <c r="BK235">
        <v>12377.16</v>
      </c>
      <c r="BL235">
        <v>16956.52800000002</v>
      </c>
      <c r="BM235">
        <v>20247.331999999999</v>
      </c>
      <c r="BN235">
        <v>29364.69400000001</v>
      </c>
      <c r="BO235">
        <v>45000</v>
      </c>
      <c r="BP235">
        <v>1149602.8999999999</v>
      </c>
      <c r="BQ235">
        <v>1</v>
      </c>
      <c r="BR235">
        <v>1</v>
      </c>
      <c r="BS235">
        <v>1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 x14ac:dyDescent="0.35">
      <c r="A236">
        <v>360341</v>
      </c>
      <c r="B236" t="s">
        <v>289</v>
      </c>
      <c r="C236" t="s">
        <v>290</v>
      </c>
      <c r="D236" s="1">
        <v>45829</v>
      </c>
      <c r="E236">
        <v>53850</v>
      </c>
      <c r="F236">
        <v>104</v>
      </c>
      <c r="G236" t="s">
        <v>54</v>
      </c>
      <c r="H236" t="s">
        <v>48</v>
      </c>
      <c r="I236" t="s">
        <v>49</v>
      </c>
      <c r="K236" t="s">
        <v>618</v>
      </c>
      <c r="L236">
        <v>1043301449295</v>
      </c>
      <c r="M236">
        <v>20250620</v>
      </c>
      <c r="N236" t="s">
        <v>222</v>
      </c>
      <c r="P236" t="s">
        <v>303</v>
      </c>
      <c r="Q236" t="s">
        <v>61</v>
      </c>
      <c r="R236">
        <v>2399.31</v>
      </c>
      <c r="S236">
        <v>0</v>
      </c>
      <c r="T236">
        <v>4627975</v>
      </c>
      <c r="U236">
        <v>7107300720</v>
      </c>
      <c r="V236" t="s">
        <v>358</v>
      </c>
      <c r="W236" t="s">
        <v>58</v>
      </c>
      <c r="X236" t="s">
        <v>359</v>
      </c>
      <c r="Y236" t="s">
        <v>52</v>
      </c>
      <c r="Z236">
        <v>727</v>
      </c>
      <c r="AH236">
        <v>0</v>
      </c>
      <c r="AI236">
        <v>202506</v>
      </c>
      <c r="AJ236" t="s">
        <v>203</v>
      </c>
      <c r="AK236">
        <v>1</v>
      </c>
      <c r="AL236">
        <v>1</v>
      </c>
      <c r="AO236">
        <v>0</v>
      </c>
      <c r="AP236">
        <v>999</v>
      </c>
      <c r="AQ236">
        <v>430</v>
      </c>
      <c r="AR236">
        <v>430999</v>
      </c>
      <c r="AT236">
        <v>1</v>
      </c>
      <c r="AU236" t="s">
        <v>59</v>
      </c>
      <c r="AV236">
        <v>1000</v>
      </c>
      <c r="AW236">
        <v>1186.4000000000001</v>
      </c>
      <c r="AX236">
        <v>1500</v>
      </c>
      <c r="AY236">
        <v>1680.386</v>
      </c>
      <c r="AZ236">
        <v>1992.48</v>
      </c>
      <c r="BA236">
        <v>2399.98</v>
      </c>
      <c r="BB236">
        <v>2739.2040000000002</v>
      </c>
      <c r="BC236">
        <v>3000</v>
      </c>
      <c r="BD236">
        <v>3500</v>
      </c>
      <c r="BE236">
        <v>4000</v>
      </c>
      <c r="BF236">
        <v>4800</v>
      </c>
      <c r="BG236">
        <v>5000</v>
      </c>
      <c r="BH236">
        <v>5024.4139999999998</v>
      </c>
      <c r="BI236">
        <v>5617.9639999999999</v>
      </c>
      <c r="BJ236">
        <v>9836.84</v>
      </c>
      <c r="BK236">
        <v>12377.16</v>
      </c>
      <c r="BL236">
        <v>16956.52800000002</v>
      </c>
      <c r="BM236">
        <v>20247.331999999999</v>
      </c>
      <c r="BN236">
        <v>29364.69400000001</v>
      </c>
      <c r="BO236">
        <v>45000</v>
      </c>
      <c r="BP236">
        <v>1149602.8999999999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 x14ac:dyDescent="0.35">
      <c r="A237">
        <v>360322</v>
      </c>
      <c r="B237" t="s">
        <v>289</v>
      </c>
      <c r="C237" t="s">
        <v>290</v>
      </c>
      <c r="D237" s="1">
        <v>45829</v>
      </c>
      <c r="E237">
        <v>53850</v>
      </c>
      <c r="F237">
        <v>103</v>
      </c>
      <c r="G237" t="s">
        <v>62</v>
      </c>
      <c r="H237" t="s">
        <v>48</v>
      </c>
      <c r="I237" t="s">
        <v>49</v>
      </c>
      <c r="K237">
        <v>202506208086850</v>
      </c>
      <c r="L237">
        <v>1033302886146</v>
      </c>
      <c r="M237">
        <v>20250620</v>
      </c>
      <c r="N237" t="s">
        <v>222</v>
      </c>
      <c r="P237" t="s">
        <v>303</v>
      </c>
      <c r="Q237" t="s">
        <v>50</v>
      </c>
      <c r="R237">
        <v>11259.38</v>
      </c>
      <c r="S237">
        <v>0</v>
      </c>
      <c r="T237">
        <v>4503362</v>
      </c>
      <c r="U237">
        <v>6800040724</v>
      </c>
      <c r="V237" t="s">
        <v>504</v>
      </c>
      <c r="W237" t="s">
        <v>341</v>
      </c>
      <c r="X237" t="s">
        <v>108</v>
      </c>
      <c r="Y237" t="s">
        <v>52</v>
      </c>
      <c r="Z237">
        <v>1912</v>
      </c>
      <c r="AH237">
        <v>0</v>
      </c>
      <c r="AI237">
        <v>202506</v>
      </c>
      <c r="AJ237" t="s">
        <v>203</v>
      </c>
      <c r="AK237">
        <v>1</v>
      </c>
      <c r="AL237">
        <v>1</v>
      </c>
      <c r="AO237">
        <v>0</v>
      </c>
      <c r="AP237">
        <v>999</v>
      </c>
      <c r="AQ237">
        <v>482</v>
      </c>
      <c r="AR237">
        <v>482999</v>
      </c>
      <c r="AT237">
        <v>1</v>
      </c>
      <c r="AU237" t="s">
        <v>71</v>
      </c>
      <c r="AV237">
        <v>1000</v>
      </c>
      <c r="AW237">
        <v>1186.4000000000001</v>
      </c>
      <c r="AX237">
        <v>1500</v>
      </c>
      <c r="AY237">
        <v>1680.386</v>
      </c>
      <c r="AZ237">
        <v>1992.48</v>
      </c>
      <c r="BA237">
        <v>2399.98</v>
      </c>
      <c r="BB237">
        <v>2739.2040000000002</v>
      </c>
      <c r="BC237">
        <v>3000</v>
      </c>
      <c r="BD237">
        <v>3500</v>
      </c>
      <c r="BE237">
        <v>4000</v>
      </c>
      <c r="BF237">
        <v>4800</v>
      </c>
      <c r="BG237">
        <v>5000</v>
      </c>
      <c r="BH237">
        <v>5024.4139999999998</v>
      </c>
      <c r="BI237">
        <v>5617.9639999999999</v>
      </c>
      <c r="BJ237">
        <v>9836.84</v>
      </c>
      <c r="BK237">
        <v>12377.16</v>
      </c>
      <c r="BL237">
        <v>16956.52800000002</v>
      </c>
      <c r="BM237">
        <v>20247.331999999999</v>
      </c>
      <c r="BN237">
        <v>29364.69400000001</v>
      </c>
      <c r="BO237">
        <v>45000</v>
      </c>
      <c r="BP237">
        <v>1149602.8999999999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 x14ac:dyDescent="0.35">
      <c r="A238">
        <v>360308</v>
      </c>
      <c r="B238" t="s">
        <v>289</v>
      </c>
      <c r="C238" t="s">
        <v>290</v>
      </c>
      <c r="D238" s="1">
        <v>45829</v>
      </c>
      <c r="E238">
        <v>53850</v>
      </c>
      <c r="F238">
        <v>104</v>
      </c>
      <c r="G238" t="s">
        <v>54</v>
      </c>
      <c r="H238" t="s">
        <v>48</v>
      </c>
      <c r="I238" t="s">
        <v>49</v>
      </c>
      <c r="K238">
        <v>202506198086477</v>
      </c>
      <c r="L238">
        <v>1043309503913</v>
      </c>
      <c r="M238">
        <v>20250619</v>
      </c>
      <c r="N238" t="s">
        <v>222</v>
      </c>
      <c r="P238" t="s">
        <v>296</v>
      </c>
      <c r="Q238" t="s">
        <v>50</v>
      </c>
      <c r="R238">
        <v>9173.81</v>
      </c>
      <c r="S238">
        <v>0</v>
      </c>
      <c r="T238">
        <v>424944</v>
      </c>
      <c r="U238">
        <v>3454860721</v>
      </c>
      <c r="V238" t="s">
        <v>619</v>
      </c>
      <c r="W238" t="s">
        <v>58</v>
      </c>
      <c r="X238" t="s">
        <v>86</v>
      </c>
      <c r="Y238" t="s">
        <v>52</v>
      </c>
      <c r="Z238">
        <v>1696</v>
      </c>
      <c r="AH238">
        <v>0</v>
      </c>
      <c r="AI238">
        <v>202506</v>
      </c>
      <c r="AJ238" t="s">
        <v>203</v>
      </c>
      <c r="AK238">
        <v>1</v>
      </c>
      <c r="AL238">
        <v>1</v>
      </c>
      <c r="AO238">
        <v>0</v>
      </c>
      <c r="AP238">
        <v>463</v>
      </c>
      <c r="AQ238">
        <v>430</v>
      </c>
      <c r="AR238">
        <v>430463</v>
      </c>
      <c r="AS238" t="s">
        <v>65</v>
      </c>
      <c r="AU238" t="s">
        <v>65</v>
      </c>
      <c r="AV238">
        <v>1000</v>
      </c>
      <c r="AW238">
        <v>1186.4000000000001</v>
      </c>
      <c r="AX238">
        <v>1500</v>
      </c>
      <c r="AY238">
        <v>1680.386</v>
      </c>
      <c r="AZ238">
        <v>1992.48</v>
      </c>
      <c r="BA238">
        <v>2399.98</v>
      </c>
      <c r="BB238">
        <v>2739.2040000000002</v>
      </c>
      <c r="BC238">
        <v>3000</v>
      </c>
      <c r="BD238">
        <v>3500</v>
      </c>
      <c r="BE238">
        <v>4000</v>
      </c>
      <c r="BF238">
        <v>4800</v>
      </c>
      <c r="BG238">
        <v>5000</v>
      </c>
      <c r="BH238">
        <v>5024.4139999999998</v>
      </c>
      <c r="BI238">
        <v>5617.9639999999999</v>
      </c>
      <c r="BJ238">
        <v>9836.84</v>
      </c>
      <c r="BK238">
        <v>12377.16</v>
      </c>
      <c r="BL238">
        <v>16956.52800000002</v>
      </c>
      <c r="BM238">
        <v>20247.331999999999</v>
      </c>
      <c r="BN238">
        <v>29364.69400000001</v>
      </c>
      <c r="BO238">
        <v>45000</v>
      </c>
      <c r="BP238">
        <v>1149602.8999999999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 x14ac:dyDescent="0.35">
      <c r="A239">
        <v>360304</v>
      </c>
      <c r="B239" t="s">
        <v>289</v>
      </c>
      <c r="C239" t="s">
        <v>290</v>
      </c>
      <c r="D239" s="1">
        <v>45828</v>
      </c>
      <c r="E239">
        <v>53850</v>
      </c>
      <c r="F239">
        <v>116</v>
      </c>
      <c r="G239" t="s">
        <v>209</v>
      </c>
      <c r="H239" t="s">
        <v>48</v>
      </c>
      <c r="I239" t="s">
        <v>49</v>
      </c>
      <c r="K239">
        <v>202506198085278</v>
      </c>
      <c r="L239">
        <v>1163307620827</v>
      </c>
      <c r="M239">
        <v>20250619</v>
      </c>
      <c r="N239" t="s">
        <v>222</v>
      </c>
      <c r="P239" t="s">
        <v>136</v>
      </c>
      <c r="Q239" t="s">
        <v>50</v>
      </c>
      <c r="R239">
        <v>25668.65</v>
      </c>
      <c r="S239">
        <v>0</v>
      </c>
      <c r="T239">
        <v>4871871</v>
      </c>
      <c r="U239">
        <v>2516140726</v>
      </c>
      <c r="V239" t="s">
        <v>517</v>
      </c>
      <c r="W239" t="s">
        <v>58</v>
      </c>
      <c r="X239" t="s">
        <v>320</v>
      </c>
      <c r="Y239" t="s">
        <v>52</v>
      </c>
      <c r="Z239">
        <v>1903</v>
      </c>
      <c r="AH239">
        <v>0</v>
      </c>
      <c r="AI239">
        <v>202506</v>
      </c>
      <c r="AJ239" t="s">
        <v>215</v>
      </c>
      <c r="AK239">
        <v>1</v>
      </c>
      <c r="AL239">
        <v>1</v>
      </c>
      <c r="AO239">
        <v>0</v>
      </c>
      <c r="AP239">
        <v>999</v>
      </c>
      <c r="AQ239">
        <v>430</v>
      </c>
      <c r="AR239">
        <v>430999</v>
      </c>
      <c r="AT239">
        <v>1</v>
      </c>
      <c r="AU239" t="s">
        <v>59</v>
      </c>
      <c r="AV239">
        <v>1000</v>
      </c>
      <c r="AW239">
        <v>1186.4000000000001</v>
      </c>
      <c r="AX239">
        <v>1500</v>
      </c>
      <c r="AY239">
        <v>1680.386</v>
      </c>
      <c r="AZ239">
        <v>1992.48</v>
      </c>
      <c r="BA239">
        <v>2399.98</v>
      </c>
      <c r="BB239">
        <v>2739.2040000000002</v>
      </c>
      <c r="BC239">
        <v>3000</v>
      </c>
      <c r="BD239">
        <v>3500</v>
      </c>
      <c r="BE239">
        <v>4000</v>
      </c>
      <c r="BF239">
        <v>4800</v>
      </c>
      <c r="BG239">
        <v>5000</v>
      </c>
      <c r="BH239">
        <v>5024.4139999999998</v>
      </c>
      <c r="BI239">
        <v>5617.9639999999999</v>
      </c>
      <c r="BJ239">
        <v>9836.84</v>
      </c>
      <c r="BK239">
        <v>12377.16</v>
      </c>
      <c r="BL239">
        <v>16956.52800000002</v>
      </c>
      <c r="BM239">
        <v>20247.331999999999</v>
      </c>
      <c r="BN239">
        <v>29364.69400000001</v>
      </c>
      <c r="BO239">
        <v>45000</v>
      </c>
      <c r="BP239">
        <v>1149602.8999999999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0</v>
      </c>
      <c r="CJ239">
        <v>0</v>
      </c>
      <c r="CK239">
        <v>0</v>
      </c>
    </row>
    <row r="240" spans="1:89" x14ac:dyDescent="0.35">
      <c r="A240">
        <v>360301</v>
      </c>
      <c r="B240" t="s">
        <v>289</v>
      </c>
      <c r="C240" t="s">
        <v>290</v>
      </c>
      <c r="D240" s="1">
        <v>45828</v>
      </c>
      <c r="E240">
        <v>53850</v>
      </c>
      <c r="F240">
        <v>109</v>
      </c>
      <c r="G240" t="s">
        <v>74</v>
      </c>
      <c r="H240" t="s">
        <v>48</v>
      </c>
      <c r="I240" t="s">
        <v>49</v>
      </c>
      <c r="K240">
        <v>202506198085264</v>
      </c>
      <c r="L240">
        <v>1093306675116</v>
      </c>
      <c r="M240">
        <v>20250619</v>
      </c>
      <c r="N240" t="s">
        <v>222</v>
      </c>
      <c r="P240" t="s">
        <v>136</v>
      </c>
      <c r="Q240" t="s">
        <v>61</v>
      </c>
      <c r="R240">
        <v>7800</v>
      </c>
      <c r="S240">
        <v>0</v>
      </c>
      <c r="T240">
        <v>4889439</v>
      </c>
      <c r="U240" t="s">
        <v>620</v>
      </c>
      <c r="V240" t="s">
        <v>621</v>
      </c>
      <c r="W240" t="s">
        <v>51</v>
      </c>
      <c r="Y240" t="s">
        <v>52</v>
      </c>
      <c r="Z240">
        <v>507</v>
      </c>
      <c r="AH240">
        <v>0</v>
      </c>
      <c r="AI240">
        <v>202506</v>
      </c>
      <c r="AJ240" t="s">
        <v>203</v>
      </c>
      <c r="AK240">
        <v>1</v>
      </c>
      <c r="AL240">
        <v>1</v>
      </c>
      <c r="AO240">
        <v>0</v>
      </c>
      <c r="AP240">
        <v>999</v>
      </c>
      <c r="AQ240">
        <v>600</v>
      </c>
      <c r="AR240">
        <v>600999</v>
      </c>
      <c r="AS240" t="s">
        <v>53</v>
      </c>
      <c r="AU240" t="s">
        <v>53</v>
      </c>
      <c r="AV240">
        <v>1000</v>
      </c>
      <c r="AW240">
        <v>1186.4000000000001</v>
      </c>
      <c r="AX240">
        <v>1500</v>
      </c>
      <c r="AY240">
        <v>1680.386</v>
      </c>
      <c r="AZ240">
        <v>1992.48</v>
      </c>
      <c r="BA240">
        <v>2399.98</v>
      </c>
      <c r="BB240">
        <v>2739.2040000000002</v>
      </c>
      <c r="BC240">
        <v>3000</v>
      </c>
      <c r="BD240">
        <v>3500</v>
      </c>
      <c r="BE240">
        <v>4000</v>
      </c>
      <c r="BF240">
        <v>4800</v>
      </c>
      <c r="BG240">
        <v>5000</v>
      </c>
      <c r="BH240">
        <v>5024.4139999999998</v>
      </c>
      <c r="BI240">
        <v>5617.9639999999999</v>
      </c>
      <c r="BJ240">
        <v>9836.84</v>
      </c>
      <c r="BK240">
        <v>12377.16</v>
      </c>
      <c r="BL240">
        <v>16956.52800000002</v>
      </c>
      <c r="BM240">
        <v>20247.331999999999</v>
      </c>
      <c r="BN240">
        <v>29364.69400000001</v>
      </c>
      <c r="BO240">
        <v>45000</v>
      </c>
      <c r="BP240">
        <v>1149602.8999999999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 x14ac:dyDescent="0.35">
      <c r="A241">
        <v>360280</v>
      </c>
      <c r="B241" t="s">
        <v>289</v>
      </c>
      <c r="C241" t="s">
        <v>290</v>
      </c>
      <c r="D241" s="1">
        <v>45828</v>
      </c>
      <c r="E241">
        <v>53850</v>
      </c>
      <c r="F241">
        <v>134</v>
      </c>
      <c r="G241" t="s">
        <v>121</v>
      </c>
      <c r="H241" t="s">
        <v>48</v>
      </c>
      <c r="I241" t="s">
        <v>49</v>
      </c>
      <c r="K241" t="s">
        <v>622</v>
      </c>
      <c r="L241">
        <v>1303300000237</v>
      </c>
      <c r="M241">
        <v>20250619</v>
      </c>
      <c r="N241" t="s">
        <v>222</v>
      </c>
      <c r="P241" t="s">
        <v>303</v>
      </c>
      <c r="Q241" t="s">
        <v>61</v>
      </c>
      <c r="R241">
        <v>4000</v>
      </c>
      <c r="S241">
        <v>0</v>
      </c>
      <c r="T241">
        <v>4005541</v>
      </c>
      <c r="U241" t="s">
        <v>373</v>
      </c>
      <c r="V241" t="s">
        <v>374</v>
      </c>
      <c r="W241" t="s">
        <v>51</v>
      </c>
      <c r="Y241" t="s">
        <v>52</v>
      </c>
      <c r="Z241">
        <v>1659</v>
      </c>
      <c r="AH241">
        <v>0</v>
      </c>
      <c r="AI241">
        <v>202506</v>
      </c>
      <c r="AJ241" t="s">
        <v>205</v>
      </c>
      <c r="AK241">
        <v>1</v>
      </c>
      <c r="AL241">
        <v>1</v>
      </c>
      <c r="AO241">
        <v>0</v>
      </c>
      <c r="AP241">
        <v>999</v>
      </c>
      <c r="AQ241">
        <v>600</v>
      </c>
      <c r="AR241">
        <v>600999</v>
      </c>
      <c r="AS241" t="s">
        <v>53</v>
      </c>
      <c r="AU241" t="s">
        <v>53</v>
      </c>
      <c r="AV241">
        <v>1000</v>
      </c>
      <c r="AW241">
        <v>1186.4000000000001</v>
      </c>
      <c r="AX241">
        <v>1500</v>
      </c>
      <c r="AY241">
        <v>1680.386</v>
      </c>
      <c r="AZ241">
        <v>1992.48</v>
      </c>
      <c r="BA241">
        <v>2399.98</v>
      </c>
      <c r="BB241">
        <v>2739.2040000000002</v>
      </c>
      <c r="BC241">
        <v>3000</v>
      </c>
      <c r="BD241">
        <v>3500</v>
      </c>
      <c r="BE241">
        <v>4000</v>
      </c>
      <c r="BF241">
        <v>4800</v>
      </c>
      <c r="BG241">
        <v>5000</v>
      </c>
      <c r="BH241">
        <v>5024.4139999999998</v>
      </c>
      <c r="BI241">
        <v>5617.9639999999999</v>
      </c>
      <c r="BJ241">
        <v>9836.84</v>
      </c>
      <c r="BK241">
        <v>12377.16</v>
      </c>
      <c r="BL241">
        <v>16956.52800000002</v>
      </c>
      <c r="BM241">
        <v>20247.331999999999</v>
      </c>
      <c r="BN241">
        <v>29364.69400000001</v>
      </c>
      <c r="BO241">
        <v>45000</v>
      </c>
      <c r="BP241">
        <v>1149602.8999999999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 x14ac:dyDescent="0.35">
      <c r="A242">
        <v>360258</v>
      </c>
      <c r="B242" t="s">
        <v>289</v>
      </c>
      <c r="C242" t="s">
        <v>290</v>
      </c>
      <c r="D242" s="1">
        <v>45827</v>
      </c>
      <c r="E242">
        <v>53850</v>
      </c>
      <c r="F242">
        <v>102</v>
      </c>
      <c r="G242" t="s">
        <v>56</v>
      </c>
      <c r="H242" t="s">
        <v>48</v>
      </c>
      <c r="I242" t="s">
        <v>49</v>
      </c>
      <c r="K242">
        <v>202506188082025</v>
      </c>
      <c r="L242">
        <v>2583300001294</v>
      </c>
      <c r="M242">
        <v>20250618</v>
      </c>
      <c r="N242" t="s">
        <v>222</v>
      </c>
      <c r="P242" t="s">
        <v>576</v>
      </c>
      <c r="Q242" t="s">
        <v>61</v>
      </c>
      <c r="R242">
        <v>28511.85</v>
      </c>
      <c r="S242">
        <v>0</v>
      </c>
      <c r="T242">
        <v>4923983</v>
      </c>
      <c r="U242">
        <v>8254330726</v>
      </c>
      <c r="V242" t="s">
        <v>623</v>
      </c>
      <c r="W242" t="s">
        <v>58</v>
      </c>
      <c r="X242" t="s">
        <v>231</v>
      </c>
      <c r="Y242" t="s">
        <v>52</v>
      </c>
      <c r="Z242">
        <v>1949</v>
      </c>
      <c r="AH242">
        <v>0</v>
      </c>
      <c r="AI242">
        <v>202506</v>
      </c>
      <c r="AJ242" t="s">
        <v>203</v>
      </c>
      <c r="AK242">
        <v>1</v>
      </c>
      <c r="AL242">
        <v>1</v>
      </c>
      <c r="AO242">
        <v>0</v>
      </c>
      <c r="AP242">
        <v>999</v>
      </c>
      <c r="AQ242">
        <v>430</v>
      </c>
      <c r="AR242">
        <v>430999</v>
      </c>
      <c r="AT242">
        <v>1</v>
      </c>
      <c r="AU242" t="s">
        <v>59</v>
      </c>
      <c r="AV242">
        <v>1000</v>
      </c>
      <c r="AW242">
        <v>1186.4000000000001</v>
      </c>
      <c r="AX242">
        <v>1500</v>
      </c>
      <c r="AY242">
        <v>1680.386</v>
      </c>
      <c r="AZ242">
        <v>1992.48</v>
      </c>
      <c r="BA242">
        <v>2399.98</v>
      </c>
      <c r="BB242">
        <v>2739.2040000000002</v>
      </c>
      <c r="BC242">
        <v>3000</v>
      </c>
      <c r="BD242">
        <v>3500</v>
      </c>
      <c r="BE242">
        <v>4000</v>
      </c>
      <c r="BF242">
        <v>4800</v>
      </c>
      <c r="BG242">
        <v>5000</v>
      </c>
      <c r="BH242">
        <v>5024.4139999999998</v>
      </c>
      <c r="BI242">
        <v>5617.9639999999999</v>
      </c>
      <c r="BJ242">
        <v>9836.84</v>
      </c>
      <c r="BK242">
        <v>12377.16</v>
      </c>
      <c r="BL242">
        <v>16956.52800000002</v>
      </c>
      <c r="BM242">
        <v>20247.331999999999</v>
      </c>
      <c r="BN242">
        <v>29364.69400000001</v>
      </c>
      <c r="BO242">
        <v>45000</v>
      </c>
      <c r="BP242">
        <v>1149602.8999999999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0</v>
      </c>
      <c r="CJ242">
        <v>0</v>
      </c>
      <c r="CK242">
        <v>0</v>
      </c>
    </row>
    <row r="243" spans="1:89" x14ac:dyDescent="0.35">
      <c r="A243">
        <v>360256</v>
      </c>
      <c r="B243" t="s">
        <v>289</v>
      </c>
      <c r="C243" t="s">
        <v>290</v>
      </c>
      <c r="D243" s="1">
        <v>45827</v>
      </c>
      <c r="E243">
        <v>53850</v>
      </c>
      <c r="F243">
        <v>270</v>
      </c>
      <c r="G243" t="s">
        <v>92</v>
      </c>
      <c r="H243" t="s">
        <v>48</v>
      </c>
      <c r="I243" t="s">
        <v>49</v>
      </c>
      <c r="K243" t="s">
        <v>624</v>
      </c>
      <c r="L243">
        <v>2703300010699</v>
      </c>
      <c r="M243">
        <v>20250618</v>
      </c>
      <c r="N243" t="s">
        <v>222</v>
      </c>
      <c r="P243" t="s">
        <v>303</v>
      </c>
      <c r="Q243" t="s">
        <v>50</v>
      </c>
      <c r="R243">
        <v>4000</v>
      </c>
      <c r="S243">
        <v>0</v>
      </c>
      <c r="T243">
        <v>3728961</v>
      </c>
      <c r="U243" t="s">
        <v>625</v>
      </c>
      <c r="V243" t="s">
        <v>626</v>
      </c>
      <c r="W243" t="s">
        <v>51</v>
      </c>
      <c r="Y243" t="s">
        <v>52</v>
      </c>
      <c r="Z243">
        <v>1809</v>
      </c>
      <c r="AH243">
        <v>0</v>
      </c>
      <c r="AI243">
        <v>202506</v>
      </c>
      <c r="AJ243" t="s">
        <v>205</v>
      </c>
      <c r="AK243">
        <v>1</v>
      </c>
      <c r="AL243">
        <v>1</v>
      </c>
      <c r="AO243">
        <v>0</v>
      </c>
      <c r="AP243">
        <v>999</v>
      </c>
      <c r="AQ243">
        <v>600</v>
      </c>
      <c r="AR243">
        <v>600999</v>
      </c>
      <c r="AS243" t="s">
        <v>53</v>
      </c>
      <c r="AU243" t="s">
        <v>53</v>
      </c>
      <c r="AV243">
        <v>1000</v>
      </c>
      <c r="AW243">
        <v>1186.4000000000001</v>
      </c>
      <c r="AX243">
        <v>1500</v>
      </c>
      <c r="AY243">
        <v>1680.386</v>
      </c>
      <c r="AZ243">
        <v>1992.48</v>
      </c>
      <c r="BA243">
        <v>2399.98</v>
      </c>
      <c r="BB243">
        <v>2739.2040000000002</v>
      </c>
      <c r="BC243">
        <v>3000</v>
      </c>
      <c r="BD243">
        <v>3500</v>
      </c>
      <c r="BE243">
        <v>4000</v>
      </c>
      <c r="BF243">
        <v>4800</v>
      </c>
      <c r="BG243">
        <v>5000</v>
      </c>
      <c r="BH243">
        <v>5024.4139999999998</v>
      </c>
      <c r="BI243">
        <v>5617.9639999999999</v>
      </c>
      <c r="BJ243">
        <v>9836.84</v>
      </c>
      <c r="BK243">
        <v>12377.16</v>
      </c>
      <c r="BL243">
        <v>16956.52800000002</v>
      </c>
      <c r="BM243">
        <v>20247.331999999999</v>
      </c>
      <c r="BN243">
        <v>29364.69400000001</v>
      </c>
      <c r="BO243">
        <v>45000</v>
      </c>
      <c r="BP243">
        <v>1149602.8999999999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 x14ac:dyDescent="0.35">
      <c r="A244">
        <v>360254</v>
      </c>
      <c r="B244" t="s">
        <v>289</v>
      </c>
      <c r="C244" t="s">
        <v>290</v>
      </c>
      <c r="D244" s="1">
        <v>45827</v>
      </c>
      <c r="E244">
        <v>53850</v>
      </c>
      <c r="F244">
        <v>129</v>
      </c>
      <c r="G244" t="s">
        <v>81</v>
      </c>
      <c r="H244" t="s">
        <v>48</v>
      </c>
      <c r="I244" t="s">
        <v>49</v>
      </c>
      <c r="K244">
        <v>202506188081995</v>
      </c>
      <c r="L244">
        <v>1293300002811</v>
      </c>
      <c r="M244">
        <v>20250618</v>
      </c>
      <c r="N244" t="s">
        <v>222</v>
      </c>
      <c r="P244" t="s">
        <v>291</v>
      </c>
      <c r="Q244" t="s">
        <v>61</v>
      </c>
      <c r="R244">
        <v>39222.199999999997</v>
      </c>
      <c r="S244">
        <v>0</v>
      </c>
      <c r="T244">
        <v>4972184</v>
      </c>
      <c r="U244">
        <v>7780290727</v>
      </c>
      <c r="V244" t="s">
        <v>355</v>
      </c>
      <c r="W244" t="s">
        <v>58</v>
      </c>
      <c r="X244" t="s">
        <v>356</v>
      </c>
      <c r="Y244" t="s">
        <v>52</v>
      </c>
      <c r="Z244">
        <v>1058</v>
      </c>
      <c r="AH244">
        <v>0</v>
      </c>
      <c r="AI244">
        <v>202506</v>
      </c>
      <c r="AJ244" t="s">
        <v>203</v>
      </c>
      <c r="AK244">
        <v>1</v>
      </c>
      <c r="AL244">
        <v>1</v>
      </c>
      <c r="AO244">
        <v>0</v>
      </c>
      <c r="AP244">
        <v>999</v>
      </c>
      <c r="AQ244">
        <v>430</v>
      </c>
      <c r="AR244">
        <v>430999</v>
      </c>
      <c r="AT244">
        <v>1</v>
      </c>
      <c r="AU244" t="s">
        <v>59</v>
      </c>
      <c r="AV244">
        <v>1000</v>
      </c>
      <c r="AW244">
        <v>1186.4000000000001</v>
      </c>
      <c r="AX244">
        <v>1500</v>
      </c>
      <c r="AY244">
        <v>1680.386</v>
      </c>
      <c r="AZ244">
        <v>1992.48</v>
      </c>
      <c r="BA244">
        <v>2399.98</v>
      </c>
      <c r="BB244">
        <v>2739.2040000000002</v>
      </c>
      <c r="BC244">
        <v>3000</v>
      </c>
      <c r="BD244">
        <v>3500</v>
      </c>
      <c r="BE244">
        <v>4000</v>
      </c>
      <c r="BF244">
        <v>4800</v>
      </c>
      <c r="BG244">
        <v>5000</v>
      </c>
      <c r="BH244">
        <v>5024.4139999999998</v>
      </c>
      <c r="BI244">
        <v>5617.9639999999999</v>
      </c>
      <c r="BJ244">
        <v>9836.84</v>
      </c>
      <c r="BK244">
        <v>12377.16</v>
      </c>
      <c r="BL244">
        <v>16956.52800000002</v>
      </c>
      <c r="BM244">
        <v>20247.331999999999</v>
      </c>
      <c r="BN244">
        <v>29364.69400000001</v>
      </c>
      <c r="BO244">
        <v>45000</v>
      </c>
      <c r="BP244">
        <v>1149602.8999999999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0</v>
      </c>
      <c r="CK244">
        <v>0</v>
      </c>
    </row>
    <row r="245" spans="1:89" x14ac:dyDescent="0.35">
      <c r="A245">
        <v>360251</v>
      </c>
      <c r="B245" t="s">
        <v>289</v>
      </c>
      <c r="C245" t="s">
        <v>290</v>
      </c>
      <c r="D245" s="1">
        <v>45827</v>
      </c>
      <c r="E245">
        <v>53850</v>
      </c>
      <c r="F245">
        <v>271</v>
      </c>
      <c r="G245" t="s">
        <v>109</v>
      </c>
      <c r="H245" t="s">
        <v>48</v>
      </c>
      <c r="I245" t="s">
        <v>49</v>
      </c>
      <c r="K245">
        <v>202506188082049</v>
      </c>
      <c r="L245">
        <v>2713300010112</v>
      </c>
      <c r="M245">
        <v>20250618</v>
      </c>
      <c r="N245" t="s">
        <v>222</v>
      </c>
      <c r="P245" t="s">
        <v>136</v>
      </c>
      <c r="Q245" t="s">
        <v>61</v>
      </c>
      <c r="R245">
        <v>5000</v>
      </c>
      <c r="S245">
        <v>0</v>
      </c>
      <c r="T245">
        <v>1611557</v>
      </c>
      <c r="U245" t="s">
        <v>401</v>
      </c>
      <c r="V245" t="s">
        <v>402</v>
      </c>
      <c r="W245" t="s">
        <v>73</v>
      </c>
      <c r="X245" t="s">
        <v>403</v>
      </c>
      <c r="Y245" t="s">
        <v>52</v>
      </c>
      <c r="Z245">
        <v>1850</v>
      </c>
      <c r="AH245">
        <v>0</v>
      </c>
      <c r="AI245">
        <v>202506</v>
      </c>
      <c r="AJ245" t="s">
        <v>55</v>
      </c>
      <c r="AK245">
        <v>0</v>
      </c>
      <c r="AL245">
        <v>1</v>
      </c>
      <c r="AO245">
        <v>0</v>
      </c>
      <c r="AP245">
        <v>999</v>
      </c>
      <c r="AQ245">
        <v>615</v>
      </c>
      <c r="AR245">
        <v>615999</v>
      </c>
      <c r="AT245">
        <v>1</v>
      </c>
      <c r="AU245" t="s">
        <v>65</v>
      </c>
      <c r="AV245">
        <v>1000</v>
      </c>
      <c r="AW245">
        <v>1186.4000000000001</v>
      </c>
      <c r="AX245">
        <v>1500</v>
      </c>
      <c r="AY245">
        <v>1680.386</v>
      </c>
      <c r="AZ245">
        <v>1992.48</v>
      </c>
      <c r="BA245">
        <v>2399.98</v>
      </c>
      <c r="BB245">
        <v>2739.2040000000002</v>
      </c>
      <c r="BC245">
        <v>3000</v>
      </c>
      <c r="BD245">
        <v>3500</v>
      </c>
      <c r="BE245">
        <v>4000</v>
      </c>
      <c r="BF245">
        <v>4800</v>
      </c>
      <c r="BG245">
        <v>5000</v>
      </c>
      <c r="BH245">
        <v>5024.4139999999998</v>
      </c>
      <c r="BI245">
        <v>5617.9639999999999</v>
      </c>
      <c r="BJ245">
        <v>9836.84</v>
      </c>
      <c r="BK245">
        <v>12377.16</v>
      </c>
      <c r="BL245">
        <v>16956.52800000002</v>
      </c>
      <c r="BM245">
        <v>20247.331999999999</v>
      </c>
      <c r="BN245">
        <v>29364.69400000001</v>
      </c>
      <c r="BO245">
        <v>45000</v>
      </c>
      <c r="BP245">
        <v>1149602.8999999999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 x14ac:dyDescent="0.35">
      <c r="A246">
        <v>360235</v>
      </c>
      <c r="B246" t="s">
        <v>289</v>
      </c>
      <c r="C246" t="s">
        <v>290</v>
      </c>
      <c r="D246" s="1">
        <v>45826</v>
      </c>
      <c r="E246">
        <v>53850</v>
      </c>
      <c r="F246">
        <v>148</v>
      </c>
      <c r="G246" t="s">
        <v>125</v>
      </c>
      <c r="H246" t="s">
        <v>48</v>
      </c>
      <c r="I246" t="s">
        <v>49</v>
      </c>
      <c r="K246" t="s">
        <v>627</v>
      </c>
      <c r="L246">
        <v>1483300003580</v>
      </c>
      <c r="M246">
        <v>20250617</v>
      </c>
      <c r="N246" t="s">
        <v>222</v>
      </c>
      <c r="P246" t="s">
        <v>291</v>
      </c>
      <c r="Q246" t="s">
        <v>61</v>
      </c>
      <c r="R246">
        <v>1500</v>
      </c>
      <c r="S246">
        <v>0</v>
      </c>
      <c r="T246">
        <v>4771374</v>
      </c>
      <c r="U246" t="s">
        <v>382</v>
      </c>
      <c r="V246" t="s">
        <v>383</v>
      </c>
      <c r="W246" t="s">
        <v>51</v>
      </c>
      <c r="Y246" t="s">
        <v>52</v>
      </c>
      <c r="Z246">
        <v>1064</v>
      </c>
      <c r="AH246">
        <v>0</v>
      </c>
      <c r="AI246">
        <v>202506</v>
      </c>
      <c r="AJ246" t="s">
        <v>203</v>
      </c>
      <c r="AK246">
        <v>1</v>
      </c>
      <c r="AL246">
        <v>1</v>
      </c>
      <c r="AO246">
        <v>0</v>
      </c>
      <c r="AP246">
        <v>999</v>
      </c>
      <c r="AQ246">
        <v>600</v>
      </c>
      <c r="AR246">
        <v>600999</v>
      </c>
      <c r="AS246" t="s">
        <v>53</v>
      </c>
      <c r="AU246" t="s">
        <v>53</v>
      </c>
      <c r="AV246">
        <v>1000</v>
      </c>
      <c r="AW246">
        <v>1186.4000000000001</v>
      </c>
      <c r="AX246">
        <v>1500</v>
      </c>
      <c r="AY246">
        <v>1680.386</v>
      </c>
      <c r="AZ246">
        <v>1992.48</v>
      </c>
      <c r="BA246">
        <v>2399.98</v>
      </c>
      <c r="BB246">
        <v>2739.2040000000002</v>
      </c>
      <c r="BC246">
        <v>3000</v>
      </c>
      <c r="BD246">
        <v>3500</v>
      </c>
      <c r="BE246">
        <v>4000</v>
      </c>
      <c r="BF246">
        <v>4800</v>
      </c>
      <c r="BG246">
        <v>5000</v>
      </c>
      <c r="BH246">
        <v>5024.4139999999998</v>
      </c>
      <c r="BI246">
        <v>5617.9639999999999</v>
      </c>
      <c r="BJ246">
        <v>9836.84</v>
      </c>
      <c r="BK246">
        <v>12377.16</v>
      </c>
      <c r="BL246">
        <v>16956.52800000002</v>
      </c>
      <c r="BM246">
        <v>20247.331999999999</v>
      </c>
      <c r="BN246">
        <v>29364.69400000001</v>
      </c>
      <c r="BO246">
        <v>45000</v>
      </c>
      <c r="BP246">
        <v>1149602.8999999999</v>
      </c>
      <c r="BQ246">
        <v>1</v>
      </c>
      <c r="BR246">
        <v>1</v>
      </c>
      <c r="BS246">
        <v>1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 x14ac:dyDescent="0.35">
      <c r="A247">
        <v>360232</v>
      </c>
      <c r="B247" t="s">
        <v>289</v>
      </c>
      <c r="C247" t="s">
        <v>290</v>
      </c>
      <c r="D247" s="1">
        <v>45826</v>
      </c>
      <c r="E247">
        <v>53850</v>
      </c>
      <c r="F247">
        <v>187</v>
      </c>
      <c r="G247" t="s">
        <v>75</v>
      </c>
      <c r="H247" t="s">
        <v>48</v>
      </c>
      <c r="I247" t="s">
        <v>49</v>
      </c>
      <c r="K247">
        <v>202506178078563</v>
      </c>
      <c r="L247">
        <v>1873300102696</v>
      </c>
      <c r="M247">
        <v>20250617</v>
      </c>
      <c r="N247" t="s">
        <v>222</v>
      </c>
      <c r="P247" t="s">
        <v>303</v>
      </c>
      <c r="Q247" t="s">
        <v>61</v>
      </c>
      <c r="R247">
        <v>5492.42</v>
      </c>
      <c r="S247">
        <v>0</v>
      </c>
      <c r="T247">
        <v>4000559</v>
      </c>
      <c r="U247">
        <v>2099160737</v>
      </c>
      <c r="V247" t="s">
        <v>117</v>
      </c>
      <c r="W247" t="s">
        <v>58</v>
      </c>
      <c r="X247" t="s">
        <v>86</v>
      </c>
      <c r="Y247" t="s">
        <v>52</v>
      </c>
      <c r="Z247">
        <v>1627</v>
      </c>
      <c r="AH247">
        <v>0</v>
      </c>
      <c r="AI247">
        <v>202506</v>
      </c>
      <c r="AJ247" t="s">
        <v>68</v>
      </c>
      <c r="AK247">
        <v>0</v>
      </c>
      <c r="AL247">
        <v>1</v>
      </c>
      <c r="AO247">
        <v>0</v>
      </c>
      <c r="AP247">
        <v>463</v>
      </c>
      <c r="AQ247">
        <v>430</v>
      </c>
      <c r="AR247">
        <v>430463</v>
      </c>
      <c r="AS247" t="s">
        <v>65</v>
      </c>
      <c r="AU247" t="s">
        <v>65</v>
      </c>
      <c r="AV247">
        <v>1000</v>
      </c>
      <c r="AW247">
        <v>1186.4000000000001</v>
      </c>
      <c r="AX247">
        <v>1500</v>
      </c>
      <c r="AY247">
        <v>1680.386</v>
      </c>
      <c r="AZ247">
        <v>1992.48</v>
      </c>
      <c r="BA247">
        <v>2399.98</v>
      </c>
      <c r="BB247">
        <v>2739.2040000000002</v>
      </c>
      <c r="BC247">
        <v>3000</v>
      </c>
      <c r="BD247">
        <v>3500</v>
      </c>
      <c r="BE247">
        <v>4000</v>
      </c>
      <c r="BF247">
        <v>4800</v>
      </c>
      <c r="BG247">
        <v>5000</v>
      </c>
      <c r="BH247">
        <v>5024.4139999999998</v>
      </c>
      <c r="BI247">
        <v>5617.9639999999999</v>
      </c>
      <c r="BJ247">
        <v>9836.84</v>
      </c>
      <c r="BK247">
        <v>12377.16</v>
      </c>
      <c r="BL247">
        <v>16956.52800000002</v>
      </c>
      <c r="BM247">
        <v>20247.331999999999</v>
      </c>
      <c r="BN247">
        <v>29364.69400000001</v>
      </c>
      <c r="BO247">
        <v>45000</v>
      </c>
      <c r="BP247">
        <v>1149602.8999999999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 x14ac:dyDescent="0.35">
      <c r="A248">
        <v>360231</v>
      </c>
      <c r="B248" t="s">
        <v>289</v>
      </c>
      <c r="C248" t="s">
        <v>290</v>
      </c>
      <c r="D248" s="1">
        <v>45826</v>
      </c>
      <c r="E248">
        <v>53850</v>
      </c>
      <c r="F248">
        <v>114</v>
      </c>
      <c r="G248" t="s">
        <v>97</v>
      </c>
      <c r="H248" t="s">
        <v>48</v>
      </c>
      <c r="I248" t="s">
        <v>49</v>
      </c>
      <c r="K248" t="s">
        <v>628</v>
      </c>
      <c r="L248">
        <v>1143300001238</v>
      </c>
      <c r="M248">
        <v>20250617</v>
      </c>
      <c r="N248" t="s">
        <v>222</v>
      </c>
      <c r="P248" t="s">
        <v>303</v>
      </c>
      <c r="Q248" t="s">
        <v>61</v>
      </c>
      <c r="R248">
        <v>4000</v>
      </c>
      <c r="S248">
        <v>0</v>
      </c>
      <c r="T248">
        <v>4747564</v>
      </c>
      <c r="U248" t="s">
        <v>337</v>
      </c>
      <c r="V248" t="s">
        <v>338</v>
      </c>
      <c r="W248" t="s">
        <v>51</v>
      </c>
      <c r="Y248" t="s">
        <v>52</v>
      </c>
      <c r="Z248">
        <v>804</v>
      </c>
      <c r="AH248">
        <v>0</v>
      </c>
      <c r="AI248">
        <v>202506</v>
      </c>
      <c r="AJ248" t="s">
        <v>55</v>
      </c>
      <c r="AK248">
        <v>0</v>
      </c>
      <c r="AL248">
        <v>1</v>
      </c>
      <c r="AO248">
        <v>0</v>
      </c>
      <c r="AP248">
        <v>999</v>
      </c>
      <c r="AQ248">
        <v>600</v>
      </c>
      <c r="AR248">
        <v>600999</v>
      </c>
      <c r="AS248" t="s">
        <v>53</v>
      </c>
      <c r="AU248" t="s">
        <v>53</v>
      </c>
      <c r="AV248">
        <v>1000</v>
      </c>
      <c r="AW248">
        <v>1186.4000000000001</v>
      </c>
      <c r="AX248">
        <v>1500</v>
      </c>
      <c r="AY248">
        <v>1680.386</v>
      </c>
      <c r="AZ248">
        <v>1992.48</v>
      </c>
      <c r="BA248">
        <v>2399.98</v>
      </c>
      <c r="BB248">
        <v>2739.2040000000002</v>
      </c>
      <c r="BC248">
        <v>3000</v>
      </c>
      <c r="BD248">
        <v>3500</v>
      </c>
      <c r="BE248">
        <v>4000</v>
      </c>
      <c r="BF248">
        <v>4800</v>
      </c>
      <c r="BG248">
        <v>5000</v>
      </c>
      <c r="BH248">
        <v>5024.4139999999998</v>
      </c>
      <c r="BI248">
        <v>5617.9639999999999</v>
      </c>
      <c r="BJ248">
        <v>9836.84</v>
      </c>
      <c r="BK248">
        <v>12377.16</v>
      </c>
      <c r="BL248">
        <v>16956.52800000002</v>
      </c>
      <c r="BM248">
        <v>20247.331999999999</v>
      </c>
      <c r="BN248">
        <v>29364.69400000001</v>
      </c>
      <c r="BO248">
        <v>45000</v>
      </c>
      <c r="BP248">
        <v>1149602.8999999999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 x14ac:dyDescent="0.35">
      <c r="A249">
        <v>360225</v>
      </c>
      <c r="B249" t="s">
        <v>289</v>
      </c>
      <c r="C249" t="s">
        <v>290</v>
      </c>
      <c r="D249" s="1">
        <v>45826</v>
      </c>
      <c r="E249">
        <v>53850</v>
      </c>
      <c r="F249">
        <v>187</v>
      </c>
      <c r="G249" t="s">
        <v>75</v>
      </c>
      <c r="H249" t="s">
        <v>48</v>
      </c>
      <c r="I249" t="s">
        <v>49</v>
      </c>
      <c r="K249" t="s">
        <v>629</v>
      </c>
      <c r="L249">
        <v>1873300102696</v>
      </c>
      <c r="M249">
        <v>20250617</v>
      </c>
      <c r="N249" t="s">
        <v>222</v>
      </c>
      <c r="P249" t="s">
        <v>303</v>
      </c>
      <c r="Q249" t="s">
        <v>61</v>
      </c>
      <c r="R249">
        <v>3651.1</v>
      </c>
      <c r="S249">
        <v>0</v>
      </c>
      <c r="T249">
        <v>4000559</v>
      </c>
      <c r="U249">
        <v>2099160737</v>
      </c>
      <c r="V249" t="s">
        <v>117</v>
      </c>
      <c r="W249" t="s">
        <v>58</v>
      </c>
      <c r="X249" t="s">
        <v>86</v>
      </c>
      <c r="Y249" t="s">
        <v>52</v>
      </c>
      <c r="Z249">
        <v>1627</v>
      </c>
      <c r="AH249">
        <v>0</v>
      </c>
      <c r="AI249">
        <v>202506</v>
      </c>
      <c r="AJ249" t="s">
        <v>68</v>
      </c>
      <c r="AK249">
        <v>0</v>
      </c>
      <c r="AL249">
        <v>1</v>
      </c>
      <c r="AO249">
        <v>0</v>
      </c>
      <c r="AP249">
        <v>463</v>
      </c>
      <c r="AQ249">
        <v>430</v>
      </c>
      <c r="AR249">
        <v>430463</v>
      </c>
      <c r="AS249" t="s">
        <v>65</v>
      </c>
      <c r="AU249" t="s">
        <v>65</v>
      </c>
      <c r="AV249">
        <v>1000</v>
      </c>
      <c r="AW249">
        <v>1186.4000000000001</v>
      </c>
      <c r="AX249">
        <v>1500</v>
      </c>
      <c r="AY249">
        <v>1680.386</v>
      </c>
      <c r="AZ249">
        <v>1992.48</v>
      </c>
      <c r="BA249">
        <v>2399.98</v>
      </c>
      <c r="BB249">
        <v>2739.2040000000002</v>
      </c>
      <c r="BC249">
        <v>3000</v>
      </c>
      <c r="BD249">
        <v>3500</v>
      </c>
      <c r="BE249">
        <v>4000</v>
      </c>
      <c r="BF249">
        <v>4800</v>
      </c>
      <c r="BG249">
        <v>5000</v>
      </c>
      <c r="BH249">
        <v>5024.4139999999998</v>
      </c>
      <c r="BI249">
        <v>5617.9639999999999</v>
      </c>
      <c r="BJ249">
        <v>9836.84</v>
      </c>
      <c r="BK249">
        <v>12377.16</v>
      </c>
      <c r="BL249">
        <v>16956.52800000002</v>
      </c>
      <c r="BM249">
        <v>20247.331999999999</v>
      </c>
      <c r="BN249">
        <v>29364.69400000001</v>
      </c>
      <c r="BO249">
        <v>45000</v>
      </c>
      <c r="BP249">
        <v>1149602.8999999999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 x14ac:dyDescent="0.35">
      <c r="A250">
        <v>360222</v>
      </c>
      <c r="B250" t="s">
        <v>289</v>
      </c>
      <c r="C250" t="s">
        <v>290</v>
      </c>
      <c r="D250" s="1">
        <v>45826</v>
      </c>
      <c r="E250">
        <v>53850</v>
      </c>
      <c r="F250">
        <v>147</v>
      </c>
      <c r="G250" t="s">
        <v>114</v>
      </c>
      <c r="H250" t="s">
        <v>48</v>
      </c>
      <c r="I250" t="s">
        <v>49</v>
      </c>
      <c r="K250" t="s">
        <v>630</v>
      </c>
      <c r="L250">
        <v>1473300005217</v>
      </c>
      <c r="M250">
        <v>20250617</v>
      </c>
      <c r="N250" t="s">
        <v>222</v>
      </c>
      <c r="P250" t="s">
        <v>303</v>
      </c>
      <c r="Q250" t="s">
        <v>50</v>
      </c>
      <c r="R250">
        <v>1770</v>
      </c>
      <c r="S250">
        <v>0</v>
      </c>
      <c r="T250">
        <v>3724704</v>
      </c>
      <c r="U250">
        <v>4306130610</v>
      </c>
      <c r="V250" t="s">
        <v>371</v>
      </c>
      <c r="W250" t="s">
        <v>58</v>
      </c>
      <c r="X250" t="s">
        <v>108</v>
      </c>
      <c r="Y250" t="s">
        <v>52</v>
      </c>
      <c r="Z250">
        <v>1196</v>
      </c>
      <c r="AH250">
        <v>0</v>
      </c>
      <c r="AI250">
        <v>202506</v>
      </c>
      <c r="AJ250" t="s">
        <v>203</v>
      </c>
      <c r="AK250">
        <v>1</v>
      </c>
      <c r="AL250">
        <v>1</v>
      </c>
      <c r="AO250">
        <v>0</v>
      </c>
      <c r="AP250">
        <v>999</v>
      </c>
      <c r="AQ250">
        <v>430</v>
      </c>
      <c r="AR250">
        <v>430999</v>
      </c>
      <c r="AT250">
        <v>1</v>
      </c>
      <c r="AU250" t="s">
        <v>59</v>
      </c>
      <c r="AV250">
        <v>1000</v>
      </c>
      <c r="AW250">
        <v>1186.4000000000001</v>
      </c>
      <c r="AX250">
        <v>1500</v>
      </c>
      <c r="AY250">
        <v>1680.386</v>
      </c>
      <c r="AZ250">
        <v>1992.48</v>
      </c>
      <c r="BA250">
        <v>2399.98</v>
      </c>
      <c r="BB250">
        <v>2739.2040000000002</v>
      </c>
      <c r="BC250">
        <v>3000</v>
      </c>
      <c r="BD250">
        <v>3500</v>
      </c>
      <c r="BE250">
        <v>4000</v>
      </c>
      <c r="BF250">
        <v>4800</v>
      </c>
      <c r="BG250">
        <v>5000</v>
      </c>
      <c r="BH250">
        <v>5024.4139999999998</v>
      </c>
      <c r="BI250">
        <v>5617.9639999999999</v>
      </c>
      <c r="BJ250">
        <v>9836.84</v>
      </c>
      <c r="BK250">
        <v>12377.16</v>
      </c>
      <c r="BL250">
        <v>16956.52800000002</v>
      </c>
      <c r="BM250">
        <v>20247.331999999999</v>
      </c>
      <c r="BN250">
        <v>29364.69400000001</v>
      </c>
      <c r="BO250">
        <v>45000</v>
      </c>
      <c r="BP250">
        <v>1149602.8999999999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 x14ac:dyDescent="0.35">
      <c r="A251">
        <v>360219</v>
      </c>
      <c r="B251" t="s">
        <v>289</v>
      </c>
      <c r="C251" t="s">
        <v>290</v>
      </c>
      <c r="D251" s="1">
        <v>45826</v>
      </c>
      <c r="E251">
        <v>53850</v>
      </c>
      <c r="F251">
        <v>176</v>
      </c>
      <c r="G251" t="s">
        <v>224</v>
      </c>
      <c r="H251" t="s">
        <v>48</v>
      </c>
      <c r="I251" t="s">
        <v>49</v>
      </c>
      <c r="K251" t="s">
        <v>631</v>
      </c>
      <c r="L251">
        <v>1763300019661</v>
      </c>
      <c r="M251">
        <v>20250617</v>
      </c>
      <c r="N251" t="s">
        <v>222</v>
      </c>
      <c r="P251" t="s">
        <v>296</v>
      </c>
      <c r="Q251" t="s">
        <v>61</v>
      </c>
      <c r="R251">
        <v>4000</v>
      </c>
      <c r="S251">
        <v>0</v>
      </c>
      <c r="T251">
        <v>4875036</v>
      </c>
      <c r="U251">
        <v>1291610770</v>
      </c>
      <c r="V251" t="s">
        <v>632</v>
      </c>
      <c r="W251" t="s">
        <v>70</v>
      </c>
      <c r="X251" t="s">
        <v>633</v>
      </c>
      <c r="Y251" t="s">
        <v>52</v>
      </c>
      <c r="Z251">
        <v>440</v>
      </c>
      <c r="AH251">
        <v>0</v>
      </c>
      <c r="AI251">
        <v>202506</v>
      </c>
      <c r="AJ251" t="s">
        <v>203</v>
      </c>
      <c r="AK251">
        <v>1</v>
      </c>
      <c r="AL251">
        <v>1</v>
      </c>
      <c r="AO251">
        <v>0</v>
      </c>
      <c r="AP251">
        <v>999</v>
      </c>
      <c r="AQ251">
        <v>492</v>
      </c>
      <c r="AR251">
        <v>492999</v>
      </c>
      <c r="AT251">
        <v>1</v>
      </c>
      <c r="AU251" t="s">
        <v>71</v>
      </c>
      <c r="AV251">
        <v>1000</v>
      </c>
      <c r="AW251">
        <v>1186.4000000000001</v>
      </c>
      <c r="AX251">
        <v>1500</v>
      </c>
      <c r="AY251">
        <v>1680.386</v>
      </c>
      <c r="AZ251">
        <v>1992.48</v>
      </c>
      <c r="BA251">
        <v>2399.98</v>
      </c>
      <c r="BB251">
        <v>2739.2040000000002</v>
      </c>
      <c r="BC251">
        <v>3000</v>
      </c>
      <c r="BD251">
        <v>3500</v>
      </c>
      <c r="BE251">
        <v>4000</v>
      </c>
      <c r="BF251">
        <v>4800</v>
      </c>
      <c r="BG251">
        <v>5000</v>
      </c>
      <c r="BH251">
        <v>5024.4139999999998</v>
      </c>
      <c r="BI251">
        <v>5617.9639999999999</v>
      </c>
      <c r="BJ251">
        <v>9836.84</v>
      </c>
      <c r="BK251">
        <v>12377.16</v>
      </c>
      <c r="BL251">
        <v>16956.52800000002</v>
      </c>
      <c r="BM251">
        <v>20247.331999999999</v>
      </c>
      <c r="BN251">
        <v>29364.69400000001</v>
      </c>
      <c r="BO251">
        <v>45000</v>
      </c>
      <c r="BP251">
        <v>1149602.8999999999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 x14ac:dyDescent="0.35">
      <c r="A252">
        <v>360204</v>
      </c>
      <c r="B252" t="s">
        <v>289</v>
      </c>
      <c r="C252" t="s">
        <v>290</v>
      </c>
      <c r="D252" s="1">
        <v>45826</v>
      </c>
      <c r="E252">
        <v>53850</v>
      </c>
      <c r="F252">
        <v>129</v>
      </c>
      <c r="G252" t="s">
        <v>81</v>
      </c>
      <c r="H252" t="s">
        <v>48</v>
      </c>
      <c r="I252" t="s">
        <v>49</v>
      </c>
      <c r="K252" t="s">
        <v>634</v>
      </c>
      <c r="L252">
        <v>1293300002811</v>
      </c>
      <c r="M252">
        <v>20250617</v>
      </c>
      <c r="N252" t="s">
        <v>222</v>
      </c>
      <c r="P252" t="s">
        <v>291</v>
      </c>
      <c r="Q252" t="s">
        <v>61</v>
      </c>
      <c r="R252">
        <v>1489.94</v>
      </c>
      <c r="S252">
        <v>0</v>
      </c>
      <c r="T252">
        <v>4972184</v>
      </c>
      <c r="U252">
        <v>7780290727</v>
      </c>
      <c r="V252" t="s">
        <v>355</v>
      </c>
      <c r="W252" t="s">
        <v>58</v>
      </c>
      <c r="X252" t="s">
        <v>356</v>
      </c>
      <c r="Y252" t="s">
        <v>52</v>
      </c>
      <c r="Z252">
        <v>1058</v>
      </c>
      <c r="AH252">
        <v>0</v>
      </c>
      <c r="AI252">
        <v>202506</v>
      </c>
      <c r="AJ252" t="s">
        <v>203</v>
      </c>
      <c r="AK252">
        <v>1</v>
      </c>
      <c r="AL252">
        <v>1</v>
      </c>
      <c r="AO252">
        <v>0</v>
      </c>
      <c r="AP252">
        <v>999</v>
      </c>
      <c r="AQ252">
        <v>430</v>
      </c>
      <c r="AR252">
        <v>430999</v>
      </c>
      <c r="AT252">
        <v>1</v>
      </c>
      <c r="AU252" t="s">
        <v>59</v>
      </c>
      <c r="AV252">
        <v>1000</v>
      </c>
      <c r="AW252">
        <v>1186.4000000000001</v>
      </c>
      <c r="AX252">
        <v>1500</v>
      </c>
      <c r="AY252">
        <v>1680.386</v>
      </c>
      <c r="AZ252">
        <v>1992.48</v>
      </c>
      <c r="BA252">
        <v>2399.98</v>
      </c>
      <c r="BB252">
        <v>2739.2040000000002</v>
      </c>
      <c r="BC252">
        <v>3000</v>
      </c>
      <c r="BD252">
        <v>3500</v>
      </c>
      <c r="BE252">
        <v>4000</v>
      </c>
      <c r="BF252">
        <v>4800</v>
      </c>
      <c r="BG252">
        <v>5000</v>
      </c>
      <c r="BH252">
        <v>5024.4139999999998</v>
      </c>
      <c r="BI252">
        <v>5617.9639999999999</v>
      </c>
      <c r="BJ252">
        <v>9836.84</v>
      </c>
      <c r="BK252">
        <v>12377.16</v>
      </c>
      <c r="BL252">
        <v>16956.52800000002</v>
      </c>
      <c r="BM252">
        <v>20247.331999999999</v>
      </c>
      <c r="BN252">
        <v>29364.69400000001</v>
      </c>
      <c r="BO252">
        <v>45000</v>
      </c>
      <c r="BP252">
        <v>1149602.8999999999</v>
      </c>
      <c r="BQ252">
        <v>1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 x14ac:dyDescent="0.35">
      <c r="A253">
        <v>360164</v>
      </c>
      <c r="B253" t="s">
        <v>289</v>
      </c>
      <c r="C253" t="s">
        <v>290</v>
      </c>
      <c r="D253" s="1">
        <v>45826</v>
      </c>
      <c r="E253">
        <v>53850</v>
      </c>
      <c r="F253">
        <v>149</v>
      </c>
      <c r="G253" t="s">
        <v>107</v>
      </c>
      <c r="H253" t="s">
        <v>48</v>
      </c>
      <c r="I253" t="s">
        <v>49</v>
      </c>
      <c r="K253">
        <v>202506168073240</v>
      </c>
      <c r="L253">
        <v>1493300663564</v>
      </c>
      <c r="M253">
        <v>20250616</v>
      </c>
      <c r="N253" t="s">
        <v>222</v>
      </c>
      <c r="P253" t="s">
        <v>303</v>
      </c>
      <c r="Q253" t="s">
        <v>61</v>
      </c>
      <c r="R253">
        <v>11200</v>
      </c>
      <c r="S253">
        <v>0</v>
      </c>
      <c r="T253">
        <v>4851736</v>
      </c>
      <c r="U253">
        <v>8243781211</v>
      </c>
      <c r="V253" t="s">
        <v>447</v>
      </c>
      <c r="W253" t="s">
        <v>58</v>
      </c>
      <c r="X253" t="s">
        <v>137</v>
      </c>
      <c r="Y253" t="s">
        <v>52</v>
      </c>
      <c r="Z253">
        <v>1256</v>
      </c>
      <c r="AH253">
        <v>0</v>
      </c>
      <c r="AI253">
        <v>202506</v>
      </c>
      <c r="AJ253" t="s">
        <v>203</v>
      </c>
      <c r="AK253">
        <v>1</v>
      </c>
      <c r="AL253">
        <v>1</v>
      </c>
      <c r="AO253">
        <v>0</v>
      </c>
      <c r="AP253">
        <v>999</v>
      </c>
      <c r="AQ253">
        <v>430</v>
      </c>
      <c r="AR253">
        <v>430999</v>
      </c>
      <c r="AT253">
        <v>1</v>
      </c>
      <c r="AU253" t="s">
        <v>59</v>
      </c>
      <c r="AV253">
        <v>1000</v>
      </c>
      <c r="AW253">
        <v>1186.4000000000001</v>
      </c>
      <c r="AX253">
        <v>1500</v>
      </c>
      <c r="AY253">
        <v>1680.386</v>
      </c>
      <c r="AZ253">
        <v>1992.48</v>
      </c>
      <c r="BA253">
        <v>2399.98</v>
      </c>
      <c r="BB253">
        <v>2739.2040000000002</v>
      </c>
      <c r="BC253">
        <v>3000</v>
      </c>
      <c r="BD253">
        <v>3500</v>
      </c>
      <c r="BE253">
        <v>4000</v>
      </c>
      <c r="BF253">
        <v>4800</v>
      </c>
      <c r="BG253">
        <v>5000</v>
      </c>
      <c r="BH253">
        <v>5024.4139999999998</v>
      </c>
      <c r="BI253">
        <v>5617.9639999999999</v>
      </c>
      <c r="BJ253">
        <v>9836.84</v>
      </c>
      <c r="BK253">
        <v>12377.16</v>
      </c>
      <c r="BL253">
        <v>16956.52800000002</v>
      </c>
      <c r="BM253">
        <v>20247.331999999999</v>
      </c>
      <c r="BN253">
        <v>29364.69400000001</v>
      </c>
      <c r="BO253">
        <v>45000</v>
      </c>
      <c r="BP253">
        <v>1149602.8999999999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 x14ac:dyDescent="0.35">
      <c r="A254">
        <v>360157</v>
      </c>
      <c r="B254" t="s">
        <v>289</v>
      </c>
      <c r="C254" t="s">
        <v>290</v>
      </c>
      <c r="D254" s="1">
        <v>45826</v>
      </c>
      <c r="E254">
        <v>53850</v>
      </c>
      <c r="F254">
        <v>164</v>
      </c>
      <c r="G254" t="s">
        <v>94</v>
      </c>
      <c r="H254" t="s">
        <v>48</v>
      </c>
      <c r="I254" t="s">
        <v>49</v>
      </c>
      <c r="K254">
        <v>202506168072667</v>
      </c>
      <c r="L254">
        <v>1643300370785</v>
      </c>
      <c r="M254">
        <v>20250616</v>
      </c>
      <c r="N254" t="s">
        <v>222</v>
      </c>
      <c r="P254" t="s">
        <v>303</v>
      </c>
      <c r="Q254" t="s">
        <v>50</v>
      </c>
      <c r="R254">
        <v>12685.04</v>
      </c>
      <c r="S254">
        <v>0</v>
      </c>
      <c r="T254">
        <v>3732249</v>
      </c>
      <c r="U254">
        <v>4127610717</v>
      </c>
      <c r="V254" t="s">
        <v>132</v>
      </c>
      <c r="W254" t="s">
        <v>58</v>
      </c>
      <c r="X254" t="s">
        <v>120</v>
      </c>
      <c r="Y254" t="s">
        <v>52</v>
      </c>
      <c r="Z254">
        <v>677</v>
      </c>
      <c r="AH254">
        <v>0</v>
      </c>
      <c r="AI254">
        <v>202506</v>
      </c>
      <c r="AJ254" t="s">
        <v>68</v>
      </c>
      <c r="AK254">
        <v>0</v>
      </c>
      <c r="AL254">
        <v>1</v>
      </c>
      <c r="AO254">
        <v>0</v>
      </c>
      <c r="AP254">
        <v>999</v>
      </c>
      <c r="AQ254">
        <v>430</v>
      </c>
      <c r="AR254">
        <v>430999</v>
      </c>
      <c r="AT254">
        <v>1</v>
      </c>
      <c r="AU254" t="s">
        <v>59</v>
      </c>
      <c r="AV254">
        <v>1000</v>
      </c>
      <c r="AW254">
        <v>1186.4000000000001</v>
      </c>
      <c r="AX254">
        <v>1500</v>
      </c>
      <c r="AY254">
        <v>1680.386</v>
      </c>
      <c r="AZ254">
        <v>1992.48</v>
      </c>
      <c r="BA254">
        <v>2399.98</v>
      </c>
      <c r="BB254">
        <v>2739.2040000000002</v>
      </c>
      <c r="BC254">
        <v>3000</v>
      </c>
      <c r="BD254">
        <v>3500</v>
      </c>
      <c r="BE254">
        <v>4000</v>
      </c>
      <c r="BF254">
        <v>4800</v>
      </c>
      <c r="BG254">
        <v>5000</v>
      </c>
      <c r="BH254">
        <v>5024.4139999999998</v>
      </c>
      <c r="BI254">
        <v>5617.9639999999999</v>
      </c>
      <c r="BJ254">
        <v>9836.84</v>
      </c>
      <c r="BK254">
        <v>12377.16</v>
      </c>
      <c r="BL254">
        <v>16956.52800000002</v>
      </c>
      <c r="BM254">
        <v>20247.331999999999</v>
      </c>
      <c r="BN254">
        <v>29364.69400000001</v>
      </c>
      <c r="BO254">
        <v>45000</v>
      </c>
      <c r="BP254">
        <v>1149602.8999999999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 x14ac:dyDescent="0.35">
      <c r="A255">
        <v>360152</v>
      </c>
      <c r="B255" t="s">
        <v>289</v>
      </c>
      <c r="C255" t="s">
        <v>290</v>
      </c>
      <c r="D255" s="1">
        <v>45826</v>
      </c>
      <c r="E255">
        <v>53850</v>
      </c>
      <c r="F255">
        <v>141</v>
      </c>
      <c r="G255" t="s">
        <v>91</v>
      </c>
      <c r="H255" t="s">
        <v>48</v>
      </c>
      <c r="I255" t="s">
        <v>49</v>
      </c>
      <c r="K255">
        <v>202506138072430</v>
      </c>
      <c r="L255">
        <v>1413300004416</v>
      </c>
      <c r="M255">
        <v>20250613</v>
      </c>
      <c r="N255" t="s">
        <v>222</v>
      </c>
      <c r="P255" t="s">
        <v>296</v>
      </c>
      <c r="Q255" t="s">
        <v>50</v>
      </c>
      <c r="R255">
        <v>27973.52</v>
      </c>
      <c r="S255">
        <v>0</v>
      </c>
      <c r="T255">
        <v>3731116</v>
      </c>
      <c r="U255">
        <v>4522200759</v>
      </c>
      <c r="V255" t="s">
        <v>635</v>
      </c>
      <c r="W255" t="s">
        <v>58</v>
      </c>
      <c r="X255" t="s">
        <v>131</v>
      </c>
      <c r="Y255" t="s">
        <v>52</v>
      </c>
      <c r="Z255">
        <v>1627</v>
      </c>
      <c r="AH255">
        <v>0</v>
      </c>
      <c r="AI255">
        <v>202506</v>
      </c>
      <c r="AJ255" t="s">
        <v>203</v>
      </c>
      <c r="AK255">
        <v>1</v>
      </c>
      <c r="AL255">
        <v>1</v>
      </c>
      <c r="AO255">
        <v>0</v>
      </c>
      <c r="AP255">
        <v>433</v>
      </c>
      <c r="AQ255">
        <v>430</v>
      </c>
      <c r="AR255">
        <v>430433</v>
      </c>
      <c r="AS255" t="s">
        <v>65</v>
      </c>
      <c r="AU255" t="s">
        <v>65</v>
      </c>
      <c r="AV255">
        <v>1000</v>
      </c>
      <c r="AW255">
        <v>1186.4000000000001</v>
      </c>
      <c r="AX255">
        <v>1500</v>
      </c>
      <c r="AY255">
        <v>1680.386</v>
      </c>
      <c r="AZ255">
        <v>1992.48</v>
      </c>
      <c r="BA255">
        <v>2399.98</v>
      </c>
      <c r="BB255">
        <v>2739.2040000000002</v>
      </c>
      <c r="BC255">
        <v>3000</v>
      </c>
      <c r="BD255">
        <v>3500</v>
      </c>
      <c r="BE255">
        <v>4000</v>
      </c>
      <c r="BF255">
        <v>4800</v>
      </c>
      <c r="BG255">
        <v>5000</v>
      </c>
      <c r="BH255">
        <v>5024.4139999999998</v>
      </c>
      <c r="BI255">
        <v>5617.9639999999999</v>
      </c>
      <c r="BJ255">
        <v>9836.84</v>
      </c>
      <c r="BK255">
        <v>12377.16</v>
      </c>
      <c r="BL255">
        <v>16956.52800000002</v>
      </c>
      <c r="BM255">
        <v>20247.331999999999</v>
      </c>
      <c r="BN255">
        <v>29364.69400000001</v>
      </c>
      <c r="BO255">
        <v>45000</v>
      </c>
      <c r="BP255">
        <v>1149602.8999999999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0</v>
      </c>
      <c r="CJ255">
        <v>0</v>
      </c>
      <c r="CK255">
        <v>0</v>
      </c>
    </row>
    <row r="256" spans="1:89" x14ac:dyDescent="0.35">
      <c r="A256">
        <v>360151</v>
      </c>
      <c r="B256" t="s">
        <v>289</v>
      </c>
      <c r="C256" t="s">
        <v>290</v>
      </c>
      <c r="D256" s="1">
        <v>45825</v>
      </c>
      <c r="E256">
        <v>53850</v>
      </c>
      <c r="F256">
        <v>168</v>
      </c>
      <c r="G256" t="s">
        <v>213</v>
      </c>
      <c r="H256" t="s">
        <v>48</v>
      </c>
      <c r="I256" t="s">
        <v>49</v>
      </c>
      <c r="K256" t="s">
        <v>636</v>
      </c>
      <c r="L256">
        <v>1683306277308</v>
      </c>
      <c r="M256">
        <v>20250616</v>
      </c>
      <c r="N256" t="s">
        <v>222</v>
      </c>
      <c r="P256" t="s">
        <v>303</v>
      </c>
      <c r="Q256" t="s">
        <v>50</v>
      </c>
      <c r="R256">
        <v>2150</v>
      </c>
      <c r="S256">
        <v>0</v>
      </c>
      <c r="T256">
        <v>4950606</v>
      </c>
      <c r="U256">
        <v>7856760728</v>
      </c>
      <c r="V256" t="s">
        <v>460</v>
      </c>
      <c r="W256" t="s">
        <v>58</v>
      </c>
      <c r="X256" t="s">
        <v>108</v>
      </c>
      <c r="Y256" t="s">
        <v>52</v>
      </c>
      <c r="Z256">
        <v>1926</v>
      </c>
      <c r="AH256">
        <v>0</v>
      </c>
      <c r="AI256">
        <v>202506</v>
      </c>
      <c r="AJ256" t="s">
        <v>203</v>
      </c>
      <c r="AK256">
        <v>1</v>
      </c>
      <c r="AL256">
        <v>1</v>
      </c>
      <c r="AO256">
        <v>0</v>
      </c>
      <c r="AP256">
        <v>999</v>
      </c>
      <c r="AQ256">
        <v>430</v>
      </c>
      <c r="AR256">
        <v>430999</v>
      </c>
      <c r="AT256">
        <v>1</v>
      </c>
      <c r="AU256" t="s">
        <v>59</v>
      </c>
      <c r="AV256">
        <v>1000</v>
      </c>
      <c r="AW256">
        <v>1186.4000000000001</v>
      </c>
      <c r="AX256">
        <v>1500</v>
      </c>
      <c r="AY256">
        <v>1680.386</v>
      </c>
      <c r="AZ256">
        <v>1992.48</v>
      </c>
      <c r="BA256">
        <v>2399.98</v>
      </c>
      <c r="BB256">
        <v>2739.2040000000002</v>
      </c>
      <c r="BC256">
        <v>3000</v>
      </c>
      <c r="BD256">
        <v>3500</v>
      </c>
      <c r="BE256">
        <v>4000</v>
      </c>
      <c r="BF256">
        <v>4800</v>
      </c>
      <c r="BG256">
        <v>5000</v>
      </c>
      <c r="BH256">
        <v>5024.4139999999998</v>
      </c>
      <c r="BI256">
        <v>5617.9639999999999</v>
      </c>
      <c r="BJ256">
        <v>9836.84</v>
      </c>
      <c r="BK256">
        <v>12377.16</v>
      </c>
      <c r="BL256">
        <v>16956.52800000002</v>
      </c>
      <c r="BM256">
        <v>20247.331999999999</v>
      </c>
      <c r="BN256">
        <v>29364.69400000001</v>
      </c>
      <c r="BO256">
        <v>45000</v>
      </c>
      <c r="BP256">
        <v>1149602.8999999999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 x14ac:dyDescent="0.35">
      <c r="A257">
        <v>360150</v>
      </c>
      <c r="B257" t="s">
        <v>289</v>
      </c>
      <c r="C257" t="s">
        <v>290</v>
      </c>
      <c r="D257" s="1">
        <v>45825</v>
      </c>
      <c r="E257">
        <v>53850</v>
      </c>
      <c r="F257">
        <v>270</v>
      </c>
      <c r="G257" t="s">
        <v>92</v>
      </c>
      <c r="H257" t="s">
        <v>48</v>
      </c>
      <c r="I257" t="s">
        <v>49</v>
      </c>
      <c r="K257" t="s">
        <v>637</v>
      </c>
      <c r="L257">
        <v>2703300010699</v>
      </c>
      <c r="M257">
        <v>20250616</v>
      </c>
      <c r="N257" t="s">
        <v>222</v>
      </c>
      <c r="P257" t="s">
        <v>303</v>
      </c>
      <c r="Q257" t="s">
        <v>50</v>
      </c>
      <c r="R257">
        <v>4000</v>
      </c>
      <c r="S257">
        <v>0</v>
      </c>
      <c r="T257">
        <v>3728961</v>
      </c>
      <c r="U257" t="s">
        <v>625</v>
      </c>
      <c r="V257" t="s">
        <v>626</v>
      </c>
      <c r="W257" t="s">
        <v>51</v>
      </c>
      <c r="Y257" t="s">
        <v>52</v>
      </c>
      <c r="Z257">
        <v>1809</v>
      </c>
      <c r="AH257">
        <v>0</v>
      </c>
      <c r="AI257">
        <v>202506</v>
      </c>
      <c r="AJ257" t="s">
        <v>205</v>
      </c>
      <c r="AK257">
        <v>1</v>
      </c>
      <c r="AL257">
        <v>1</v>
      </c>
      <c r="AO257">
        <v>0</v>
      </c>
      <c r="AP257">
        <v>999</v>
      </c>
      <c r="AQ257">
        <v>600</v>
      </c>
      <c r="AR257">
        <v>600999</v>
      </c>
      <c r="AS257" t="s">
        <v>53</v>
      </c>
      <c r="AU257" t="s">
        <v>53</v>
      </c>
      <c r="AV257">
        <v>1000</v>
      </c>
      <c r="AW257">
        <v>1186.4000000000001</v>
      </c>
      <c r="AX257">
        <v>1500</v>
      </c>
      <c r="AY257">
        <v>1680.386</v>
      </c>
      <c r="AZ257">
        <v>1992.48</v>
      </c>
      <c r="BA257">
        <v>2399.98</v>
      </c>
      <c r="BB257">
        <v>2739.2040000000002</v>
      </c>
      <c r="BC257">
        <v>3000</v>
      </c>
      <c r="BD257">
        <v>3500</v>
      </c>
      <c r="BE257">
        <v>4000</v>
      </c>
      <c r="BF257">
        <v>4800</v>
      </c>
      <c r="BG257">
        <v>5000</v>
      </c>
      <c r="BH257">
        <v>5024.4139999999998</v>
      </c>
      <c r="BI257">
        <v>5617.9639999999999</v>
      </c>
      <c r="BJ257">
        <v>9836.84</v>
      </c>
      <c r="BK257">
        <v>12377.16</v>
      </c>
      <c r="BL257">
        <v>16956.52800000002</v>
      </c>
      <c r="BM257">
        <v>20247.331999999999</v>
      </c>
      <c r="BN257">
        <v>29364.69400000001</v>
      </c>
      <c r="BO257">
        <v>45000</v>
      </c>
      <c r="BP257">
        <v>1149602.8999999999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 x14ac:dyDescent="0.35">
      <c r="A258">
        <v>360149</v>
      </c>
      <c r="B258" t="s">
        <v>289</v>
      </c>
      <c r="C258" t="s">
        <v>290</v>
      </c>
      <c r="D258" s="1">
        <v>45825</v>
      </c>
      <c r="E258">
        <v>53850</v>
      </c>
      <c r="F258">
        <v>119</v>
      </c>
      <c r="G258" t="s">
        <v>69</v>
      </c>
      <c r="H258" t="s">
        <v>48</v>
      </c>
      <c r="I258" t="s">
        <v>49</v>
      </c>
      <c r="K258" t="s">
        <v>638</v>
      </c>
      <c r="L258">
        <v>1193308875001</v>
      </c>
      <c r="M258">
        <v>20250616</v>
      </c>
      <c r="N258" t="s">
        <v>222</v>
      </c>
      <c r="P258" t="s">
        <v>303</v>
      </c>
      <c r="Q258" t="s">
        <v>61</v>
      </c>
      <c r="R258">
        <v>2800</v>
      </c>
      <c r="S258">
        <v>0</v>
      </c>
      <c r="T258">
        <v>4926288</v>
      </c>
      <c r="U258" t="s">
        <v>385</v>
      </c>
      <c r="V258" t="s">
        <v>386</v>
      </c>
      <c r="W258" t="s">
        <v>73</v>
      </c>
      <c r="X258" t="s">
        <v>387</v>
      </c>
      <c r="Y258" t="s">
        <v>52</v>
      </c>
      <c r="Z258">
        <v>656</v>
      </c>
      <c r="AH258">
        <v>0</v>
      </c>
      <c r="AI258">
        <v>202506</v>
      </c>
      <c r="AJ258" t="s">
        <v>203</v>
      </c>
      <c r="AK258">
        <v>1</v>
      </c>
      <c r="AL258">
        <v>1</v>
      </c>
      <c r="AO258">
        <v>0</v>
      </c>
      <c r="AP258">
        <v>999</v>
      </c>
      <c r="AQ258">
        <v>615</v>
      </c>
      <c r="AR258">
        <v>615999</v>
      </c>
      <c r="AT258">
        <v>1</v>
      </c>
      <c r="AU258" t="s">
        <v>65</v>
      </c>
      <c r="AV258">
        <v>1000</v>
      </c>
      <c r="AW258">
        <v>1186.4000000000001</v>
      </c>
      <c r="AX258">
        <v>1500</v>
      </c>
      <c r="AY258">
        <v>1680.386</v>
      </c>
      <c r="AZ258">
        <v>1992.48</v>
      </c>
      <c r="BA258">
        <v>2399.98</v>
      </c>
      <c r="BB258">
        <v>2739.2040000000002</v>
      </c>
      <c r="BC258">
        <v>3000</v>
      </c>
      <c r="BD258">
        <v>3500</v>
      </c>
      <c r="BE258">
        <v>4000</v>
      </c>
      <c r="BF258">
        <v>4800</v>
      </c>
      <c r="BG258">
        <v>5000</v>
      </c>
      <c r="BH258">
        <v>5024.4139999999998</v>
      </c>
      <c r="BI258">
        <v>5617.9639999999999</v>
      </c>
      <c r="BJ258">
        <v>9836.84</v>
      </c>
      <c r="BK258">
        <v>12377.16</v>
      </c>
      <c r="BL258">
        <v>16956.52800000002</v>
      </c>
      <c r="BM258">
        <v>20247.331999999999</v>
      </c>
      <c r="BN258">
        <v>29364.69400000001</v>
      </c>
      <c r="BO258">
        <v>45000</v>
      </c>
      <c r="BP258">
        <v>1149602.8999999999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 x14ac:dyDescent="0.35">
      <c r="A259">
        <v>360148</v>
      </c>
      <c r="B259" t="s">
        <v>289</v>
      </c>
      <c r="C259" t="s">
        <v>290</v>
      </c>
      <c r="D259" s="1">
        <v>45825</v>
      </c>
      <c r="E259">
        <v>53850</v>
      </c>
      <c r="F259">
        <v>187</v>
      </c>
      <c r="G259" t="s">
        <v>75</v>
      </c>
      <c r="H259" t="s">
        <v>48</v>
      </c>
      <c r="I259" t="s">
        <v>49</v>
      </c>
      <c r="K259" t="s">
        <v>639</v>
      </c>
      <c r="L259">
        <v>1873300102696</v>
      </c>
      <c r="M259">
        <v>20250616</v>
      </c>
      <c r="N259" t="s">
        <v>222</v>
      </c>
      <c r="P259" t="s">
        <v>303</v>
      </c>
      <c r="Q259" t="s">
        <v>61</v>
      </c>
      <c r="R259">
        <v>1386.68</v>
      </c>
      <c r="S259">
        <v>0</v>
      </c>
      <c r="T259">
        <v>4000559</v>
      </c>
      <c r="U259">
        <v>2099160737</v>
      </c>
      <c r="V259" t="s">
        <v>117</v>
      </c>
      <c r="W259" t="s">
        <v>58</v>
      </c>
      <c r="X259" t="s">
        <v>86</v>
      </c>
      <c r="Y259" t="s">
        <v>52</v>
      </c>
      <c r="Z259">
        <v>1627</v>
      </c>
      <c r="AH259">
        <v>0</v>
      </c>
      <c r="AI259">
        <v>202506</v>
      </c>
      <c r="AJ259" t="s">
        <v>68</v>
      </c>
      <c r="AK259">
        <v>0</v>
      </c>
      <c r="AL259">
        <v>1</v>
      </c>
      <c r="AO259">
        <v>0</v>
      </c>
      <c r="AP259">
        <v>463</v>
      </c>
      <c r="AQ259">
        <v>430</v>
      </c>
      <c r="AR259">
        <v>430463</v>
      </c>
      <c r="AS259" t="s">
        <v>65</v>
      </c>
      <c r="AU259" t="s">
        <v>65</v>
      </c>
      <c r="AV259">
        <v>1000</v>
      </c>
      <c r="AW259">
        <v>1186.4000000000001</v>
      </c>
      <c r="AX259">
        <v>1500</v>
      </c>
      <c r="AY259">
        <v>1680.386</v>
      </c>
      <c r="AZ259">
        <v>1992.48</v>
      </c>
      <c r="BA259">
        <v>2399.98</v>
      </c>
      <c r="BB259">
        <v>2739.2040000000002</v>
      </c>
      <c r="BC259">
        <v>3000</v>
      </c>
      <c r="BD259">
        <v>3500</v>
      </c>
      <c r="BE259">
        <v>4000</v>
      </c>
      <c r="BF259">
        <v>4800</v>
      </c>
      <c r="BG259">
        <v>5000</v>
      </c>
      <c r="BH259">
        <v>5024.4139999999998</v>
      </c>
      <c r="BI259">
        <v>5617.9639999999999</v>
      </c>
      <c r="BJ259">
        <v>9836.84</v>
      </c>
      <c r="BK259">
        <v>12377.16</v>
      </c>
      <c r="BL259">
        <v>16956.52800000002</v>
      </c>
      <c r="BM259">
        <v>20247.331999999999</v>
      </c>
      <c r="BN259">
        <v>29364.69400000001</v>
      </c>
      <c r="BO259">
        <v>45000</v>
      </c>
      <c r="BP259">
        <v>1149602.8999999999</v>
      </c>
      <c r="BQ259">
        <v>1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 x14ac:dyDescent="0.35">
      <c r="A260">
        <v>360147</v>
      </c>
      <c r="B260" t="s">
        <v>289</v>
      </c>
      <c r="C260" t="s">
        <v>290</v>
      </c>
      <c r="D260" s="1">
        <v>45825</v>
      </c>
      <c r="E260">
        <v>53850</v>
      </c>
      <c r="F260">
        <v>261</v>
      </c>
      <c r="G260" t="s">
        <v>96</v>
      </c>
      <c r="H260" t="s">
        <v>48</v>
      </c>
      <c r="I260" t="s">
        <v>49</v>
      </c>
      <c r="K260" t="s">
        <v>640</v>
      </c>
      <c r="L260">
        <v>2613300001265</v>
      </c>
      <c r="M260">
        <v>20250616</v>
      </c>
      <c r="N260" t="s">
        <v>222</v>
      </c>
      <c r="P260" t="s">
        <v>296</v>
      </c>
      <c r="Q260" t="s">
        <v>61</v>
      </c>
      <c r="R260">
        <v>3500</v>
      </c>
      <c r="S260">
        <v>0</v>
      </c>
      <c r="T260">
        <v>1625403</v>
      </c>
      <c r="U260" t="s">
        <v>392</v>
      </c>
      <c r="V260" t="s">
        <v>393</v>
      </c>
      <c r="W260" t="s">
        <v>51</v>
      </c>
      <c r="Y260" t="s">
        <v>52</v>
      </c>
      <c r="Z260">
        <v>1755</v>
      </c>
      <c r="AH260">
        <v>0</v>
      </c>
      <c r="AI260">
        <v>202506</v>
      </c>
      <c r="AJ260" t="s">
        <v>68</v>
      </c>
      <c r="AK260">
        <v>0</v>
      </c>
      <c r="AL260">
        <v>1</v>
      </c>
      <c r="AO260">
        <v>0</v>
      </c>
      <c r="AP260">
        <v>999</v>
      </c>
      <c r="AQ260">
        <v>600</v>
      </c>
      <c r="AR260">
        <v>600999</v>
      </c>
      <c r="AS260" t="s">
        <v>53</v>
      </c>
      <c r="AU260" t="s">
        <v>53</v>
      </c>
      <c r="AV260">
        <v>1000</v>
      </c>
      <c r="AW260">
        <v>1186.4000000000001</v>
      </c>
      <c r="AX260">
        <v>1500</v>
      </c>
      <c r="AY260">
        <v>1680.386</v>
      </c>
      <c r="AZ260">
        <v>1992.48</v>
      </c>
      <c r="BA260">
        <v>2399.98</v>
      </c>
      <c r="BB260">
        <v>2739.2040000000002</v>
      </c>
      <c r="BC260">
        <v>3000</v>
      </c>
      <c r="BD260">
        <v>3500</v>
      </c>
      <c r="BE260">
        <v>4000</v>
      </c>
      <c r="BF260">
        <v>4800</v>
      </c>
      <c r="BG260">
        <v>5000</v>
      </c>
      <c r="BH260">
        <v>5024.4139999999998</v>
      </c>
      <c r="BI260">
        <v>5617.9639999999999</v>
      </c>
      <c r="BJ260">
        <v>9836.84</v>
      </c>
      <c r="BK260">
        <v>12377.16</v>
      </c>
      <c r="BL260">
        <v>16956.52800000002</v>
      </c>
      <c r="BM260">
        <v>20247.331999999999</v>
      </c>
      <c r="BN260">
        <v>29364.69400000001</v>
      </c>
      <c r="BO260">
        <v>45000</v>
      </c>
      <c r="BP260">
        <v>1149602.8999999999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 x14ac:dyDescent="0.35">
      <c r="A261">
        <v>360146</v>
      </c>
      <c r="B261" t="s">
        <v>289</v>
      </c>
      <c r="C261" t="s">
        <v>290</v>
      </c>
      <c r="D261" s="1">
        <v>45825</v>
      </c>
      <c r="E261">
        <v>53850</v>
      </c>
      <c r="F261">
        <v>167</v>
      </c>
      <c r="G261" t="s">
        <v>212</v>
      </c>
      <c r="H261" t="s">
        <v>48</v>
      </c>
      <c r="I261" t="s">
        <v>49</v>
      </c>
      <c r="K261" t="s">
        <v>641</v>
      </c>
      <c r="L261">
        <v>1673301672632</v>
      </c>
      <c r="M261">
        <v>20250616</v>
      </c>
      <c r="N261" t="s">
        <v>222</v>
      </c>
      <c r="P261" t="s">
        <v>296</v>
      </c>
      <c r="Q261" t="s">
        <v>61</v>
      </c>
      <c r="R261">
        <v>4500</v>
      </c>
      <c r="S261">
        <v>0</v>
      </c>
      <c r="T261">
        <v>4662729</v>
      </c>
      <c r="U261">
        <v>7212610724</v>
      </c>
      <c r="V261" t="s">
        <v>642</v>
      </c>
      <c r="W261" t="s">
        <v>58</v>
      </c>
      <c r="X261" t="s">
        <v>643</v>
      </c>
      <c r="Y261" t="s">
        <v>52</v>
      </c>
      <c r="Z261">
        <v>1175</v>
      </c>
      <c r="AH261">
        <v>0</v>
      </c>
      <c r="AI261">
        <v>202506</v>
      </c>
      <c r="AJ261" t="s">
        <v>203</v>
      </c>
      <c r="AK261">
        <v>1</v>
      </c>
      <c r="AL261">
        <v>1</v>
      </c>
      <c r="AO261">
        <v>0</v>
      </c>
      <c r="AP261">
        <v>439</v>
      </c>
      <c r="AQ261">
        <v>430</v>
      </c>
      <c r="AR261">
        <v>430439</v>
      </c>
      <c r="AS261" t="s">
        <v>65</v>
      </c>
      <c r="AU261" t="s">
        <v>65</v>
      </c>
      <c r="AV261">
        <v>1000</v>
      </c>
      <c r="AW261">
        <v>1186.4000000000001</v>
      </c>
      <c r="AX261">
        <v>1500</v>
      </c>
      <c r="AY261">
        <v>1680.386</v>
      </c>
      <c r="AZ261">
        <v>1992.48</v>
      </c>
      <c r="BA261">
        <v>2399.98</v>
      </c>
      <c r="BB261">
        <v>2739.2040000000002</v>
      </c>
      <c r="BC261">
        <v>3000</v>
      </c>
      <c r="BD261">
        <v>3500</v>
      </c>
      <c r="BE261">
        <v>4000</v>
      </c>
      <c r="BF261">
        <v>4800</v>
      </c>
      <c r="BG261">
        <v>5000</v>
      </c>
      <c r="BH261">
        <v>5024.4139999999998</v>
      </c>
      <c r="BI261">
        <v>5617.9639999999999</v>
      </c>
      <c r="BJ261">
        <v>9836.84</v>
      </c>
      <c r="BK261">
        <v>12377.16</v>
      </c>
      <c r="BL261">
        <v>16956.52800000002</v>
      </c>
      <c r="BM261">
        <v>20247.331999999999</v>
      </c>
      <c r="BN261">
        <v>29364.69400000001</v>
      </c>
      <c r="BO261">
        <v>45000</v>
      </c>
      <c r="BP261">
        <v>1149602.8999999999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 x14ac:dyDescent="0.35">
      <c r="A262">
        <v>348972</v>
      </c>
      <c r="B262" t="s">
        <v>289</v>
      </c>
      <c r="C262" t="s">
        <v>290</v>
      </c>
      <c r="D262" s="1">
        <v>45822</v>
      </c>
      <c r="E262">
        <v>53850</v>
      </c>
      <c r="F262">
        <v>120</v>
      </c>
      <c r="G262" t="s">
        <v>703</v>
      </c>
      <c r="H262" t="s">
        <v>48</v>
      </c>
      <c r="I262" t="s">
        <v>49</v>
      </c>
      <c r="K262" t="s">
        <v>704</v>
      </c>
      <c r="L262">
        <v>1203300002401</v>
      </c>
      <c r="M262">
        <v>20250613</v>
      </c>
      <c r="N262" t="s">
        <v>222</v>
      </c>
      <c r="P262" t="s">
        <v>405</v>
      </c>
      <c r="Q262" t="s">
        <v>61</v>
      </c>
      <c r="R262">
        <v>3967</v>
      </c>
      <c r="S262">
        <v>0</v>
      </c>
      <c r="T262">
        <v>613876</v>
      </c>
      <c r="U262">
        <v>574290722</v>
      </c>
      <c r="V262" t="s">
        <v>705</v>
      </c>
      <c r="W262" t="s">
        <v>706</v>
      </c>
      <c r="X262" t="s">
        <v>707</v>
      </c>
      <c r="Y262" t="s">
        <v>52</v>
      </c>
      <c r="Z262">
        <v>1058</v>
      </c>
      <c r="AH262">
        <v>0</v>
      </c>
      <c r="AI262">
        <v>202506</v>
      </c>
      <c r="AJ262" t="s">
        <v>205</v>
      </c>
      <c r="AK262">
        <v>1</v>
      </c>
      <c r="AL262">
        <v>1</v>
      </c>
      <c r="AM262">
        <v>613876</v>
      </c>
      <c r="AN262">
        <v>1</v>
      </c>
      <c r="AO262">
        <v>0</v>
      </c>
      <c r="AP262">
        <v>999</v>
      </c>
      <c r="AQ262">
        <v>500</v>
      </c>
      <c r="AR262">
        <v>500999</v>
      </c>
      <c r="AT262">
        <v>1</v>
      </c>
      <c r="AU262" t="s">
        <v>65</v>
      </c>
      <c r="AV262">
        <v>1000</v>
      </c>
      <c r="AW262">
        <v>1186.4000000000001</v>
      </c>
      <c r="AX262">
        <v>1500</v>
      </c>
      <c r="AY262">
        <v>1680.386</v>
      </c>
      <c r="AZ262">
        <v>1992.48</v>
      </c>
      <c r="BA262">
        <v>2399.98</v>
      </c>
      <c r="BB262">
        <v>2739.2040000000002</v>
      </c>
      <c r="BC262">
        <v>3000</v>
      </c>
      <c r="BD262">
        <v>3500</v>
      </c>
      <c r="BE262">
        <v>4000</v>
      </c>
      <c r="BF262">
        <v>4800</v>
      </c>
      <c r="BG262">
        <v>5000</v>
      </c>
      <c r="BH262">
        <v>5024.4139999999998</v>
      </c>
      <c r="BI262">
        <v>5617.9639999999999</v>
      </c>
      <c r="BJ262">
        <v>9836.84</v>
      </c>
      <c r="BK262">
        <v>12377.16</v>
      </c>
      <c r="BL262">
        <v>16956.52800000002</v>
      </c>
      <c r="BM262">
        <v>20247.331999999999</v>
      </c>
      <c r="BN262">
        <v>29364.69400000001</v>
      </c>
      <c r="BO262">
        <v>45000</v>
      </c>
      <c r="BP262">
        <v>1149602.8999999999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 x14ac:dyDescent="0.35">
      <c r="A263">
        <v>348954</v>
      </c>
      <c r="B263" t="s">
        <v>289</v>
      </c>
      <c r="C263" t="s">
        <v>290</v>
      </c>
      <c r="D263" s="1">
        <v>45822</v>
      </c>
      <c r="E263">
        <v>53850</v>
      </c>
      <c r="F263">
        <v>270</v>
      </c>
      <c r="G263" t="s">
        <v>92</v>
      </c>
      <c r="H263" t="s">
        <v>48</v>
      </c>
      <c r="I263" t="s">
        <v>49</v>
      </c>
      <c r="K263">
        <v>202506138067072</v>
      </c>
      <c r="L263">
        <v>2703300001237</v>
      </c>
      <c r="M263">
        <v>20250613</v>
      </c>
      <c r="N263" t="s">
        <v>222</v>
      </c>
      <c r="P263" t="s">
        <v>303</v>
      </c>
      <c r="Q263" t="s">
        <v>61</v>
      </c>
      <c r="R263">
        <v>6000</v>
      </c>
      <c r="S263">
        <v>0</v>
      </c>
      <c r="T263">
        <v>1634558</v>
      </c>
      <c r="U263">
        <v>2513350690</v>
      </c>
      <c r="V263" t="s">
        <v>644</v>
      </c>
      <c r="W263" t="s">
        <v>58</v>
      </c>
      <c r="X263" t="s">
        <v>237</v>
      </c>
      <c r="Y263" t="s">
        <v>52</v>
      </c>
      <c r="Z263">
        <v>1935</v>
      </c>
      <c r="AH263">
        <v>0</v>
      </c>
      <c r="AI263">
        <v>202506</v>
      </c>
      <c r="AJ263" t="s">
        <v>205</v>
      </c>
      <c r="AK263">
        <v>1</v>
      </c>
      <c r="AL263">
        <v>1</v>
      </c>
      <c r="AO263">
        <v>0</v>
      </c>
      <c r="AP263">
        <v>451</v>
      </c>
      <c r="AQ263">
        <v>430</v>
      </c>
      <c r="AR263">
        <v>430451</v>
      </c>
      <c r="AS263" t="s">
        <v>65</v>
      </c>
      <c r="AU263" t="s">
        <v>65</v>
      </c>
      <c r="AV263">
        <v>1000</v>
      </c>
      <c r="AW263">
        <v>1186.4000000000001</v>
      </c>
      <c r="AX263">
        <v>1500</v>
      </c>
      <c r="AY263">
        <v>1680.386</v>
      </c>
      <c r="AZ263">
        <v>1992.48</v>
      </c>
      <c r="BA263">
        <v>2399.98</v>
      </c>
      <c r="BB263">
        <v>2739.2040000000002</v>
      </c>
      <c r="BC263">
        <v>3000</v>
      </c>
      <c r="BD263">
        <v>3500</v>
      </c>
      <c r="BE263">
        <v>4000</v>
      </c>
      <c r="BF263">
        <v>4800</v>
      </c>
      <c r="BG263">
        <v>5000</v>
      </c>
      <c r="BH263">
        <v>5024.4139999999998</v>
      </c>
      <c r="BI263">
        <v>5617.9639999999999</v>
      </c>
      <c r="BJ263">
        <v>9836.84</v>
      </c>
      <c r="BK263">
        <v>12377.16</v>
      </c>
      <c r="BL263">
        <v>16956.52800000002</v>
      </c>
      <c r="BM263">
        <v>20247.331999999999</v>
      </c>
      <c r="BN263">
        <v>29364.69400000001</v>
      </c>
      <c r="BO263">
        <v>45000</v>
      </c>
      <c r="BP263">
        <v>1149602.8999999999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 x14ac:dyDescent="0.35">
      <c r="A264">
        <v>348952</v>
      </c>
      <c r="B264" t="s">
        <v>289</v>
      </c>
      <c r="C264" t="s">
        <v>290</v>
      </c>
      <c r="D264" s="1">
        <v>45821</v>
      </c>
      <c r="E264">
        <v>53850</v>
      </c>
      <c r="F264">
        <v>129</v>
      </c>
      <c r="G264" t="s">
        <v>81</v>
      </c>
      <c r="H264" t="s">
        <v>48</v>
      </c>
      <c r="I264" t="s">
        <v>49</v>
      </c>
      <c r="K264">
        <v>202506128063913</v>
      </c>
      <c r="L264">
        <v>1293300002811</v>
      </c>
      <c r="M264">
        <v>20250612</v>
      </c>
      <c r="N264" t="s">
        <v>222</v>
      </c>
      <c r="P264" t="s">
        <v>291</v>
      </c>
      <c r="Q264" t="s">
        <v>61</v>
      </c>
      <c r="R264">
        <v>21192.92</v>
      </c>
      <c r="S264">
        <v>0</v>
      </c>
      <c r="T264">
        <v>4972184</v>
      </c>
      <c r="U264">
        <v>7780290727</v>
      </c>
      <c r="V264" t="s">
        <v>355</v>
      </c>
      <c r="W264" t="s">
        <v>58</v>
      </c>
      <c r="X264" t="s">
        <v>356</v>
      </c>
      <c r="Y264" t="s">
        <v>52</v>
      </c>
      <c r="Z264">
        <v>1058</v>
      </c>
      <c r="AH264">
        <v>0</v>
      </c>
      <c r="AI264">
        <v>202506</v>
      </c>
      <c r="AJ264" t="s">
        <v>203</v>
      </c>
      <c r="AK264">
        <v>1</v>
      </c>
      <c r="AL264">
        <v>1</v>
      </c>
      <c r="AO264">
        <v>0</v>
      </c>
      <c r="AP264">
        <v>999</v>
      </c>
      <c r="AQ264">
        <v>430</v>
      </c>
      <c r="AR264">
        <v>430999</v>
      </c>
      <c r="AT264">
        <v>1</v>
      </c>
      <c r="AU264" t="s">
        <v>59</v>
      </c>
      <c r="AV264">
        <v>1000</v>
      </c>
      <c r="AW264">
        <v>1186.4000000000001</v>
      </c>
      <c r="AX264">
        <v>1500</v>
      </c>
      <c r="AY264">
        <v>1680.386</v>
      </c>
      <c r="AZ264">
        <v>1992.48</v>
      </c>
      <c r="BA264">
        <v>2399.98</v>
      </c>
      <c r="BB264">
        <v>2739.2040000000002</v>
      </c>
      <c r="BC264">
        <v>3000</v>
      </c>
      <c r="BD264">
        <v>3500</v>
      </c>
      <c r="BE264">
        <v>4000</v>
      </c>
      <c r="BF264">
        <v>4800</v>
      </c>
      <c r="BG264">
        <v>5000</v>
      </c>
      <c r="BH264">
        <v>5024.4139999999998</v>
      </c>
      <c r="BI264">
        <v>5617.9639999999999</v>
      </c>
      <c r="BJ264">
        <v>9836.84</v>
      </c>
      <c r="BK264">
        <v>12377.16</v>
      </c>
      <c r="BL264">
        <v>16956.52800000002</v>
      </c>
      <c r="BM264">
        <v>20247.331999999999</v>
      </c>
      <c r="BN264">
        <v>29364.69400000001</v>
      </c>
      <c r="BO264">
        <v>45000</v>
      </c>
      <c r="BP264">
        <v>1149602.8999999999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0</v>
      </c>
      <c r="CJ264">
        <v>0</v>
      </c>
      <c r="CK264">
        <v>0</v>
      </c>
    </row>
    <row r="265" spans="1:89" x14ac:dyDescent="0.35">
      <c r="A265">
        <v>348951</v>
      </c>
      <c r="B265" t="s">
        <v>289</v>
      </c>
      <c r="C265" t="s">
        <v>290</v>
      </c>
      <c r="D265" s="1">
        <v>45821</v>
      </c>
      <c r="E265">
        <v>53850</v>
      </c>
      <c r="F265">
        <v>273</v>
      </c>
      <c r="G265" t="s">
        <v>57</v>
      </c>
      <c r="H265" t="s">
        <v>48</v>
      </c>
      <c r="I265" t="s">
        <v>49</v>
      </c>
      <c r="K265">
        <v>202506128062656</v>
      </c>
      <c r="L265">
        <v>2733300011179</v>
      </c>
      <c r="M265">
        <v>20250612</v>
      </c>
      <c r="N265" t="s">
        <v>222</v>
      </c>
      <c r="P265" t="s">
        <v>303</v>
      </c>
      <c r="Q265" t="s">
        <v>50</v>
      </c>
      <c r="R265">
        <v>25000</v>
      </c>
      <c r="S265">
        <v>0</v>
      </c>
      <c r="T265">
        <v>4973829</v>
      </c>
      <c r="U265">
        <v>11952460969</v>
      </c>
      <c r="V265" t="s">
        <v>645</v>
      </c>
      <c r="W265" t="s">
        <v>58</v>
      </c>
      <c r="X265" t="s">
        <v>646</v>
      </c>
      <c r="Y265" t="s">
        <v>52</v>
      </c>
      <c r="Z265">
        <v>1805</v>
      </c>
      <c r="AH265">
        <v>0</v>
      </c>
      <c r="AI265">
        <v>202506</v>
      </c>
      <c r="AJ265" t="s">
        <v>203</v>
      </c>
      <c r="AK265">
        <v>1</v>
      </c>
      <c r="AL265">
        <v>1</v>
      </c>
      <c r="AO265">
        <v>0</v>
      </c>
      <c r="AP265">
        <v>999</v>
      </c>
      <c r="AQ265">
        <v>430</v>
      </c>
      <c r="AR265">
        <v>430999</v>
      </c>
      <c r="AT265">
        <v>1</v>
      </c>
      <c r="AU265" t="s">
        <v>59</v>
      </c>
      <c r="AV265">
        <v>1000</v>
      </c>
      <c r="AW265">
        <v>1186.4000000000001</v>
      </c>
      <c r="AX265">
        <v>1500</v>
      </c>
      <c r="AY265">
        <v>1680.386</v>
      </c>
      <c r="AZ265">
        <v>1992.48</v>
      </c>
      <c r="BA265">
        <v>2399.98</v>
      </c>
      <c r="BB265">
        <v>2739.2040000000002</v>
      </c>
      <c r="BC265">
        <v>3000</v>
      </c>
      <c r="BD265">
        <v>3500</v>
      </c>
      <c r="BE265">
        <v>4000</v>
      </c>
      <c r="BF265">
        <v>4800</v>
      </c>
      <c r="BG265">
        <v>5000</v>
      </c>
      <c r="BH265">
        <v>5024.4139999999998</v>
      </c>
      <c r="BI265">
        <v>5617.9639999999999</v>
      </c>
      <c r="BJ265">
        <v>9836.84</v>
      </c>
      <c r="BK265">
        <v>12377.16</v>
      </c>
      <c r="BL265">
        <v>16956.52800000002</v>
      </c>
      <c r="BM265">
        <v>20247.331999999999</v>
      </c>
      <c r="BN265">
        <v>29364.69400000001</v>
      </c>
      <c r="BO265">
        <v>45000</v>
      </c>
      <c r="BP265">
        <v>1149602.8999999999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0</v>
      </c>
      <c r="CJ265">
        <v>0</v>
      </c>
      <c r="CK265">
        <v>0</v>
      </c>
    </row>
    <row r="266" spans="1:89" x14ac:dyDescent="0.35">
      <c r="A266">
        <v>348947</v>
      </c>
      <c r="B266" t="s">
        <v>289</v>
      </c>
      <c r="C266" t="s">
        <v>290</v>
      </c>
      <c r="D266" s="1">
        <v>45821</v>
      </c>
      <c r="E266">
        <v>53850</v>
      </c>
      <c r="F266">
        <v>271</v>
      </c>
      <c r="G266" t="s">
        <v>109</v>
      </c>
      <c r="H266" t="s">
        <v>48</v>
      </c>
      <c r="I266" t="s">
        <v>49</v>
      </c>
      <c r="K266">
        <v>202506128064052</v>
      </c>
      <c r="L266">
        <v>2713300010112</v>
      </c>
      <c r="M266">
        <v>20250612</v>
      </c>
      <c r="N266" t="s">
        <v>222</v>
      </c>
      <c r="P266" t="s">
        <v>136</v>
      </c>
      <c r="Q266" t="s">
        <v>61</v>
      </c>
      <c r="R266">
        <v>5000</v>
      </c>
      <c r="S266">
        <v>0</v>
      </c>
      <c r="T266">
        <v>1611557</v>
      </c>
      <c r="U266" t="s">
        <v>401</v>
      </c>
      <c r="V266" t="s">
        <v>402</v>
      </c>
      <c r="W266" t="s">
        <v>73</v>
      </c>
      <c r="X266" t="s">
        <v>403</v>
      </c>
      <c r="Y266" t="s">
        <v>52</v>
      </c>
      <c r="Z266">
        <v>1850</v>
      </c>
      <c r="AH266">
        <v>0</v>
      </c>
      <c r="AI266">
        <v>202506</v>
      </c>
      <c r="AJ266" t="s">
        <v>55</v>
      </c>
      <c r="AK266">
        <v>0</v>
      </c>
      <c r="AL266">
        <v>1</v>
      </c>
      <c r="AO266">
        <v>0</v>
      </c>
      <c r="AP266">
        <v>999</v>
      </c>
      <c r="AQ266">
        <v>615</v>
      </c>
      <c r="AR266">
        <v>615999</v>
      </c>
      <c r="AT266">
        <v>1</v>
      </c>
      <c r="AU266" t="s">
        <v>65</v>
      </c>
      <c r="AV266">
        <v>1000</v>
      </c>
      <c r="AW266">
        <v>1186.4000000000001</v>
      </c>
      <c r="AX266">
        <v>1500</v>
      </c>
      <c r="AY266">
        <v>1680.386</v>
      </c>
      <c r="AZ266">
        <v>1992.48</v>
      </c>
      <c r="BA266">
        <v>2399.98</v>
      </c>
      <c r="BB266">
        <v>2739.2040000000002</v>
      </c>
      <c r="BC266">
        <v>3000</v>
      </c>
      <c r="BD266">
        <v>3500</v>
      </c>
      <c r="BE266">
        <v>4000</v>
      </c>
      <c r="BF266">
        <v>4800</v>
      </c>
      <c r="BG266">
        <v>5000</v>
      </c>
      <c r="BH266">
        <v>5024.4139999999998</v>
      </c>
      <c r="BI266">
        <v>5617.9639999999999</v>
      </c>
      <c r="BJ266">
        <v>9836.84</v>
      </c>
      <c r="BK266">
        <v>12377.16</v>
      </c>
      <c r="BL266">
        <v>16956.52800000002</v>
      </c>
      <c r="BM266">
        <v>20247.331999999999</v>
      </c>
      <c r="BN266">
        <v>29364.69400000001</v>
      </c>
      <c r="BO266">
        <v>45000</v>
      </c>
      <c r="BP266">
        <v>1149602.8999999999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 x14ac:dyDescent="0.35">
      <c r="A267">
        <v>348945</v>
      </c>
      <c r="B267" t="s">
        <v>289</v>
      </c>
      <c r="C267" t="s">
        <v>290</v>
      </c>
      <c r="D267" s="1">
        <v>45821</v>
      </c>
      <c r="E267">
        <v>53850</v>
      </c>
      <c r="F267">
        <v>168</v>
      </c>
      <c r="G267" t="s">
        <v>213</v>
      </c>
      <c r="H267" t="s">
        <v>48</v>
      </c>
      <c r="I267" t="s">
        <v>49</v>
      </c>
      <c r="K267" t="s">
        <v>647</v>
      </c>
      <c r="L267">
        <v>1683306274557</v>
      </c>
      <c r="M267">
        <v>20250612</v>
      </c>
      <c r="N267" t="s">
        <v>222</v>
      </c>
      <c r="P267" t="s">
        <v>303</v>
      </c>
      <c r="Q267" t="s">
        <v>50</v>
      </c>
      <c r="R267">
        <v>1450</v>
      </c>
      <c r="S267">
        <v>0</v>
      </c>
      <c r="T267">
        <v>4091384</v>
      </c>
      <c r="U267">
        <v>5530850725</v>
      </c>
      <c r="V267" t="s">
        <v>493</v>
      </c>
      <c r="W267" t="s">
        <v>58</v>
      </c>
      <c r="X267" t="s">
        <v>108</v>
      </c>
      <c r="Y267" t="s">
        <v>52</v>
      </c>
      <c r="Z267">
        <v>1926</v>
      </c>
      <c r="AH267">
        <v>0</v>
      </c>
      <c r="AI267">
        <v>202506</v>
      </c>
      <c r="AJ267" t="s">
        <v>203</v>
      </c>
      <c r="AK267">
        <v>1</v>
      </c>
      <c r="AL267">
        <v>1</v>
      </c>
      <c r="AO267">
        <v>0</v>
      </c>
      <c r="AP267">
        <v>999</v>
      </c>
      <c r="AQ267">
        <v>430</v>
      </c>
      <c r="AR267">
        <v>430999</v>
      </c>
      <c r="AT267">
        <v>1</v>
      </c>
      <c r="AU267" t="s">
        <v>59</v>
      </c>
      <c r="AV267">
        <v>1000</v>
      </c>
      <c r="AW267">
        <v>1186.4000000000001</v>
      </c>
      <c r="AX267">
        <v>1500</v>
      </c>
      <c r="AY267">
        <v>1680.386</v>
      </c>
      <c r="AZ267">
        <v>1992.48</v>
      </c>
      <c r="BA267">
        <v>2399.98</v>
      </c>
      <c r="BB267">
        <v>2739.2040000000002</v>
      </c>
      <c r="BC267">
        <v>3000</v>
      </c>
      <c r="BD267">
        <v>3500</v>
      </c>
      <c r="BE267">
        <v>4000</v>
      </c>
      <c r="BF267">
        <v>4800</v>
      </c>
      <c r="BG267">
        <v>5000</v>
      </c>
      <c r="BH267">
        <v>5024.4139999999998</v>
      </c>
      <c r="BI267">
        <v>5617.9639999999999</v>
      </c>
      <c r="BJ267">
        <v>9836.84</v>
      </c>
      <c r="BK267">
        <v>12377.16</v>
      </c>
      <c r="BL267">
        <v>16956.52800000002</v>
      </c>
      <c r="BM267">
        <v>20247.331999999999</v>
      </c>
      <c r="BN267">
        <v>29364.69400000001</v>
      </c>
      <c r="BO267">
        <v>45000</v>
      </c>
      <c r="BP267">
        <v>1149602.8999999999</v>
      </c>
      <c r="BQ267">
        <v>1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 x14ac:dyDescent="0.35">
      <c r="A268">
        <v>348936</v>
      </c>
      <c r="B268" t="s">
        <v>289</v>
      </c>
      <c r="C268" t="s">
        <v>290</v>
      </c>
      <c r="D268" s="1">
        <v>45821</v>
      </c>
      <c r="E268">
        <v>53850</v>
      </c>
      <c r="F268">
        <v>273</v>
      </c>
      <c r="G268" t="s">
        <v>57</v>
      </c>
      <c r="H268" t="s">
        <v>48</v>
      </c>
      <c r="I268" t="s">
        <v>49</v>
      </c>
      <c r="K268">
        <v>202506128062655</v>
      </c>
      <c r="L268">
        <v>2733300011179</v>
      </c>
      <c r="M268">
        <v>20250612</v>
      </c>
      <c r="N268" t="s">
        <v>222</v>
      </c>
      <c r="P268" t="s">
        <v>303</v>
      </c>
      <c r="Q268" t="s">
        <v>50</v>
      </c>
      <c r="R268">
        <v>20000</v>
      </c>
      <c r="S268">
        <v>0</v>
      </c>
      <c r="T268">
        <v>4973829</v>
      </c>
      <c r="U268">
        <v>11952460969</v>
      </c>
      <c r="V268" t="s">
        <v>645</v>
      </c>
      <c r="W268" t="s">
        <v>58</v>
      </c>
      <c r="X268" t="s">
        <v>646</v>
      </c>
      <c r="Y268" t="s">
        <v>52</v>
      </c>
      <c r="Z268">
        <v>1805</v>
      </c>
      <c r="AH268">
        <v>0</v>
      </c>
      <c r="AI268">
        <v>202506</v>
      </c>
      <c r="AJ268" t="s">
        <v>203</v>
      </c>
      <c r="AK268">
        <v>1</v>
      </c>
      <c r="AL268">
        <v>1</v>
      </c>
      <c r="AO268">
        <v>0</v>
      </c>
      <c r="AP268">
        <v>999</v>
      </c>
      <c r="AQ268">
        <v>430</v>
      </c>
      <c r="AR268">
        <v>430999</v>
      </c>
      <c r="AT268">
        <v>1</v>
      </c>
      <c r="AU268" t="s">
        <v>59</v>
      </c>
      <c r="AV268">
        <v>1000</v>
      </c>
      <c r="AW268">
        <v>1186.4000000000001</v>
      </c>
      <c r="AX268">
        <v>1500</v>
      </c>
      <c r="AY268">
        <v>1680.386</v>
      </c>
      <c r="AZ268">
        <v>1992.48</v>
      </c>
      <c r="BA268">
        <v>2399.98</v>
      </c>
      <c r="BB268">
        <v>2739.2040000000002</v>
      </c>
      <c r="BC268">
        <v>3000</v>
      </c>
      <c r="BD268">
        <v>3500</v>
      </c>
      <c r="BE268">
        <v>4000</v>
      </c>
      <c r="BF268">
        <v>4800</v>
      </c>
      <c r="BG268">
        <v>5000</v>
      </c>
      <c r="BH268">
        <v>5024.4139999999998</v>
      </c>
      <c r="BI268">
        <v>5617.9639999999999</v>
      </c>
      <c r="BJ268">
        <v>9836.84</v>
      </c>
      <c r="BK268">
        <v>12377.16</v>
      </c>
      <c r="BL268">
        <v>16956.52800000002</v>
      </c>
      <c r="BM268">
        <v>20247.331999999999</v>
      </c>
      <c r="BN268">
        <v>29364.69400000001</v>
      </c>
      <c r="BO268">
        <v>45000</v>
      </c>
      <c r="BP268">
        <v>1149602.8999999999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0</v>
      </c>
      <c r="CI268">
        <v>0</v>
      </c>
      <c r="CJ268">
        <v>0</v>
      </c>
      <c r="CK268">
        <v>0</v>
      </c>
    </row>
    <row r="269" spans="1:89" x14ac:dyDescent="0.35">
      <c r="A269">
        <v>348933</v>
      </c>
      <c r="B269" t="s">
        <v>289</v>
      </c>
      <c r="C269" t="s">
        <v>290</v>
      </c>
      <c r="D269" s="1">
        <v>45821</v>
      </c>
      <c r="E269">
        <v>53850</v>
      </c>
      <c r="F269">
        <v>103</v>
      </c>
      <c r="G269" t="s">
        <v>62</v>
      </c>
      <c r="H269" t="s">
        <v>48</v>
      </c>
      <c r="I269" t="s">
        <v>49</v>
      </c>
      <c r="K269" t="s">
        <v>648</v>
      </c>
      <c r="L269">
        <v>1033301641631</v>
      </c>
      <c r="M269">
        <v>20250612</v>
      </c>
      <c r="N269" t="s">
        <v>222</v>
      </c>
      <c r="P269" t="s">
        <v>303</v>
      </c>
      <c r="Q269" t="s">
        <v>61</v>
      </c>
      <c r="R269">
        <v>1455.42</v>
      </c>
      <c r="S269">
        <v>0</v>
      </c>
      <c r="T269">
        <v>164163</v>
      </c>
      <c r="U269">
        <v>3485840726</v>
      </c>
      <c r="V269" t="s">
        <v>415</v>
      </c>
      <c r="W269" t="s">
        <v>58</v>
      </c>
      <c r="X269" t="s">
        <v>416</v>
      </c>
      <c r="Y269" t="s">
        <v>52</v>
      </c>
      <c r="Z269">
        <v>1274</v>
      </c>
      <c r="AH269">
        <v>0</v>
      </c>
      <c r="AI269">
        <v>202506</v>
      </c>
      <c r="AJ269" t="s">
        <v>203</v>
      </c>
      <c r="AK269">
        <v>1</v>
      </c>
      <c r="AL269">
        <v>1</v>
      </c>
      <c r="AO269">
        <v>0</v>
      </c>
      <c r="AP269">
        <v>453</v>
      </c>
      <c r="AQ269">
        <v>430</v>
      </c>
      <c r="AR269">
        <v>430453</v>
      </c>
      <c r="AS269" t="s">
        <v>65</v>
      </c>
      <c r="AU269" t="s">
        <v>65</v>
      </c>
      <c r="AV269">
        <v>1000</v>
      </c>
      <c r="AW269">
        <v>1186.4000000000001</v>
      </c>
      <c r="AX269">
        <v>1500</v>
      </c>
      <c r="AY269">
        <v>1680.386</v>
      </c>
      <c r="AZ269">
        <v>1992.48</v>
      </c>
      <c r="BA269">
        <v>2399.98</v>
      </c>
      <c r="BB269">
        <v>2739.2040000000002</v>
      </c>
      <c r="BC269">
        <v>3000</v>
      </c>
      <c r="BD269">
        <v>3500</v>
      </c>
      <c r="BE269">
        <v>4000</v>
      </c>
      <c r="BF269">
        <v>4800</v>
      </c>
      <c r="BG269">
        <v>5000</v>
      </c>
      <c r="BH269">
        <v>5024.4139999999998</v>
      </c>
      <c r="BI269">
        <v>5617.9639999999999</v>
      </c>
      <c r="BJ269">
        <v>9836.84</v>
      </c>
      <c r="BK269">
        <v>12377.16</v>
      </c>
      <c r="BL269">
        <v>16956.52800000002</v>
      </c>
      <c r="BM269">
        <v>20247.331999999999</v>
      </c>
      <c r="BN269">
        <v>29364.69400000001</v>
      </c>
      <c r="BO269">
        <v>45000</v>
      </c>
      <c r="BP269">
        <v>1149602.8999999999</v>
      </c>
      <c r="BQ269">
        <v>1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 x14ac:dyDescent="0.35">
      <c r="A270">
        <v>348931</v>
      </c>
      <c r="B270" t="s">
        <v>289</v>
      </c>
      <c r="C270" t="s">
        <v>290</v>
      </c>
      <c r="D270" s="1">
        <v>45821</v>
      </c>
      <c r="E270">
        <v>53850</v>
      </c>
      <c r="F270">
        <v>226</v>
      </c>
      <c r="G270" t="s">
        <v>208</v>
      </c>
      <c r="H270" t="s">
        <v>48</v>
      </c>
      <c r="I270" t="s">
        <v>49</v>
      </c>
      <c r="K270">
        <v>202506128062263</v>
      </c>
      <c r="L270">
        <v>2263300011983</v>
      </c>
      <c r="M270">
        <v>20250612</v>
      </c>
      <c r="N270" t="s">
        <v>222</v>
      </c>
      <c r="P270" t="s">
        <v>291</v>
      </c>
      <c r="Q270" t="s">
        <v>50</v>
      </c>
      <c r="R270">
        <v>27910.38</v>
      </c>
      <c r="S270">
        <v>0</v>
      </c>
      <c r="T270">
        <v>4877514</v>
      </c>
      <c r="U270">
        <v>1149290726</v>
      </c>
      <c r="V270" t="s">
        <v>233</v>
      </c>
      <c r="W270" t="s">
        <v>234</v>
      </c>
      <c r="X270" t="s">
        <v>95</v>
      </c>
      <c r="Y270" t="s">
        <v>52</v>
      </c>
      <c r="Z270">
        <v>1696</v>
      </c>
      <c r="AH270">
        <v>0</v>
      </c>
      <c r="AI270">
        <v>202506</v>
      </c>
      <c r="AJ270" t="s">
        <v>203</v>
      </c>
      <c r="AK270">
        <v>1</v>
      </c>
      <c r="AL270">
        <v>1</v>
      </c>
      <c r="AO270">
        <v>0</v>
      </c>
      <c r="AP270">
        <v>999</v>
      </c>
      <c r="AQ270">
        <v>290</v>
      </c>
      <c r="AR270">
        <v>290999</v>
      </c>
      <c r="AT270">
        <v>1</v>
      </c>
      <c r="AU270" t="s">
        <v>66</v>
      </c>
      <c r="AV270">
        <v>1000</v>
      </c>
      <c r="AW270">
        <v>1186.4000000000001</v>
      </c>
      <c r="AX270">
        <v>1500</v>
      </c>
      <c r="AY270">
        <v>1680.386</v>
      </c>
      <c r="AZ270">
        <v>1992.48</v>
      </c>
      <c r="BA270">
        <v>2399.98</v>
      </c>
      <c r="BB270">
        <v>2739.2040000000002</v>
      </c>
      <c r="BC270">
        <v>3000</v>
      </c>
      <c r="BD270">
        <v>3500</v>
      </c>
      <c r="BE270">
        <v>4000</v>
      </c>
      <c r="BF270">
        <v>4800</v>
      </c>
      <c r="BG270">
        <v>5000</v>
      </c>
      <c r="BH270">
        <v>5024.4139999999998</v>
      </c>
      <c r="BI270">
        <v>5617.9639999999999</v>
      </c>
      <c r="BJ270">
        <v>9836.84</v>
      </c>
      <c r="BK270">
        <v>12377.16</v>
      </c>
      <c r="BL270">
        <v>16956.52800000002</v>
      </c>
      <c r="BM270">
        <v>20247.331999999999</v>
      </c>
      <c r="BN270">
        <v>29364.69400000001</v>
      </c>
      <c r="BO270">
        <v>45000</v>
      </c>
      <c r="BP270">
        <v>1149602.8999999999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0</v>
      </c>
      <c r="CJ270">
        <v>0</v>
      </c>
      <c r="CK270">
        <v>0</v>
      </c>
    </row>
    <row r="271" spans="1:89" x14ac:dyDescent="0.35">
      <c r="A271">
        <v>348929</v>
      </c>
      <c r="B271" t="s">
        <v>289</v>
      </c>
      <c r="C271" t="s">
        <v>290</v>
      </c>
      <c r="D271" s="1">
        <v>45821</v>
      </c>
      <c r="E271">
        <v>53850</v>
      </c>
      <c r="F271">
        <v>129</v>
      </c>
      <c r="G271" t="s">
        <v>81</v>
      </c>
      <c r="H271" t="s">
        <v>48</v>
      </c>
      <c r="I271" t="s">
        <v>49</v>
      </c>
      <c r="K271" t="s">
        <v>649</v>
      </c>
      <c r="L271">
        <v>1293300002811</v>
      </c>
      <c r="M271">
        <v>20250612</v>
      </c>
      <c r="N271" t="s">
        <v>222</v>
      </c>
      <c r="P271" t="s">
        <v>291</v>
      </c>
      <c r="Q271" t="s">
        <v>61</v>
      </c>
      <c r="R271">
        <v>3171.75</v>
      </c>
      <c r="S271">
        <v>0</v>
      </c>
      <c r="T271">
        <v>4972184</v>
      </c>
      <c r="U271">
        <v>7780290727</v>
      </c>
      <c r="V271" t="s">
        <v>355</v>
      </c>
      <c r="W271" t="s">
        <v>58</v>
      </c>
      <c r="X271" t="s">
        <v>356</v>
      </c>
      <c r="Y271" t="s">
        <v>52</v>
      </c>
      <c r="Z271">
        <v>1058</v>
      </c>
      <c r="AH271">
        <v>0</v>
      </c>
      <c r="AI271">
        <v>202506</v>
      </c>
      <c r="AJ271" t="s">
        <v>203</v>
      </c>
      <c r="AK271">
        <v>1</v>
      </c>
      <c r="AL271">
        <v>1</v>
      </c>
      <c r="AO271">
        <v>0</v>
      </c>
      <c r="AP271">
        <v>999</v>
      </c>
      <c r="AQ271">
        <v>430</v>
      </c>
      <c r="AR271">
        <v>430999</v>
      </c>
      <c r="AT271">
        <v>1</v>
      </c>
      <c r="AU271" t="s">
        <v>59</v>
      </c>
      <c r="AV271">
        <v>1000</v>
      </c>
      <c r="AW271">
        <v>1186.4000000000001</v>
      </c>
      <c r="AX271">
        <v>1500</v>
      </c>
      <c r="AY271">
        <v>1680.386</v>
      </c>
      <c r="AZ271">
        <v>1992.48</v>
      </c>
      <c r="BA271">
        <v>2399.98</v>
      </c>
      <c r="BB271">
        <v>2739.2040000000002</v>
      </c>
      <c r="BC271">
        <v>3000</v>
      </c>
      <c r="BD271">
        <v>3500</v>
      </c>
      <c r="BE271">
        <v>4000</v>
      </c>
      <c r="BF271">
        <v>4800</v>
      </c>
      <c r="BG271">
        <v>5000</v>
      </c>
      <c r="BH271">
        <v>5024.4139999999998</v>
      </c>
      <c r="BI271">
        <v>5617.9639999999999</v>
      </c>
      <c r="BJ271">
        <v>9836.84</v>
      </c>
      <c r="BK271">
        <v>12377.16</v>
      </c>
      <c r="BL271">
        <v>16956.52800000002</v>
      </c>
      <c r="BM271">
        <v>20247.331999999999</v>
      </c>
      <c r="BN271">
        <v>29364.69400000001</v>
      </c>
      <c r="BO271">
        <v>45000</v>
      </c>
      <c r="BP271">
        <v>1149602.8999999999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 x14ac:dyDescent="0.35">
      <c r="A272">
        <v>348924</v>
      </c>
      <c r="B272" t="s">
        <v>289</v>
      </c>
      <c r="C272" t="s">
        <v>290</v>
      </c>
      <c r="D272" s="1">
        <v>45821</v>
      </c>
      <c r="E272">
        <v>53850</v>
      </c>
      <c r="F272">
        <v>118</v>
      </c>
      <c r="G272" t="s">
        <v>130</v>
      </c>
      <c r="H272" t="s">
        <v>48</v>
      </c>
      <c r="I272" t="s">
        <v>49</v>
      </c>
      <c r="K272">
        <v>202506128064045</v>
      </c>
      <c r="L272">
        <v>1183306280497</v>
      </c>
      <c r="M272">
        <v>20250612</v>
      </c>
      <c r="N272" t="s">
        <v>222</v>
      </c>
      <c r="P272" t="s">
        <v>650</v>
      </c>
      <c r="Q272" t="s">
        <v>61</v>
      </c>
      <c r="R272">
        <v>6299.37</v>
      </c>
      <c r="S272">
        <v>0</v>
      </c>
      <c r="T272">
        <v>4992180</v>
      </c>
      <c r="U272">
        <v>8763070722</v>
      </c>
      <c r="V272" t="s">
        <v>651</v>
      </c>
      <c r="W272" t="s">
        <v>58</v>
      </c>
      <c r="X272" t="s">
        <v>231</v>
      </c>
      <c r="Y272" t="s">
        <v>52</v>
      </c>
      <c r="Z272">
        <v>1649</v>
      </c>
      <c r="AH272">
        <v>0</v>
      </c>
      <c r="AI272">
        <v>202506</v>
      </c>
      <c r="AJ272" t="s">
        <v>203</v>
      </c>
      <c r="AK272">
        <v>1</v>
      </c>
      <c r="AL272">
        <v>1</v>
      </c>
      <c r="AO272">
        <v>0</v>
      </c>
      <c r="AP272">
        <v>999</v>
      </c>
      <c r="AQ272">
        <v>430</v>
      </c>
      <c r="AR272">
        <v>430999</v>
      </c>
      <c r="AT272">
        <v>1</v>
      </c>
      <c r="AU272" t="s">
        <v>59</v>
      </c>
      <c r="AV272">
        <v>1000</v>
      </c>
      <c r="AW272">
        <v>1186.4000000000001</v>
      </c>
      <c r="AX272">
        <v>1500</v>
      </c>
      <c r="AY272">
        <v>1680.386</v>
      </c>
      <c r="AZ272">
        <v>1992.48</v>
      </c>
      <c r="BA272">
        <v>2399.98</v>
      </c>
      <c r="BB272">
        <v>2739.2040000000002</v>
      </c>
      <c r="BC272">
        <v>3000</v>
      </c>
      <c r="BD272">
        <v>3500</v>
      </c>
      <c r="BE272">
        <v>4000</v>
      </c>
      <c r="BF272">
        <v>4800</v>
      </c>
      <c r="BG272">
        <v>5000</v>
      </c>
      <c r="BH272">
        <v>5024.4139999999998</v>
      </c>
      <c r="BI272">
        <v>5617.9639999999999</v>
      </c>
      <c r="BJ272">
        <v>9836.84</v>
      </c>
      <c r="BK272">
        <v>12377.16</v>
      </c>
      <c r="BL272">
        <v>16956.52800000002</v>
      </c>
      <c r="BM272">
        <v>20247.331999999999</v>
      </c>
      <c r="BN272">
        <v>29364.69400000001</v>
      </c>
      <c r="BO272">
        <v>45000</v>
      </c>
      <c r="BP272">
        <v>1149602.8999999999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 x14ac:dyDescent="0.35">
      <c r="A273">
        <v>348907</v>
      </c>
      <c r="B273" t="s">
        <v>289</v>
      </c>
      <c r="C273" t="s">
        <v>290</v>
      </c>
      <c r="D273" s="1">
        <v>45820</v>
      </c>
      <c r="E273">
        <v>53850</v>
      </c>
      <c r="F273">
        <v>192</v>
      </c>
      <c r="G273" t="s">
        <v>87</v>
      </c>
      <c r="H273" t="s">
        <v>48</v>
      </c>
      <c r="I273" t="s">
        <v>49</v>
      </c>
      <c r="K273">
        <v>202506118060766</v>
      </c>
      <c r="L273">
        <v>1923300181730</v>
      </c>
      <c r="M273">
        <v>20250611</v>
      </c>
      <c r="N273" t="s">
        <v>222</v>
      </c>
      <c r="P273" t="s">
        <v>296</v>
      </c>
      <c r="Q273" t="s">
        <v>61</v>
      </c>
      <c r="R273">
        <v>7180</v>
      </c>
      <c r="S273">
        <v>0</v>
      </c>
      <c r="T273">
        <v>4728790</v>
      </c>
      <c r="U273">
        <v>7892320966</v>
      </c>
      <c r="V273" t="s">
        <v>608</v>
      </c>
      <c r="W273" t="s">
        <v>58</v>
      </c>
      <c r="X273" t="s">
        <v>609</v>
      </c>
      <c r="Y273" t="s">
        <v>52</v>
      </c>
      <c r="Z273">
        <v>1907</v>
      </c>
      <c r="AH273">
        <v>0</v>
      </c>
      <c r="AI273">
        <v>202506</v>
      </c>
      <c r="AJ273" t="s">
        <v>203</v>
      </c>
      <c r="AK273">
        <v>1</v>
      </c>
      <c r="AL273">
        <v>1</v>
      </c>
      <c r="AO273">
        <v>0</v>
      </c>
      <c r="AP273">
        <v>999</v>
      </c>
      <c r="AQ273">
        <v>430</v>
      </c>
      <c r="AR273">
        <v>430999</v>
      </c>
      <c r="AT273">
        <v>1</v>
      </c>
      <c r="AU273" t="s">
        <v>59</v>
      </c>
      <c r="AV273">
        <v>1000</v>
      </c>
      <c r="AW273">
        <v>1186.4000000000001</v>
      </c>
      <c r="AX273">
        <v>1500</v>
      </c>
      <c r="AY273">
        <v>1680.386</v>
      </c>
      <c r="AZ273">
        <v>1992.48</v>
      </c>
      <c r="BA273">
        <v>2399.98</v>
      </c>
      <c r="BB273">
        <v>2739.2040000000002</v>
      </c>
      <c r="BC273">
        <v>3000</v>
      </c>
      <c r="BD273">
        <v>3500</v>
      </c>
      <c r="BE273">
        <v>4000</v>
      </c>
      <c r="BF273">
        <v>4800</v>
      </c>
      <c r="BG273">
        <v>5000</v>
      </c>
      <c r="BH273">
        <v>5024.4139999999998</v>
      </c>
      <c r="BI273">
        <v>5617.9639999999999</v>
      </c>
      <c r="BJ273">
        <v>9836.84</v>
      </c>
      <c r="BK273">
        <v>12377.16</v>
      </c>
      <c r="BL273">
        <v>16956.52800000002</v>
      </c>
      <c r="BM273">
        <v>20247.331999999999</v>
      </c>
      <c r="BN273">
        <v>29364.69400000001</v>
      </c>
      <c r="BO273">
        <v>45000</v>
      </c>
      <c r="BP273">
        <v>1149602.8999999999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 x14ac:dyDescent="0.35">
      <c r="A274">
        <v>348894</v>
      </c>
      <c r="B274" t="s">
        <v>289</v>
      </c>
      <c r="C274" t="s">
        <v>290</v>
      </c>
      <c r="D274" s="1">
        <v>45820</v>
      </c>
      <c r="E274">
        <v>53850</v>
      </c>
      <c r="F274">
        <v>129</v>
      </c>
      <c r="G274" t="s">
        <v>81</v>
      </c>
      <c r="H274" t="s">
        <v>48</v>
      </c>
      <c r="I274" t="s">
        <v>49</v>
      </c>
      <c r="K274" t="s">
        <v>652</v>
      </c>
      <c r="L274">
        <v>1293300002811</v>
      </c>
      <c r="M274">
        <v>20250611</v>
      </c>
      <c r="N274" t="s">
        <v>222</v>
      </c>
      <c r="P274" t="s">
        <v>291</v>
      </c>
      <c r="Q274" t="s">
        <v>61</v>
      </c>
      <c r="R274">
        <v>4732.6000000000004</v>
      </c>
      <c r="S274">
        <v>0</v>
      </c>
      <c r="T274">
        <v>4972184</v>
      </c>
      <c r="U274">
        <v>7780290727</v>
      </c>
      <c r="V274" t="s">
        <v>355</v>
      </c>
      <c r="W274" t="s">
        <v>58</v>
      </c>
      <c r="X274" t="s">
        <v>356</v>
      </c>
      <c r="Y274" t="s">
        <v>52</v>
      </c>
      <c r="Z274">
        <v>1058</v>
      </c>
      <c r="AH274">
        <v>0</v>
      </c>
      <c r="AI274">
        <v>202506</v>
      </c>
      <c r="AJ274" t="s">
        <v>203</v>
      </c>
      <c r="AK274">
        <v>1</v>
      </c>
      <c r="AL274">
        <v>1</v>
      </c>
      <c r="AO274">
        <v>0</v>
      </c>
      <c r="AP274">
        <v>999</v>
      </c>
      <c r="AQ274">
        <v>430</v>
      </c>
      <c r="AR274">
        <v>430999</v>
      </c>
      <c r="AT274">
        <v>1</v>
      </c>
      <c r="AU274" t="s">
        <v>59</v>
      </c>
      <c r="AV274">
        <v>1000</v>
      </c>
      <c r="AW274">
        <v>1186.4000000000001</v>
      </c>
      <c r="AX274">
        <v>1500</v>
      </c>
      <c r="AY274">
        <v>1680.386</v>
      </c>
      <c r="AZ274">
        <v>1992.48</v>
      </c>
      <c r="BA274">
        <v>2399.98</v>
      </c>
      <c r="BB274">
        <v>2739.2040000000002</v>
      </c>
      <c r="BC274">
        <v>3000</v>
      </c>
      <c r="BD274">
        <v>3500</v>
      </c>
      <c r="BE274">
        <v>4000</v>
      </c>
      <c r="BF274">
        <v>4800</v>
      </c>
      <c r="BG274">
        <v>5000</v>
      </c>
      <c r="BH274">
        <v>5024.4139999999998</v>
      </c>
      <c r="BI274">
        <v>5617.9639999999999</v>
      </c>
      <c r="BJ274">
        <v>9836.84</v>
      </c>
      <c r="BK274">
        <v>12377.16</v>
      </c>
      <c r="BL274">
        <v>16956.52800000002</v>
      </c>
      <c r="BM274">
        <v>20247.331999999999</v>
      </c>
      <c r="BN274">
        <v>29364.69400000001</v>
      </c>
      <c r="BO274">
        <v>45000</v>
      </c>
      <c r="BP274">
        <v>1149602.8999999999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 x14ac:dyDescent="0.35">
      <c r="A275">
        <v>348882</v>
      </c>
      <c r="B275" t="s">
        <v>289</v>
      </c>
      <c r="C275" t="s">
        <v>290</v>
      </c>
      <c r="D275" s="1">
        <v>45820</v>
      </c>
      <c r="E275">
        <v>53850</v>
      </c>
      <c r="F275">
        <v>136</v>
      </c>
      <c r="G275" t="s">
        <v>78</v>
      </c>
      <c r="H275" t="s">
        <v>48</v>
      </c>
      <c r="I275" t="s">
        <v>49</v>
      </c>
      <c r="K275">
        <v>202506118060772</v>
      </c>
      <c r="L275">
        <v>1361147800126</v>
      </c>
      <c r="M275">
        <v>20250611</v>
      </c>
      <c r="N275" t="s">
        <v>222</v>
      </c>
      <c r="P275" t="s">
        <v>136</v>
      </c>
      <c r="Q275" t="s">
        <v>50</v>
      </c>
      <c r="R275">
        <v>1149602.8999999999</v>
      </c>
      <c r="S275">
        <v>0</v>
      </c>
      <c r="T275">
        <v>4395683</v>
      </c>
      <c r="U275">
        <v>2036760037</v>
      </c>
      <c r="V275" t="s">
        <v>79</v>
      </c>
      <c r="W275" t="s">
        <v>58</v>
      </c>
      <c r="X275" t="s">
        <v>80</v>
      </c>
      <c r="Y275" t="s">
        <v>52</v>
      </c>
      <c r="Z275">
        <v>1627</v>
      </c>
      <c r="AH275">
        <v>0</v>
      </c>
      <c r="AI275">
        <v>202506</v>
      </c>
      <c r="AJ275" t="s">
        <v>68</v>
      </c>
      <c r="AK275">
        <v>0</v>
      </c>
      <c r="AL275">
        <v>1</v>
      </c>
      <c r="AO275">
        <v>0</v>
      </c>
      <c r="AP275">
        <v>999</v>
      </c>
      <c r="AQ275">
        <v>430</v>
      </c>
      <c r="AR275">
        <v>430999</v>
      </c>
      <c r="AT275">
        <v>1</v>
      </c>
      <c r="AU275" t="s">
        <v>59</v>
      </c>
      <c r="AV275">
        <v>1000</v>
      </c>
      <c r="AW275">
        <v>1186.4000000000001</v>
      </c>
      <c r="AX275">
        <v>1500</v>
      </c>
      <c r="AY275">
        <v>1680.386</v>
      </c>
      <c r="AZ275">
        <v>1992.48</v>
      </c>
      <c r="BA275">
        <v>2399.98</v>
      </c>
      <c r="BB275">
        <v>2739.2040000000002</v>
      </c>
      <c r="BC275">
        <v>3000</v>
      </c>
      <c r="BD275">
        <v>3500</v>
      </c>
      <c r="BE275">
        <v>4000</v>
      </c>
      <c r="BF275">
        <v>4800</v>
      </c>
      <c r="BG275">
        <v>5000</v>
      </c>
      <c r="BH275">
        <v>5024.4139999999998</v>
      </c>
      <c r="BI275">
        <v>5617.9639999999999</v>
      </c>
      <c r="BJ275">
        <v>9836.84</v>
      </c>
      <c r="BK275">
        <v>12377.16</v>
      </c>
      <c r="BL275">
        <v>16956.52800000002</v>
      </c>
      <c r="BM275">
        <v>20247.331999999999</v>
      </c>
      <c r="BN275">
        <v>29364.69400000001</v>
      </c>
      <c r="BO275">
        <v>45000</v>
      </c>
      <c r="BP275">
        <v>1149602.8999999999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</row>
    <row r="276" spans="1:89" x14ac:dyDescent="0.35">
      <c r="A276">
        <v>348880</v>
      </c>
      <c r="B276" t="s">
        <v>289</v>
      </c>
      <c r="C276" t="s">
        <v>290</v>
      </c>
      <c r="D276" s="1">
        <v>45820</v>
      </c>
      <c r="E276">
        <v>53850</v>
      </c>
      <c r="F276">
        <v>104</v>
      </c>
      <c r="G276" t="s">
        <v>54</v>
      </c>
      <c r="H276" t="s">
        <v>48</v>
      </c>
      <c r="I276" t="s">
        <v>49</v>
      </c>
      <c r="K276">
        <v>202506098058847</v>
      </c>
      <c r="L276">
        <v>1043301449156</v>
      </c>
      <c r="M276">
        <v>20250609</v>
      </c>
      <c r="N276" t="s">
        <v>222</v>
      </c>
      <c r="P276" t="s">
        <v>291</v>
      </c>
      <c r="Q276" t="s">
        <v>50</v>
      </c>
      <c r="R276">
        <v>56115</v>
      </c>
      <c r="S276">
        <v>0</v>
      </c>
      <c r="T276">
        <v>15014</v>
      </c>
      <c r="U276">
        <v>252860721</v>
      </c>
      <c r="V276" t="s">
        <v>88</v>
      </c>
      <c r="W276" t="s">
        <v>58</v>
      </c>
      <c r="X276" t="s">
        <v>89</v>
      </c>
      <c r="Y276" t="s">
        <v>52</v>
      </c>
      <c r="Z276">
        <v>1696</v>
      </c>
      <c r="AH276">
        <v>0</v>
      </c>
      <c r="AI276">
        <v>202506</v>
      </c>
      <c r="AJ276" t="s">
        <v>215</v>
      </c>
      <c r="AK276">
        <v>1</v>
      </c>
      <c r="AL276">
        <v>1</v>
      </c>
      <c r="AO276">
        <v>0</v>
      </c>
      <c r="AP276">
        <v>999</v>
      </c>
      <c r="AQ276">
        <v>430</v>
      </c>
      <c r="AR276">
        <v>430999</v>
      </c>
      <c r="AT276">
        <v>1</v>
      </c>
      <c r="AU276" t="s">
        <v>59</v>
      </c>
      <c r="AV276">
        <v>1000</v>
      </c>
      <c r="AW276">
        <v>1186.4000000000001</v>
      </c>
      <c r="AX276">
        <v>1500</v>
      </c>
      <c r="AY276">
        <v>1680.386</v>
      </c>
      <c r="AZ276">
        <v>1992.48</v>
      </c>
      <c r="BA276">
        <v>2399.98</v>
      </c>
      <c r="BB276">
        <v>2739.2040000000002</v>
      </c>
      <c r="BC276">
        <v>3000</v>
      </c>
      <c r="BD276">
        <v>3500</v>
      </c>
      <c r="BE276">
        <v>4000</v>
      </c>
      <c r="BF276">
        <v>4800</v>
      </c>
      <c r="BG276">
        <v>5000</v>
      </c>
      <c r="BH276">
        <v>5024.4139999999998</v>
      </c>
      <c r="BI276">
        <v>5617.9639999999999</v>
      </c>
      <c r="BJ276">
        <v>9836.84</v>
      </c>
      <c r="BK276">
        <v>12377.16</v>
      </c>
      <c r="BL276">
        <v>16956.52800000002</v>
      </c>
      <c r="BM276">
        <v>20247.331999999999</v>
      </c>
      <c r="BN276">
        <v>29364.69400000001</v>
      </c>
      <c r="BO276">
        <v>45000</v>
      </c>
      <c r="BP276">
        <v>1149602.8999999999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0</v>
      </c>
    </row>
    <row r="277" spans="1:89" x14ac:dyDescent="0.35">
      <c r="A277">
        <v>348829</v>
      </c>
      <c r="B277" t="s">
        <v>289</v>
      </c>
      <c r="C277" t="s">
        <v>290</v>
      </c>
      <c r="D277" s="1">
        <v>45819</v>
      </c>
      <c r="E277">
        <v>53850</v>
      </c>
      <c r="F277">
        <v>156</v>
      </c>
      <c r="G277" t="s">
        <v>653</v>
      </c>
      <c r="H277" t="s">
        <v>48</v>
      </c>
      <c r="I277" t="s">
        <v>49</v>
      </c>
      <c r="K277" t="s">
        <v>654</v>
      </c>
      <c r="L277">
        <v>1563300003383</v>
      </c>
      <c r="M277">
        <v>20250609</v>
      </c>
      <c r="N277" t="s">
        <v>222</v>
      </c>
      <c r="P277" t="s">
        <v>303</v>
      </c>
      <c r="Q277" t="s">
        <v>50</v>
      </c>
      <c r="R277">
        <v>2381</v>
      </c>
      <c r="S277">
        <v>0</v>
      </c>
      <c r="T277">
        <v>4933160</v>
      </c>
      <c r="U277">
        <v>3217170731</v>
      </c>
      <c r="V277" t="s">
        <v>655</v>
      </c>
      <c r="W277" t="s">
        <v>58</v>
      </c>
      <c r="X277" t="s">
        <v>656</v>
      </c>
      <c r="Y277" t="s">
        <v>52</v>
      </c>
      <c r="Z277">
        <v>609</v>
      </c>
      <c r="AH277">
        <v>0</v>
      </c>
      <c r="AI277">
        <v>202506</v>
      </c>
      <c r="AJ277" t="s">
        <v>203</v>
      </c>
      <c r="AK277">
        <v>1</v>
      </c>
      <c r="AL277">
        <v>1</v>
      </c>
      <c r="AO277">
        <v>0</v>
      </c>
      <c r="AP277">
        <v>999</v>
      </c>
      <c r="AQ277">
        <v>430</v>
      </c>
      <c r="AR277">
        <v>430999</v>
      </c>
      <c r="AT277">
        <v>1</v>
      </c>
      <c r="AU277" t="s">
        <v>59</v>
      </c>
      <c r="AV277">
        <v>1000</v>
      </c>
      <c r="AW277">
        <v>1186.4000000000001</v>
      </c>
      <c r="AX277">
        <v>1500</v>
      </c>
      <c r="AY277">
        <v>1680.386</v>
      </c>
      <c r="AZ277">
        <v>1992.48</v>
      </c>
      <c r="BA277">
        <v>2399.98</v>
      </c>
      <c r="BB277">
        <v>2739.2040000000002</v>
      </c>
      <c r="BC277">
        <v>3000</v>
      </c>
      <c r="BD277">
        <v>3500</v>
      </c>
      <c r="BE277">
        <v>4000</v>
      </c>
      <c r="BF277">
        <v>4800</v>
      </c>
      <c r="BG277">
        <v>5000</v>
      </c>
      <c r="BH277">
        <v>5024.4139999999998</v>
      </c>
      <c r="BI277">
        <v>5617.9639999999999</v>
      </c>
      <c r="BJ277">
        <v>9836.84</v>
      </c>
      <c r="BK277">
        <v>12377.16</v>
      </c>
      <c r="BL277">
        <v>16956.52800000002</v>
      </c>
      <c r="BM277">
        <v>20247.331999999999</v>
      </c>
      <c r="BN277">
        <v>29364.69400000001</v>
      </c>
      <c r="BO277">
        <v>45000</v>
      </c>
      <c r="BP277">
        <v>1149602.8999999999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 x14ac:dyDescent="0.35">
      <c r="A278">
        <v>348828</v>
      </c>
      <c r="B278" t="s">
        <v>289</v>
      </c>
      <c r="C278" t="s">
        <v>290</v>
      </c>
      <c r="D278" s="1">
        <v>45818</v>
      </c>
      <c r="E278">
        <v>53850</v>
      </c>
      <c r="F278">
        <v>148</v>
      </c>
      <c r="G278" t="s">
        <v>125</v>
      </c>
      <c r="H278" t="s">
        <v>48</v>
      </c>
      <c r="I278" t="s">
        <v>49</v>
      </c>
      <c r="K278">
        <v>202506098053349</v>
      </c>
      <c r="L278">
        <v>1483300003872</v>
      </c>
      <c r="M278">
        <v>20250609</v>
      </c>
      <c r="N278" t="s">
        <v>222</v>
      </c>
      <c r="P278" t="s">
        <v>291</v>
      </c>
      <c r="Q278" t="s">
        <v>61</v>
      </c>
      <c r="R278">
        <v>20456.400000000001</v>
      </c>
      <c r="S278">
        <v>0</v>
      </c>
      <c r="T278">
        <v>4602337</v>
      </c>
      <c r="U278">
        <v>1418030621</v>
      </c>
      <c r="V278" t="s">
        <v>126</v>
      </c>
      <c r="W278" t="s">
        <v>58</v>
      </c>
      <c r="X278" t="s">
        <v>127</v>
      </c>
      <c r="Y278" t="s">
        <v>52</v>
      </c>
      <c r="Z278">
        <v>982</v>
      </c>
      <c r="AH278">
        <v>0</v>
      </c>
      <c r="AI278">
        <v>202506</v>
      </c>
      <c r="AJ278" t="s">
        <v>203</v>
      </c>
      <c r="AK278">
        <v>1</v>
      </c>
      <c r="AL278">
        <v>1</v>
      </c>
      <c r="AO278">
        <v>0</v>
      </c>
      <c r="AP278">
        <v>999</v>
      </c>
      <c r="AQ278">
        <v>430</v>
      </c>
      <c r="AR278">
        <v>430999</v>
      </c>
      <c r="AT278">
        <v>1</v>
      </c>
      <c r="AU278" t="s">
        <v>59</v>
      </c>
      <c r="AV278">
        <v>1000</v>
      </c>
      <c r="AW278">
        <v>1186.4000000000001</v>
      </c>
      <c r="AX278">
        <v>1500</v>
      </c>
      <c r="AY278">
        <v>1680.386</v>
      </c>
      <c r="AZ278">
        <v>1992.48</v>
      </c>
      <c r="BA278">
        <v>2399.98</v>
      </c>
      <c r="BB278">
        <v>2739.2040000000002</v>
      </c>
      <c r="BC278">
        <v>3000</v>
      </c>
      <c r="BD278">
        <v>3500</v>
      </c>
      <c r="BE278">
        <v>4000</v>
      </c>
      <c r="BF278">
        <v>4800</v>
      </c>
      <c r="BG278">
        <v>5000</v>
      </c>
      <c r="BH278">
        <v>5024.4139999999998</v>
      </c>
      <c r="BI278">
        <v>5617.9639999999999</v>
      </c>
      <c r="BJ278">
        <v>9836.84</v>
      </c>
      <c r="BK278">
        <v>12377.16</v>
      </c>
      <c r="BL278">
        <v>16956.52800000002</v>
      </c>
      <c r="BM278">
        <v>20247.331999999999</v>
      </c>
      <c r="BN278">
        <v>29364.69400000001</v>
      </c>
      <c r="BO278">
        <v>45000</v>
      </c>
      <c r="BP278">
        <v>1149602.8999999999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0</v>
      </c>
      <c r="CJ278">
        <v>0</v>
      </c>
      <c r="CK278">
        <v>0</v>
      </c>
    </row>
    <row r="279" spans="1:89" x14ac:dyDescent="0.35">
      <c r="A279">
        <v>348825</v>
      </c>
      <c r="B279" t="s">
        <v>289</v>
      </c>
      <c r="C279" t="s">
        <v>290</v>
      </c>
      <c r="D279" s="1">
        <v>45818</v>
      </c>
      <c r="E279">
        <v>53850</v>
      </c>
      <c r="F279">
        <v>102</v>
      </c>
      <c r="G279" t="s">
        <v>56</v>
      </c>
      <c r="H279" t="s">
        <v>48</v>
      </c>
      <c r="I279" t="s">
        <v>49</v>
      </c>
      <c r="K279">
        <v>202506098053220</v>
      </c>
      <c r="L279">
        <v>1023308716491</v>
      </c>
      <c r="M279">
        <v>20250609</v>
      </c>
      <c r="N279" t="s">
        <v>222</v>
      </c>
      <c r="P279" t="s">
        <v>296</v>
      </c>
      <c r="Q279" t="s">
        <v>61</v>
      </c>
      <c r="R279">
        <v>45000</v>
      </c>
      <c r="S279">
        <v>0</v>
      </c>
      <c r="T279">
        <v>3970</v>
      </c>
      <c r="U279" t="s">
        <v>353</v>
      </c>
      <c r="V279" t="s">
        <v>354</v>
      </c>
      <c r="W279" t="s">
        <v>51</v>
      </c>
      <c r="Y279" t="s">
        <v>52</v>
      </c>
      <c r="Z279">
        <v>1431</v>
      </c>
      <c r="AH279">
        <v>0</v>
      </c>
      <c r="AI279">
        <v>202506</v>
      </c>
      <c r="AJ279" t="s">
        <v>68</v>
      </c>
      <c r="AK279">
        <v>0</v>
      </c>
      <c r="AL279">
        <v>1</v>
      </c>
      <c r="AO279">
        <v>0</v>
      </c>
      <c r="AP279">
        <v>999</v>
      </c>
      <c r="AQ279">
        <v>600</v>
      </c>
      <c r="AR279">
        <v>600999</v>
      </c>
      <c r="AS279" t="s">
        <v>53</v>
      </c>
      <c r="AU279" t="s">
        <v>53</v>
      </c>
      <c r="AV279">
        <v>1000</v>
      </c>
      <c r="AW279">
        <v>1186.4000000000001</v>
      </c>
      <c r="AX279">
        <v>1500</v>
      </c>
      <c r="AY279">
        <v>1680.386</v>
      </c>
      <c r="AZ279">
        <v>1992.48</v>
      </c>
      <c r="BA279">
        <v>2399.98</v>
      </c>
      <c r="BB279">
        <v>2739.2040000000002</v>
      </c>
      <c r="BC279">
        <v>3000</v>
      </c>
      <c r="BD279">
        <v>3500</v>
      </c>
      <c r="BE279">
        <v>4000</v>
      </c>
      <c r="BF279">
        <v>4800</v>
      </c>
      <c r="BG279">
        <v>5000</v>
      </c>
      <c r="BH279">
        <v>5024.4139999999998</v>
      </c>
      <c r="BI279">
        <v>5617.9639999999999</v>
      </c>
      <c r="BJ279">
        <v>9836.84</v>
      </c>
      <c r="BK279">
        <v>12377.16</v>
      </c>
      <c r="BL279">
        <v>16956.52800000002</v>
      </c>
      <c r="BM279">
        <v>20247.331999999999</v>
      </c>
      <c r="BN279">
        <v>29364.69400000001</v>
      </c>
      <c r="BO279">
        <v>45000</v>
      </c>
      <c r="BP279">
        <v>1149602.8999999999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0</v>
      </c>
    </row>
    <row r="280" spans="1:89" x14ac:dyDescent="0.35">
      <c r="A280">
        <v>348799</v>
      </c>
      <c r="B280" t="s">
        <v>289</v>
      </c>
      <c r="C280" t="s">
        <v>290</v>
      </c>
      <c r="D280" s="1">
        <v>45818</v>
      </c>
      <c r="E280">
        <v>53850</v>
      </c>
      <c r="F280">
        <v>259</v>
      </c>
      <c r="G280" t="s">
        <v>63</v>
      </c>
      <c r="H280" t="s">
        <v>48</v>
      </c>
      <c r="I280" t="s">
        <v>49</v>
      </c>
      <c r="K280" t="s">
        <v>657</v>
      </c>
      <c r="L280">
        <v>2593300000091</v>
      </c>
      <c r="M280">
        <v>20250609</v>
      </c>
      <c r="N280" t="s">
        <v>222</v>
      </c>
      <c r="P280" t="s">
        <v>303</v>
      </c>
      <c r="Q280" t="s">
        <v>50</v>
      </c>
      <c r="R280">
        <v>2500</v>
      </c>
      <c r="S280">
        <v>0</v>
      </c>
      <c r="T280">
        <v>4731214</v>
      </c>
      <c r="U280">
        <v>5978380722</v>
      </c>
      <c r="V280" t="s">
        <v>399</v>
      </c>
      <c r="W280" t="s">
        <v>341</v>
      </c>
      <c r="X280" t="s">
        <v>359</v>
      </c>
      <c r="Y280" t="s">
        <v>52</v>
      </c>
      <c r="Z280">
        <v>1530</v>
      </c>
      <c r="AH280">
        <v>0</v>
      </c>
      <c r="AI280">
        <v>202506</v>
      </c>
      <c r="AJ280" t="s">
        <v>203</v>
      </c>
      <c r="AK280">
        <v>1</v>
      </c>
      <c r="AL280">
        <v>1</v>
      </c>
      <c r="AO280">
        <v>0</v>
      </c>
      <c r="AP280">
        <v>999</v>
      </c>
      <c r="AQ280">
        <v>482</v>
      </c>
      <c r="AR280">
        <v>482999</v>
      </c>
      <c r="AT280">
        <v>1</v>
      </c>
      <c r="AU280" t="s">
        <v>71</v>
      </c>
      <c r="AV280">
        <v>1000</v>
      </c>
      <c r="AW280">
        <v>1186.4000000000001</v>
      </c>
      <c r="AX280">
        <v>1500</v>
      </c>
      <c r="AY280">
        <v>1680.386</v>
      </c>
      <c r="AZ280">
        <v>1992.48</v>
      </c>
      <c r="BA280">
        <v>2399.98</v>
      </c>
      <c r="BB280">
        <v>2739.2040000000002</v>
      </c>
      <c r="BC280">
        <v>3000</v>
      </c>
      <c r="BD280">
        <v>3500</v>
      </c>
      <c r="BE280">
        <v>4000</v>
      </c>
      <c r="BF280">
        <v>4800</v>
      </c>
      <c r="BG280">
        <v>5000</v>
      </c>
      <c r="BH280">
        <v>5024.4139999999998</v>
      </c>
      <c r="BI280">
        <v>5617.9639999999999</v>
      </c>
      <c r="BJ280">
        <v>9836.84</v>
      </c>
      <c r="BK280">
        <v>12377.16</v>
      </c>
      <c r="BL280">
        <v>16956.52800000002</v>
      </c>
      <c r="BM280">
        <v>20247.331999999999</v>
      </c>
      <c r="BN280">
        <v>29364.69400000001</v>
      </c>
      <c r="BO280">
        <v>45000</v>
      </c>
      <c r="BP280">
        <v>1149602.8999999999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 x14ac:dyDescent="0.35">
      <c r="A281">
        <v>348796</v>
      </c>
      <c r="B281" t="s">
        <v>289</v>
      </c>
      <c r="C281" t="s">
        <v>290</v>
      </c>
      <c r="D281" s="1">
        <v>45818</v>
      </c>
      <c r="E281">
        <v>53850</v>
      </c>
      <c r="F281">
        <v>109</v>
      </c>
      <c r="G281" t="s">
        <v>74</v>
      </c>
      <c r="H281" t="s">
        <v>48</v>
      </c>
      <c r="I281" t="s">
        <v>49</v>
      </c>
      <c r="K281" t="s">
        <v>658</v>
      </c>
      <c r="L281">
        <v>1093307073406</v>
      </c>
      <c r="M281">
        <v>20250609</v>
      </c>
      <c r="N281" t="s">
        <v>222</v>
      </c>
      <c r="P281" t="s">
        <v>303</v>
      </c>
      <c r="Q281" t="s">
        <v>61</v>
      </c>
      <c r="R281">
        <v>2500</v>
      </c>
      <c r="S281">
        <v>0</v>
      </c>
      <c r="T281">
        <v>4831184</v>
      </c>
      <c r="U281">
        <v>7770790728</v>
      </c>
      <c r="V281" t="s">
        <v>659</v>
      </c>
      <c r="W281" t="s">
        <v>58</v>
      </c>
      <c r="X281" t="s">
        <v>108</v>
      </c>
      <c r="Y281" t="s">
        <v>52</v>
      </c>
      <c r="Z281">
        <v>1107</v>
      </c>
      <c r="AH281">
        <v>0</v>
      </c>
      <c r="AI281">
        <v>202506</v>
      </c>
      <c r="AJ281" t="s">
        <v>68</v>
      </c>
      <c r="AK281">
        <v>0</v>
      </c>
      <c r="AL281">
        <v>1</v>
      </c>
      <c r="AO281">
        <v>0</v>
      </c>
      <c r="AP281">
        <v>999</v>
      </c>
      <c r="AQ281">
        <v>430</v>
      </c>
      <c r="AR281">
        <v>430999</v>
      </c>
      <c r="AT281">
        <v>1</v>
      </c>
      <c r="AU281" t="s">
        <v>59</v>
      </c>
      <c r="AV281">
        <v>1000</v>
      </c>
      <c r="AW281">
        <v>1186.4000000000001</v>
      </c>
      <c r="AX281">
        <v>1500</v>
      </c>
      <c r="AY281">
        <v>1680.386</v>
      </c>
      <c r="AZ281">
        <v>1992.48</v>
      </c>
      <c r="BA281">
        <v>2399.98</v>
      </c>
      <c r="BB281">
        <v>2739.2040000000002</v>
      </c>
      <c r="BC281">
        <v>3000</v>
      </c>
      <c r="BD281">
        <v>3500</v>
      </c>
      <c r="BE281">
        <v>4000</v>
      </c>
      <c r="BF281">
        <v>4800</v>
      </c>
      <c r="BG281">
        <v>5000</v>
      </c>
      <c r="BH281">
        <v>5024.4139999999998</v>
      </c>
      <c r="BI281">
        <v>5617.9639999999999</v>
      </c>
      <c r="BJ281">
        <v>9836.84</v>
      </c>
      <c r="BK281">
        <v>12377.16</v>
      </c>
      <c r="BL281">
        <v>16956.52800000002</v>
      </c>
      <c r="BM281">
        <v>20247.331999999999</v>
      </c>
      <c r="BN281">
        <v>29364.69400000001</v>
      </c>
      <c r="BO281">
        <v>45000</v>
      </c>
      <c r="BP281">
        <v>1149602.8999999999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 x14ac:dyDescent="0.35">
      <c r="A282">
        <v>348793</v>
      </c>
      <c r="B282" t="s">
        <v>289</v>
      </c>
      <c r="C282" t="s">
        <v>290</v>
      </c>
      <c r="D282" s="1">
        <v>45818</v>
      </c>
      <c r="E282">
        <v>53850</v>
      </c>
      <c r="F282">
        <v>121</v>
      </c>
      <c r="G282" t="s">
        <v>85</v>
      </c>
      <c r="H282" t="s">
        <v>48</v>
      </c>
      <c r="I282" t="s">
        <v>49</v>
      </c>
      <c r="K282" t="s">
        <v>660</v>
      </c>
      <c r="L282">
        <v>1213300001913</v>
      </c>
      <c r="M282">
        <v>20250609</v>
      </c>
      <c r="N282" t="s">
        <v>222</v>
      </c>
      <c r="P282" t="s">
        <v>291</v>
      </c>
      <c r="Q282" t="s">
        <v>61</v>
      </c>
      <c r="R282">
        <v>2420</v>
      </c>
      <c r="S282">
        <v>0</v>
      </c>
      <c r="T282">
        <v>4794759</v>
      </c>
      <c r="U282">
        <v>7627090728</v>
      </c>
      <c r="V282" t="s">
        <v>390</v>
      </c>
      <c r="W282" t="s">
        <v>58</v>
      </c>
      <c r="X282" t="s">
        <v>64</v>
      </c>
      <c r="Y282" t="s">
        <v>52</v>
      </c>
      <c r="Z282">
        <v>928</v>
      </c>
      <c r="AH282">
        <v>0</v>
      </c>
      <c r="AI282">
        <v>202506</v>
      </c>
      <c r="AJ282" t="s">
        <v>203</v>
      </c>
      <c r="AK282">
        <v>1</v>
      </c>
      <c r="AL282">
        <v>1</v>
      </c>
      <c r="AO282">
        <v>0</v>
      </c>
      <c r="AP282">
        <v>620</v>
      </c>
      <c r="AQ282">
        <v>430</v>
      </c>
      <c r="AR282">
        <v>430620</v>
      </c>
      <c r="AS282" t="s">
        <v>65</v>
      </c>
      <c r="AU282" t="s">
        <v>65</v>
      </c>
      <c r="AV282">
        <v>1000</v>
      </c>
      <c r="AW282">
        <v>1186.4000000000001</v>
      </c>
      <c r="AX282">
        <v>1500</v>
      </c>
      <c r="AY282">
        <v>1680.386</v>
      </c>
      <c r="AZ282">
        <v>1992.48</v>
      </c>
      <c r="BA282">
        <v>2399.98</v>
      </c>
      <c r="BB282">
        <v>2739.2040000000002</v>
      </c>
      <c r="BC282">
        <v>3000</v>
      </c>
      <c r="BD282">
        <v>3500</v>
      </c>
      <c r="BE282">
        <v>4000</v>
      </c>
      <c r="BF282">
        <v>4800</v>
      </c>
      <c r="BG282">
        <v>5000</v>
      </c>
      <c r="BH282">
        <v>5024.4139999999998</v>
      </c>
      <c r="BI282">
        <v>5617.9639999999999</v>
      </c>
      <c r="BJ282">
        <v>9836.84</v>
      </c>
      <c r="BK282">
        <v>12377.16</v>
      </c>
      <c r="BL282">
        <v>16956.52800000002</v>
      </c>
      <c r="BM282">
        <v>20247.331999999999</v>
      </c>
      <c r="BN282">
        <v>29364.69400000001</v>
      </c>
      <c r="BO282">
        <v>45000</v>
      </c>
      <c r="BP282">
        <v>1149602.8999999999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 x14ac:dyDescent="0.35">
      <c r="A283">
        <v>348788</v>
      </c>
      <c r="B283" t="s">
        <v>289</v>
      </c>
      <c r="C283" t="s">
        <v>290</v>
      </c>
      <c r="D283" s="1">
        <v>45818</v>
      </c>
      <c r="E283">
        <v>53850</v>
      </c>
      <c r="F283">
        <v>149</v>
      </c>
      <c r="G283" t="s">
        <v>107</v>
      </c>
      <c r="H283" t="s">
        <v>48</v>
      </c>
      <c r="I283" t="s">
        <v>49</v>
      </c>
      <c r="K283">
        <v>202506098053351</v>
      </c>
      <c r="L283">
        <v>1493300663564</v>
      </c>
      <c r="M283">
        <v>20250609</v>
      </c>
      <c r="N283" t="s">
        <v>222</v>
      </c>
      <c r="P283" t="s">
        <v>303</v>
      </c>
      <c r="Q283" t="s">
        <v>61</v>
      </c>
      <c r="R283">
        <v>22973</v>
      </c>
      <c r="S283">
        <v>0</v>
      </c>
      <c r="T283">
        <v>4851736</v>
      </c>
      <c r="U283">
        <v>8243781211</v>
      </c>
      <c r="V283" t="s">
        <v>316</v>
      </c>
      <c r="W283" t="s">
        <v>58</v>
      </c>
      <c r="X283" t="s">
        <v>137</v>
      </c>
      <c r="Y283" t="s">
        <v>52</v>
      </c>
      <c r="Z283">
        <v>1256</v>
      </c>
      <c r="AH283">
        <v>0</v>
      </c>
      <c r="AI283">
        <v>202506</v>
      </c>
      <c r="AJ283" t="s">
        <v>203</v>
      </c>
      <c r="AK283">
        <v>1</v>
      </c>
      <c r="AL283">
        <v>1</v>
      </c>
      <c r="AO283">
        <v>0</v>
      </c>
      <c r="AP283">
        <v>999</v>
      </c>
      <c r="AQ283">
        <v>430</v>
      </c>
      <c r="AR283">
        <v>430999</v>
      </c>
      <c r="AT283">
        <v>1</v>
      </c>
      <c r="AU283" t="s">
        <v>59</v>
      </c>
      <c r="AV283">
        <v>1000</v>
      </c>
      <c r="AW283">
        <v>1186.4000000000001</v>
      </c>
      <c r="AX283">
        <v>1500</v>
      </c>
      <c r="AY283">
        <v>1680.386</v>
      </c>
      <c r="AZ283">
        <v>1992.48</v>
      </c>
      <c r="BA283">
        <v>2399.98</v>
      </c>
      <c r="BB283">
        <v>2739.2040000000002</v>
      </c>
      <c r="BC283">
        <v>3000</v>
      </c>
      <c r="BD283">
        <v>3500</v>
      </c>
      <c r="BE283">
        <v>4000</v>
      </c>
      <c r="BF283">
        <v>4800</v>
      </c>
      <c r="BG283">
        <v>5000</v>
      </c>
      <c r="BH283">
        <v>5024.4139999999998</v>
      </c>
      <c r="BI283">
        <v>5617.9639999999999</v>
      </c>
      <c r="BJ283">
        <v>9836.84</v>
      </c>
      <c r="BK283">
        <v>12377.16</v>
      </c>
      <c r="BL283">
        <v>16956.52800000002</v>
      </c>
      <c r="BM283">
        <v>20247.331999999999</v>
      </c>
      <c r="BN283">
        <v>29364.69400000001</v>
      </c>
      <c r="BO283">
        <v>45000</v>
      </c>
      <c r="BP283">
        <v>1149602.8999999999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0</v>
      </c>
      <c r="CJ283">
        <v>0</v>
      </c>
      <c r="CK283">
        <v>0</v>
      </c>
    </row>
    <row r="284" spans="1:89" x14ac:dyDescent="0.35">
      <c r="A284">
        <v>348780</v>
      </c>
      <c r="B284" t="s">
        <v>289</v>
      </c>
      <c r="C284" t="s">
        <v>290</v>
      </c>
      <c r="D284" s="1">
        <v>45818</v>
      </c>
      <c r="E284">
        <v>53850</v>
      </c>
      <c r="F284">
        <v>271</v>
      </c>
      <c r="G284" t="s">
        <v>109</v>
      </c>
      <c r="H284" t="s">
        <v>48</v>
      </c>
      <c r="I284" t="s">
        <v>49</v>
      </c>
      <c r="K284">
        <v>202506098053686</v>
      </c>
      <c r="L284">
        <v>2713300010112</v>
      </c>
      <c r="M284">
        <v>20250609</v>
      </c>
      <c r="N284" t="s">
        <v>222</v>
      </c>
      <c r="P284" t="s">
        <v>136</v>
      </c>
      <c r="Q284" t="s">
        <v>61</v>
      </c>
      <c r="R284">
        <v>5000</v>
      </c>
      <c r="S284">
        <v>0</v>
      </c>
      <c r="T284">
        <v>1611557</v>
      </c>
      <c r="U284" t="s">
        <v>401</v>
      </c>
      <c r="V284" t="s">
        <v>402</v>
      </c>
      <c r="W284" t="s">
        <v>73</v>
      </c>
      <c r="X284" t="s">
        <v>403</v>
      </c>
      <c r="Y284" t="s">
        <v>52</v>
      </c>
      <c r="Z284">
        <v>1850</v>
      </c>
      <c r="AH284">
        <v>0</v>
      </c>
      <c r="AI284">
        <v>202506</v>
      </c>
      <c r="AJ284" t="s">
        <v>55</v>
      </c>
      <c r="AK284">
        <v>0</v>
      </c>
      <c r="AL284">
        <v>1</v>
      </c>
      <c r="AO284">
        <v>0</v>
      </c>
      <c r="AP284">
        <v>999</v>
      </c>
      <c r="AQ284">
        <v>615</v>
      </c>
      <c r="AR284">
        <v>615999</v>
      </c>
      <c r="AT284">
        <v>1</v>
      </c>
      <c r="AU284" t="s">
        <v>65</v>
      </c>
      <c r="AV284">
        <v>1000</v>
      </c>
      <c r="AW284">
        <v>1186.4000000000001</v>
      </c>
      <c r="AX284">
        <v>1500</v>
      </c>
      <c r="AY284">
        <v>1680.386</v>
      </c>
      <c r="AZ284">
        <v>1992.48</v>
      </c>
      <c r="BA284">
        <v>2399.98</v>
      </c>
      <c r="BB284">
        <v>2739.2040000000002</v>
      </c>
      <c r="BC284">
        <v>3000</v>
      </c>
      <c r="BD284">
        <v>3500</v>
      </c>
      <c r="BE284">
        <v>4000</v>
      </c>
      <c r="BF284">
        <v>4800</v>
      </c>
      <c r="BG284">
        <v>5000</v>
      </c>
      <c r="BH284">
        <v>5024.4139999999998</v>
      </c>
      <c r="BI284">
        <v>5617.9639999999999</v>
      </c>
      <c r="BJ284">
        <v>9836.84</v>
      </c>
      <c r="BK284">
        <v>12377.16</v>
      </c>
      <c r="BL284">
        <v>16956.52800000002</v>
      </c>
      <c r="BM284">
        <v>20247.331999999999</v>
      </c>
      <c r="BN284">
        <v>29364.69400000001</v>
      </c>
      <c r="BO284">
        <v>45000</v>
      </c>
      <c r="BP284">
        <v>1149602.8999999999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 x14ac:dyDescent="0.35">
      <c r="A285">
        <v>348759</v>
      </c>
      <c r="B285" t="s">
        <v>289</v>
      </c>
      <c r="C285" t="s">
        <v>290</v>
      </c>
      <c r="D285" s="1">
        <v>45818</v>
      </c>
      <c r="E285">
        <v>53850</v>
      </c>
      <c r="F285">
        <v>109</v>
      </c>
      <c r="G285" t="s">
        <v>74</v>
      </c>
      <c r="H285" t="s">
        <v>48</v>
      </c>
      <c r="I285" t="s">
        <v>49</v>
      </c>
      <c r="K285" t="s">
        <v>708</v>
      </c>
      <c r="L285">
        <v>1093306672844</v>
      </c>
      <c r="M285">
        <v>20250606</v>
      </c>
      <c r="N285" t="s">
        <v>222</v>
      </c>
      <c r="P285" t="s">
        <v>303</v>
      </c>
      <c r="Q285" t="s">
        <v>50</v>
      </c>
      <c r="R285">
        <v>4200</v>
      </c>
      <c r="S285">
        <v>0</v>
      </c>
      <c r="T285">
        <v>440311</v>
      </c>
      <c r="U285">
        <v>3550290724</v>
      </c>
      <c r="V285" t="s">
        <v>687</v>
      </c>
      <c r="W285" t="s">
        <v>58</v>
      </c>
      <c r="X285" t="s">
        <v>237</v>
      </c>
      <c r="Y285" t="s">
        <v>52</v>
      </c>
      <c r="Z285">
        <v>1903</v>
      </c>
      <c r="AH285">
        <v>0</v>
      </c>
      <c r="AI285">
        <v>202506</v>
      </c>
      <c r="AJ285" t="s">
        <v>205</v>
      </c>
      <c r="AK285">
        <v>1</v>
      </c>
      <c r="AL285">
        <v>1</v>
      </c>
      <c r="AM285">
        <v>440311</v>
      </c>
      <c r="AN285">
        <v>1</v>
      </c>
      <c r="AO285">
        <v>0</v>
      </c>
      <c r="AP285">
        <v>451</v>
      </c>
      <c r="AQ285">
        <v>430</v>
      </c>
      <c r="AR285">
        <v>430451</v>
      </c>
      <c r="AS285" t="s">
        <v>65</v>
      </c>
      <c r="AU285" t="s">
        <v>65</v>
      </c>
      <c r="AV285">
        <v>1000</v>
      </c>
      <c r="AW285">
        <v>1186.4000000000001</v>
      </c>
      <c r="AX285">
        <v>1500</v>
      </c>
      <c r="AY285">
        <v>1680.386</v>
      </c>
      <c r="AZ285">
        <v>1992.48</v>
      </c>
      <c r="BA285">
        <v>2399.98</v>
      </c>
      <c r="BB285">
        <v>2739.2040000000002</v>
      </c>
      <c r="BC285">
        <v>3000</v>
      </c>
      <c r="BD285">
        <v>3500</v>
      </c>
      <c r="BE285">
        <v>4000</v>
      </c>
      <c r="BF285">
        <v>4800</v>
      </c>
      <c r="BG285">
        <v>5000</v>
      </c>
      <c r="BH285">
        <v>5024.4139999999998</v>
      </c>
      <c r="BI285">
        <v>5617.9639999999999</v>
      </c>
      <c r="BJ285">
        <v>9836.84</v>
      </c>
      <c r="BK285">
        <v>12377.16</v>
      </c>
      <c r="BL285">
        <v>16956.52800000002</v>
      </c>
      <c r="BM285">
        <v>20247.331999999999</v>
      </c>
      <c r="BN285">
        <v>29364.69400000001</v>
      </c>
      <c r="BO285">
        <v>45000</v>
      </c>
      <c r="BP285">
        <v>1149602.8999999999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 x14ac:dyDescent="0.35">
      <c r="A286">
        <v>348747</v>
      </c>
      <c r="B286" t="s">
        <v>289</v>
      </c>
      <c r="C286" t="s">
        <v>290</v>
      </c>
      <c r="D286" s="1">
        <v>45815</v>
      </c>
      <c r="E286">
        <v>53850</v>
      </c>
      <c r="F286">
        <v>261</v>
      </c>
      <c r="G286" t="s">
        <v>96</v>
      </c>
      <c r="H286" t="s">
        <v>48</v>
      </c>
      <c r="I286" t="s">
        <v>49</v>
      </c>
      <c r="K286" t="s">
        <v>661</v>
      </c>
      <c r="L286">
        <v>2613300001265</v>
      </c>
      <c r="M286">
        <v>20250606</v>
      </c>
      <c r="N286" t="s">
        <v>222</v>
      </c>
      <c r="P286" t="s">
        <v>296</v>
      </c>
      <c r="Q286" t="s">
        <v>61</v>
      </c>
      <c r="R286">
        <v>2500</v>
      </c>
      <c r="S286">
        <v>0</v>
      </c>
      <c r="T286">
        <v>1625403</v>
      </c>
      <c r="U286" t="s">
        <v>392</v>
      </c>
      <c r="V286" t="s">
        <v>393</v>
      </c>
      <c r="W286" t="s">
        <v>51</v>
      </c>
      <c r="Y286" t="s">
        <v>52</v>
      </c>
      <c r="Z286">
        <v>1755</v>
      </c>
      <c r="AH286">
        <v>0</v>
      </c>
      <c r="AI286">
        <v>202506</v>
      </c>
      <c r="AJ286" t="s">
        <v>68</v>
      </c>
      <c r="AK286">
        <v>0</v>
      </c>
      <c r="AL286">
        <v>1</v>
      </c>
      <c r="AO286">
        <v>0</v>
      </c>
      <c r="AP286">
        <v>999</v>
      </c>
      <c r="AQ286">
        <v>600</v>
      </c>
      <c r="AR286">
        <v>600999</v>
      </c>
      <c r="AS286" t="s">
        <v>53</v>
      </c>
      <c r="AU286" t="s">
        <v>53</v>
      </c>
      <c r="AV286">
        <v>1000</v>
      </c>
      <c r="AW286">
        <v>1186.4000000000001</v>
      </c>
      <c r="AX286">
        <v>1500</v>
      </c>
      <c r="AY286">
        <v>1680.386</v>
      </c>
      <c r="AZ286">
        <v>1992.48</v>
      </c>
      <c r="BA286">
        <v>2399.98</v>
      </c>
      <c r="BB286">
        <v>2739.2040000000002</v>
      </c>
      <c r="BC286">
        <v>3000</v>
      </c>
      <c r="BD286">
        <v>3500</v>
      </c>
      <c r="BE286">
        <v>4000</v>
      </c>
      <c r="BF286">
        <v>4800</v>
      </c>
      <c r="BG286">
        <v>5000</v>
      </c>
      <c r="BH286">
        <v>5024.4139999999998</v>
      </c>
      <c r="BI286">
        <v>5617.9639999999999</v>
      </c>
      <c r="BJ286">
        <v>9836.84</v>
      </c>
      <c r="BK286">
        <v>12377.16</v>
      </c>
      <c r="BL286">
        <v>16956.52800000002</v>
      </c>
      <c r="BM286">
        <v>20247.331999999999</v>
      </c>
      <c r="BN286">
        <v>29364.69400000001</v>
      </c>
      <c r="BO286">
        <v>45000</v>
      </c>
      <c r="BP286">
        <v>1149602.8999999999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 x14ac:dyDescent="0.35">
      <c r="A287">
        <v>348746</v>
      </c>
      <c r="B287" t="s">
        <v>289</v>
      </c>
      <c r="C287" t="s">
        <v>290</v>
      </c>
      <c r="D287" s="1">
        <v>45815</v>
      </c>
      <c r="E287">
        <v>53850</v>
      </c>
      <c r="F287">
        <v>174</v>
      </c>
      <c r="G287" t="s">
        <v>122</v>
      </c>
      <c r="H287" t="s">
        <v>48</v>
      </c>
      <c r="I287" t="s">
        <v>49</v>
      </c>
      <c r="K287" t="s">
        <v>662</v>
      </c>
      <c r="L287">
        <v>1743302879664</v>
      </c>
      <c r="M287">
        <v>20250606</v>
      </c>
      <c r="N287" t="s">
        <v>222</v>
      </c>
      <c r="P287" t="s">
        <v>291</v>
      </c>
      <c r="Q287" t="s">
        <v>50</v>
      </c>
      <c r="R287">
        <v>2500</v>
      </c>
      <c r="S287">
        <v>0</v>
      </c>
      <c r="T287">
        <v>4885492</v>
      </c>
      <c r="U287" t="s">
        <v>663</v>
      </c>
      <c r="V287" t="s">
        <v>664</v>
      </c>
      <c r="W287" t="s">
        <v>73</v>
      </c>
      <c r="X287" t="s">
        <v>120</v>
      </c>
      <c r="Y287" t="s">
        <v>52</v>
      </c>
      <c r="Z287">
        <v>720</v>
      </c>
      <c r="AH287">
        <v>0</v>
      </c>
      <c r="AI287">
        <v>202506</v>
      </c>
      <c r="AJ287" t="s">
        <v>203</v>
      </c>
      <c r="AK287">
        <v>1</v>
      </c>
      <c r="AL287">
        <v>1</v>
      </c>
      <c r="AO287">
        <v>0</v>
      </c>
      <c r="AP287">
        <v>999</v>
      </c>
      <c r="AQ287">
        <v>615</v>
      </c>
      <c r="AR287">
        <v>615999</v>
      </c>
      <c r="AT287">
        <v>1</v>
      </c>
      <c r="AU287" t="s">
        <v>65</v>
      </c>
      <c r="AV287">
        <v>1000</v>
      </c>
      <c r="AW287">
        <v>1186.4000000000001</v>
      </c>
      <c r="AX287">
        <v>1500</v>
      </c>
      <c r="AY287">
        <v>1680.386</v>
      </c>
      <c r="AZ287">
        <v>1992.48</v>
      </c>
      <c r="BA287">
        <v>2399.98</v>
      </c>
      <c r="BB287">
        <v>2739.2040000000002</v>
      </c>
      <c r="BC287">
        <v>3000</v>
      </c>
      <c r="BD287">
        <v>3500</v>
      </c>
      <c r="BE287">
        <v>4000</v>
      </c>
      <c r="BF287">
        <v>4800</v>
      </c>
      <c r="BG287">
        <v>5000</v>
      </c>
      <c r="BH287">
        <v>5024.4139999999998</v>
      </c>
      <c r="BI287">
        <v>5617.9639999999999</v>
      </c>
      <c r="BJ287">
        <v>9836.84</v>
      </c>
      <c r="BK287">
        <v>12377.16</v>
      </c>
      <c r="BL287">
        <v>16956.52800000002</v>
      </c>
      <c r="BM287">
        <v>20247.331999999999</v>
      </c>
      <c r="BN287">
        <v>29364.69400000001</v>
      </c>
      <c r="BO287">
        <v>45000</v>
      </c>
      <c r="BP287">
        <v>1149602.8999999999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 x14ac:dyDescent="0.35">
      <c r="A288">
        <v>348732</v>
      </c>
      <c r="B288" t="s">
        <v>289</v>
      </c>
      <c r="C288" t="s">
        <v>290</v>
      </c>
      <c r="D288" s="1">
        <v>45815</v>
      </c>
      <c r="E288">
        <v>53850</v>
      </c>
      <c r="F288">
        <v>111</v>
      </c>
      <c r="G288" t="s">
        <v>211</v>
      </c>
      <c r="H288" t="s">
        <v>48</v>
      </c>
      <c r="I288" t="s">
        <v>49</v>
      </c>
      <c r="K288">
        <v>202506068045588</v>
      </c>
      <c r="L288">
        <v>1113305626850</v>
      </c>
      <c r="M288">
        <v>20250606</v>
      </c>
      <c r="N288" t="s">
        <v>222</v>
      </c>
      <c r="P288" t="s">
        <v>291</v>
      </c>
      <c r="Q288" t="s">
        <v>50</v>
      </c>
      <c r="R288">
        <v>5000</v>
      </c>
      <c r="S288">
        <v>0</v>
      </c>
      <c r="T288">
        <v>562685</v>
      </c>
      <c r="U288" t="s">
        <v>317</v>
      </c>
      <c r="V288" t="s">
        <v>318</v>
      </c>
      <c r="W288" t="s">
        <v>51</v>
      </c>
      <c r="Y288" t="s">
        <v>52</v>
      </c>
      <c r="Z288">
        <v>593</v>
      </c>
      <c r="AH288">
        <v>0</v>
      </c>
      <c r="AI288">
        <v>202506</v>
      </c>
      <c r="AJ288" t="s">
        <v>203</v>
      </c>
      <c r="AK288">
        <v>1</v>
      </c>
      <c r="AL288">
        <v>1</v>
      </c>
      <c r="AO288">
        <v>0</v>
      </c>
      <c r="AP288">
        <v>999</v>
      </c>
      <c r="AQ288">
        <v>600</v>
      </c>
      <c r="AR288">
        <v>600999</v>
      </c>
      <c r="AS288" t="s">
        <v>53</v>
      </c>
      <c r="AU288" t="s">
        <v>53</v>
      </c>
      <c r="AV288">
        <v>1000</v>
      </c>
      <c r="AW288">
        <v>1186.4000000000001</v>
      </c>
      <c r="AX288">
        <v>1500</v>
      </c>
      <c r="AY288">
        <v>1680.386</v>
      </c>
      <c r="AZ288">
        <v>1992.48</v>
      </c>
      <c r="BA288">
        <v>2399.98</v>
      </c>
      <c r="BB288">
        <v>2739.2040000000002</v>
      </c>
      <c r="BC288">
        <v>3000</v>
      </c>
      <c r="BD288">
        <v>3500</v>
      </c>
      <c r="BE288">
        <v>4000</v>
      </c>
      <c r="BF288">
        <v>4800</v>
      </c>
      <c r="BG288">
        <v>5000</v>
      </c>
      <c r="BH288">
        <v>5024.4139999999998</v>
      </c>
      <c r="BI288">
        <v>5617.9639999999999</v>
      </c>
      <c r="BJ288">
        <v>9836.84</v>
      </c>
      <c r="BK288">
        <v>12377.16</v>
      </c>
      <c r="BL288">
        <v>16956.52800000002</v>
      </c>
      <c r="BM288">
        <v>20247.331999999999</v>
      </c>
      <c r="BN288">
        <v>29364.69400000001</v>
      </c>
      <c r="BO288">
        <v>45000</v>
      </c>
      <c r="BP288">
        <v>1149602.8999999999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 x14ac:dyDescent="0.35">
      <c r="A289">
        <v>348709</v>
      </c>
      <c r="B289" t="s">
        <v>289</v>
      </c>
      <c r="C289" t="s">
        <v>290</v>
      </c>
      <c r="D289" s="1">
        <v>45814</v>
      </c>
      <c r="E289">
        <v>53850</v>
      </c>
      <c r="F289">
        <v>273</v>
      </c>
      <c r="G289" t="s">
        <v>57</v>
      </c>
      <c r="H289" t="s">
        <v>48</v>
      </c>
      <c r="I289" t="s">
        <v>49</v>
      </c>
      <c r="K289" t="s">
        <v>665</v>
      </c>
      <c r="L289">
        <v>2733300000307</v>
      </c>
      <c r="M289">
        <v>20250605</v>
      </c>
      <c r="N289" t="s">
        <v>222</v>
      </c>
      <c r="P289" t="s">
        <v>291</v>
      </c>
      <c r="Q289" t="s">
        <v>61</v>
      </c>
      <c r="R289">
        <v>1590</v>
      </c>
      <c r="S289">
        <v>0</v>
      </c>
      <c r="T289">
        <v>1610982</v>
      </c>
      <c r="U289" t="s">
        <v>666</v>
      </c>
      <c r="V289" t="s">
        <v>667</v>
      </c>
      <c r="W289" t="s">
        <v>51</v>
      </c>
      <c r="Y289" t="s">
        <v>52</v>
      </c>
      <c r="Z289">
        <v>1295</v>
      </c>
      <c r="AH289">
        <v>0</v>
      </c>
      <c r="AI289">
        <v>202506</v>
      </c>
      <c r="AJ289" t="s">
        <v>205</v>
      </c>
      <c r="AK289">
        <v>1</v>
      </c>
      <c r="AL289">
        <v>1</v>
      </c>
      <c r="AO289">
        <v>0</v>
      </c>
      <c r="AP289">
        <v>999</v>
      </c>
      <c r="AQ289">
        <v>600</v>
      </c>
      <c r="AR289">
        <v>600999</v>
      </c>
      <c r="AS289" t="s">
        <v>53</v>
      </c>
      <c r="AU289" t="s">
        <v>53</v>
      </c>
      <c r="AV289">
        <v>1000</v>
      </c>
      <c r="AW289">
        <v>1186.4000000000001</v>
      </c>
      <c r="AX289">
        <v>1500</v>
      </c>
      <c r="AY289">
        <v>1680.386</v>
      </c>
      <c r="AZ289">
        <v>1992.48</v>
      </c>
      <c r="BA289">
        <v>2399.98</v>
      </c>
      <c r="BB289">
        <v>2739.2040000000002</v>
      </c>
      <c r="BC289">
        <v>3000</v>
      </c>
      <c r="BD289">
        <v>3500</v>
      </c>
      <c r="BE289">
        <v>4000</v>
      </c>
      <c r="BF289">
        <v>4800</v>
      </c>
      <c r="BG289">
        <v>5000</v>
      </c>
      <c r="BH289">
        <v>5024.4139999999998</v>
      </c>
      <c r="BI289">
        <v>5617.9639999999999</v>
      </c>
      <c r="BJ289">
        <v>9836.84</v>
      </c>
      <c r="BK289">
        <v>12377.16</v>
      </c>
      <c r="BL289">
        <v>16956.52800000002</v>
      </c>
      <c r="BM289">
        <v>20247.331999999999</v>
      </c>
      <c r="BN289">
        <v>29364.69400000001</v>
      </c>
      <c r="BO289">
        <v>45000</v>
      </c>
      <c r="BP289">
        <v>1149602.8999999999</v>
      </c>
      <c r="BQ289">
        <v>1</v>
      </c>
      <c r="BR289">
        <v>1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 x14ac:dyDescent="0.35">
      <c r="A290">
        <v>348700</v>
      </c>
      <c r="B290" t="s">
        <v>289</v>
      </c>
      <c r="C290" t="s">
        <v>290</v>
      </c>
      <c r="D290" s="1">
        <v>45814</v>
      </c>
      <c r="E290">
        <v>53850</v>
      </c>
      <c r="F290">
        <v>174</v>
      </c>
      <c r="G290" t="s">
        <v>122</v>
      </c>
      <c r="H290" t="s">
        <v>48</v>
      </c>
      <c r="I290" t="s">
        <v>49</v>
      </c>
      <c r="K290" t="s">
        <v>668</v>
      </c>
      <c r="L290">
        <v>1743302877913</v>
      </c>
      <c r="M290">
        <v>20250605</v>
      </c>
      <c r="N290" t="s">
        <v>222</v>
      </c>
      <c r="P290" t="s">
        <v>291</v>
      </c>
      <c r="Q290" t="s">
        <v>61</v>
      </c>
      <c r="R290">
        <v>2584.3000000000002</v>
      </c>
      <c r="S290">
        <v>0</v>
      </c>
      <c r="T290">
        <v>4180010</v>
      </c>
      <c r="U290">
        <v>5953650727</v>
      </c>
      <c r="V290" t="s">
        <v>452</v>
      </c>
      <c r="W290" t="s">
        <v>70</v>
      </c>
      <c r="X290" t="s">
        <v>453</v>
      </c>
      <c r="Y290" t="s">
        <v>52</v>
      </c>
      <c r="Z290">
        <v>720</v>
      </c>
      <c r="AH290">
        <v>0</v>
      </c>
      <c r="AI290">
        <v>202506</v>
      </c>
      <c r="AJ290" t="s">
        <v>203</v>
      </c>
      <c r="AK290">
        <v>1</v>
      </c>
      <c r="AL290">
        <v>1</v>
      </c>
      <c r="AO290">
        <v>0</v>
      </c>
      <c r="AP290">
        <v>999</v>
      </c>
      <c r="AQ290">
        <v>492</v>
      </c>
      <c r="AR290">
        <v>492999</v>
      </c>
      <c r="AT290">
        <v>1</v>
      </c>
      <c r="AU290" t="s">
        <v>71</v>
      </c>
      <c r="AV290">
        <v>1000</v>
      </c>
      <c r="AW290">
        <v>1186.4000000000001</v>
      </c>
      <c r="AX290">
        <v>1500</v>
      </c>
      <c r="AY290">
        <v>1680.386</v>
      </c>
      <c r="AZ290">
        <v>1992.48</v>
      </c>
      <c r="BA290">
        <v>2399.98</v>
      </c>
      <c r="BB290">
        <v>2739.2040000000002</v>
      </c>
      <c r="BC290">
        <v>3000</v>
      </c>
      <c r="BD290">
        <v>3500</v>
      </c>
      <c r="BE290">
        <v>4000</v>
      </c>
      <c r="BF290">
        <v>4800</v>
      </c>
      <c r="BG290">
        <v>5000</v>
      </c>
      <c r="BH290">
        <v>5024.4139999999998</v>
      </c>
      <c r="BI290">
        <v>5617.9639999999999</v>
      </c>
      <c r="BJ290">
        <v>9836.84</v>
      </c>
      <c r="BK290">
        <v>12377.16</v>
      </c>
      <c r="BL290">
        <v>16956.52800000002</v>
      </c>
      <c r="BM290">
        <v>20247.331999999999</v>
      </c>
      <c r="BN290">
        <v>29364.69400000001</v>
      </c>
      <c r="BO290">
        <v>45000</v>
      </c>
      <c r="BP290">
        <v>1149602.8999999999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 x14ac:dyDescent="0.35">
      <c r="A291">
        <v>348696</v>
      </c>
      <c r="B291" t="s">
        <v>289</v>
      </c>
      <c r="C291" t="s">
        <v>290</v>
      </c>
      <c r="D291" s="1">
        <v>45814</v>
      </c>
      <c r="E291">
        <v>53850</v>
      </c>
      <c r="F291">
        <v>261</v>
      </c>
      <c r="G291" t="s">
        <v>96</v>
      </c>
      <c r="H291" t="s">
        <v>48</v>
      </c>
      <c r="I291" t="s">
        <v>49</v>
      </c>
      <c r="K291" t="s">
        <v>669</v>
      </c>
      <c r="L291">
        <v>2613300001265</v>
      </c>
      <c r="M291">
        <v>20250605</v>
      </c>
      <c r="N291" t="s">
        <v>222</v>
      </c>
      <c r="P291" t="s">
        <v>296</v>
      </c>
      <c r="Q291" t="s">
        <v>61</v>
      </c>
      <c r="R291">
        <v>3511.9</v>
      </c>
      <c r="S291">
        <v>0</v>
      </c>
      <c r="T291">
        <v>1625403</v>
      </c>
      <c r="U291" t="s">
        <v>392</v>
      </c>
      <c r="V291" t="s">
        <v>393</v>
      </c>
      <c r="W291" t="s">
        <v>51</v>
      </c>
      <c r="Y291" t="s">
        <v>52</v>
      </c>
      <c r="Z291">
        <v>1755</v>
      </c>
      <c r="AH291">
        <v>0</v>
      </c>
      <c r="AI291">
        <v>202506</v>
      </c>
      <c r="AJ291" t="s">
        <v>68</v>
      </c>
      <c r="AK291">
        <v>0</v>
      </c>
      <c r="AL291">
        <v>1</v>
      </c>
      <c r="AO291">
        <v>0</v>
      </c>
      <c r="AP291">
        <v>999</v>
      </c>
      <c r="AQ291">
        <v>600</v>
      </c>
      <c r="AR291">
        <v>600999</v>
      </c>
      <c r="AS291" t="s">
        <v>53</v>
      </c>
      <c r="AU291" t="s">
        <v>53</v>
      </c>
      <c r="AV291">
        <v>1000</v>
      </c>
      <c r="AW291">
        <v>1186.4000000000001</v>
      </c>
      <c r="AX291">
        <v>1500</v>
      </c>
      <c r="AY291">
        <v>1680.386</v>
      </c>
      <c r="AZ291">
        <v>1992.48</v>
      </c>
      <c r="BA291">
        <v>2399.98</v>
      </c>
      <c r="BB291">
        <v>2739.2040000000002</v>
      </c>
      <c r="BC291">
        <v>3000</v>
      </c>
      <c r="BD291">
        <v>3500</v>
      </c>
      <c r="BE291">
        <v>4000</v>
      </c>
      <c r="BF291">
        <v>4800</v>
      </c>
      <c r="BG291">
        <v>5000</v>
      </c>
      <c r="BH291">
        <v>5024.4139999999998</v>
      </c>
      <c r="BI291">
        <v>5617.9639999999999</v>
      </c>
      <c r="BJ291">
        <v>9836.84</v>
      </c>
      <c r="BK291">
        <v>12377.16</v>
      </c>
      <c r="BL291">
        <v>16956.52800000002</v>
      </c>
      <c r="BM291">
        <v>20247.331999999999</v>
      </c>
      <c r="BN291">
        <v>29364.69400000001</v>
      </c>
      <c r="BO291">
        <v>45000</v>
      </c>
      <c r="BP291">
        <v>1149602.8999999999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 x14ac:dyDescent="0.35">
      <c r="A292">
        <v>348685</v>
      </c>
      <c r="B292" t="s">
        <v>289</v>
      </c>
      <c r="C292" t="s">
        <v>290</v>
      </c>
      <c r="D292" s="1">
        <v>45814</v>
      </c>
      <c r="E292">
        <v>53850</v>
      </c>
      <c r="F292">
        <v>103</v>
      </c>
      <c r="G292" t="s">
        <v>62</v>
      </c>
      <c r="H292" t="s">
        <v>48</v>
      </c>
      <c r="I292" t="s">
        <v>49</v>
      </c>
      <c r="K292" t="s">
        <v>670</v>
      </c>
      <c r="L292">
        <v>1033304289290</v>
      </c>
      <c r="M292">
        <v>20250605</v>
      </c>
      <c r="N292" t="s">
        <v>222</v>
      </c>
      <c r="P292" t="s">
        <v>303</v>
      </c>
      <c r="Q292" t="s">
        <v>50</v>
      </c>
      <c r="R292">
        <v>3000</v>
      </c>
      <c r="S292">
        <v>0</v>
      </c>
      <c r="T292">
        <v>428929</v>
      </c>
      <c r="U292">
        <v>3895840720</v>
      </c>
      <c r="V292" t="s">
        <v>346</v>
      </c>
      <c r="W292" t="s">
        <v>128</v>
      </c>
      <c r="X292" t="s">
        <v>108</v>
      </c>
      <c r="Y292" t="s">
        <v>52</v>
      </c>
      <c r="Z292">
        <v>1274</v>
      </c>
      <c r="AH292">
        <v>0</v>
      </c>
      <c r="AI292">
        <v>202506</v>
      </c>
      <c r="AJ292" t="s">
        <v>203</v>
      </c>
      <c r="AK292">
        <v>1</v>
      </c>
      <c r="AL292">
        <v>1</v>
      </c>
      <c r="AO292">
        <v>0</v>
      </c>
      <c r="AP292">
        <v>999</v>
      </c>
      <c r="AQ292">
        <v>450</v>
      </c>
      <c r="AR292">
        <v>450999</v>
      </c>
      <c r="AT292">
        <v>1</v>
      </c>
      <c r="AU292" t="s">
        <v>59</v>
      </c>
      <c r="AV292">
        <v>1000</v>
      </c>
      <c r="AW292">
        <v>1186.4000000000001</v>
      </c>
      <c r="AX292">
        <v>1500</v>
      </c>
      <c r="AY292">
        <v>1680.386</v>
      </c>
      <c r="AZ292">
        <v>1992.48</v>
      </c>
      <c r="BA292">
        <v>2399.98</v>
      </c>
      <c r="BB292">
        <v>2739.2040000000002</v>
      </c>
      <c r="BC292">
        <v>3000</v>
      </c>
      <c r="BD292">
        <v>3500</v>
      </c>
      <c r="BE292">
        <v>4000</v>
      </c>
      <c r="BF292">
        <v>4800</v>
      </c>
      <c r="BG292">
        <v>5000</v>
      </c>
      <c r="BH292">
        <v>5024.4139999999998</v>
      </c>
      <c r="BI292">
        <v>5617.9639999999999</v>
      </c>
      <c r="BJ292">
        <v>9836.84</v>
      </c>
      <c r="BK292">
        <v>12377.16</v>
      </c>
      <c r="BL292">
        <v>16956.52800000002</v>
      </c>
      <c r="BM292">
        <v>20247.331999999999</v>
      </c>
      <c r="BN292">
        <v>29364.69400000001</v>
      </c>
      <c r="BO292">
        <v>45000</v>
      </c>
      <c r="BP292">
        <v>1149602.8999999999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 x14ac:dyDescent="0.35">
      <c r="A293">
        <v>348674</v>
      </c>
      <c r="B293" t="s">
        <v>289</v>
      </c>
      <c r="C293" t="s">
        <v>290</v>
      </c>
      <c r="D293" s="1">
        <v>45813</v>
      </c>
      <c r="E293">
        <v>53850</v>
      </c>
      <c r="F293">
        <v>105</v>
      </c>
      <c r="G293" t="s">
        <v>47</v>
      </c>
      <c r="H293" t="s">
        <v>48</v>
      </c>
      <c r="I293" t="s">
        <v>49</v>
      </c>
      <c r="K293" t="s">
        <v>671</v>
      </c>
      <c r="L293">
        <v>1053306295089</v>
      </c>
      <c r="M293">
        <v>20250604</v>
      </c>
      <c r="N293" t="s">
        <v>222</v>
      </c>
      <c r="P293" t="s">
        <v>291</v>
      </c>
      <c r="Q293" t="s">
        <v>61</v>
      </c>
      <c r="R293">
        <v>1220</v>
      </c>
      <c r="S293">
        <v>0</v>
      </c>
      <c r="T293">
        <v>3716148</v>
      </c>
      <c r="U293">
        <v>6264740728</v>
      </c>
      <c r="V293" t="s">
        <v>485</v>
      </c>
      <c r="W293" t="s">
        <v>58</v>
      </c>
      <c r="X293" t="s">
        <v>320</v>
      </c>
      <c r="Y293" t="s">
        <v>52</v>
      </c>
      <c r="Z293">
        <v>462</v>
      </c>
      <c r="AH293">
        <v>0</v>
      </c>
      <c r="AI293">
        <v>202506</v>
      </c>
      <c r="AJ293" t="s">
        <v>205</v>
      </c>
      <c r="AK293">
        <v>1</v>
      </c>
      <c r="AL293">
        <v>1</v>
      </c>
      <c r="AO293">
        <v>0</v>
      </c>
      <c r="AP293">
        <v>999</v>
      </c>
      <c r="AQ293">
        <v>430</v>
      </c>
      <c r="AR293">
        <v>430999</v>
      </c>
      <c r="AT293">
        <v>1</v>
      </c>
      <c r="AU293" t="s">
        <v>59</v>
      </c>
      <c r="AV293">
        <v>1000</v>
      </c>
      <c r="AW293">
        <v>1186.4000000000001</v>
      </c>
      <c r="AX293">
        <v>1500</v>
      </c>
      <c r="AY293">
        <v>1680.386</v>
      </c>
      <c r="AZ293">
        <v>1992.48</v>
      </c>
      <c r="BA293">
        <v>2399.98</v>
      </c>
      <c r="BB293">
        <v>2739.2040000000002</v>
      </c>
      <c r="BC293">
        <v>3000</v>
      </c>
      <c r="BD293">
        <v>3500</v>
      </c>
      <c r="BE293">
        <v>4000</v>
      </c>
      <c r="BF293">
        <v>4800</v>
      </c>
      <c r="BG293">
        <v>5000</v>
      </c>
      <c r="BH293">
        <v>5024.4139999999998</v>
      </c>
      <c r="BI293">
        <v>5617.9639999999999</v>
      </c>
      <c r="BJ293">
        <v>9836.84</v>
      </c>
      <c r="BK293">
        <v>12377.16</v>
      </c>
      <c r="BL293">
        <v>16956.52800000002</v>
      </c>
      <c r="BM293">
        <v>20247.331999999999</v>
      </c>
      <c r="BN293">
        <v>29364.69400000001</v>
      </c>
      <c r="BO293">
        <v>45000</v>
      </c>
      <c r="BP293">
        <v>1149602.8999999999</v>
      </c>
      <c r="BQ293">
        <v>1</v>
      </c>
      <c r="BR293">
        <v>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 x14ac:dyDescent="0.35">
      <c r="A294">
        <v>348667</v>
      </c>
      <c r="B294" t="s">
        <v>289</v>
      </c>
      <c r="C294" t="s">
        <v>290</v>
      </c>
      <c r="D294" s="1">
        <v>45813</v>
      </c>
      <c r="E294">
        <v>53850</v>
      </c>
      <c r="F294">
        <v>116</v>
      </c>
      <c r="G294" t="s">
        <v>209</v>
      </c>
      <c r="H294" t="s">
        <v>48</v>
      </c>
      <c r="I294" t="s">
        <v>49</v>
      </c>
      <c r="K294">
        <v>202506048040448</v>
      </c>
      <c r="L294">
        <v>1163307620851</v>
      </c>
      <c r="M294">
        <v>20250604</v>
      </c>
      <c r="N294" t="s">
        <v>222</v>
      </c>
      <c r="P294" t="s">
        <v>136</v>
      </c>
      <c r="Q294" t="s">
        <v>61</v>
      </c>
      <c r="R294">
        <v>5800</v>
      </c>
      <c r="S294">
        <v>0</v>
      </c>
      <c r="T294">
        <v>4984414</v>
      </c>
      <c r="U294" t="s">
        <v>534</v>
      </c>
      <c r="V294" t="s">
        <v>535</v>
      </c>
      <c r="W294" t="s">
        <v>51</v>
      </c>
      <c r="Y294" t="s">
        <v>52</v>
      </c>
      <c r="Z294">
        <v>535</v>
      </c>
      <c r="AH294">
        <v>0</v>
      </c>
      <c r="AI294">
        <v>202506</v>
      </c>
      <c r="AJ294" t="s">
        <v>203</v>
      </c>
      <c r="AK294">
        <v>1</v>
      </c>
      <c r="AL294">
        <v>1</v>
      </c>
      <c r="AO294">
        <v>0</v>
      </c>
      <c r="AP294">
        <v>999</v>
      </c>
      <c r="AQ294">
        <v>600</v>
      </c>
      <c r="AR294">
        <v>600999</v>
      </c>
      <c r="AS294" t="s">
        <v>53</v>
      </c>
      <c r="AU294" t="s">
        <v>53</v>
      </c>
      <c r="AV294">
        <v>1000</v>
      </c>
      <c r="AW294">
        <v>1186.4000000000001</v>
      </c>
      <c r="AX294">
        <v>1500</v>
      </c>
      <c r="AY294">
        <v>1680.386</v>
      </c>
      <c r="AZ294">
        <v>1992.48</v>
      </c>
      <c r="BA294">
        <v>2399.98</v>
      </c>
      <c r="BB294">
        <v>2739.2040000000002</v>
      </c>
      <c r="BC294">
        <v>3000</v>
      </c>
      <c r="BD294">
        <v>3500</v>
      </c>
      <c r="BE294">
        <v>4000</v>
      </c>
      <c r="BF294">
        <v>4800</v>
      </c>
      <c r="BG294">
        <v>5000</v>
      </c>
      <c r="BH294">
        <v>5024.4139999999998</v>
      </c>
      <c r="BI294">
        <v>5617.9639999999999</v>
      </c>
      <c r="BJ294">
        <v>9836.84</v>
      </c>
      <c r="BK294">
        <v>12377.16</v>
      </c>
      <c r="BL294">
        <v>16956.52800000002</v>
      </c>
      <c r="BM294">
        <v>20247.331999999999</v>
      </c>
      <c r="BN294">
        <v>29364.69400000001</v>
      </c>
      <c r="BO294">
        <v>45000</v>
      </c>
      <c r="BP294">
        <v>1149602.8999999999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 x14ac:dyDescent="0.35">
      <c r="A295">
        <v>348665</v>
      </c>
      <c r="B295" t="s">
        <v>289</v>
      </c>
      <c r="C295" t="s">
        <v>290</v>
      </c>
      <c r="D295" s="1">
        <v>45813</v>
      </c>
      <c r="E295">
        <v>53850</v>
      </c>
      <c r="F295">
        <v>102</v>
      </c>
      <c r="G295" t="s">
        <v>56</v>
      </c>
      <c r="H295" t="s">
        <v>48</v>
      </c>
      <c r="I295" t="s">
        <v>49</v>
      </c>
      <c r="K295" t="s">
        <v>672</v>
      </c>
      <c r="L295">
        <v>1023308724471</v>
      </c>
      <c r="M295">
        <v>20250604</v>
      </c>
      <c r="N295" t="s">
        <v>222</v>
      </c>
      <c r="P295" t="s">
        <v>136</v>
      </c>
      <c r="Q295" t="s">
        <v>61</v>
      </c>
      <c r="R295">
        <v>2000</v>
      </c>
      <c r="S295">
        <v>0</v>
      </c>
      <c r="T295">
        <v>4926972</v>
      </c>
      <c r="U295">
        <v>8178330729</v>
      </c>
      <c r="V295" t="s">
        <v>508</v>
      </c>
      <c r="W295" t="s">
        <v>58</v>
      </c>
      <c r="X295" t="s">
        <v>98</v>
      </c>
      <c r="Y295" t="s">
        <v>52</v>
      </c>
      <c r="Z295">
        <v>1443</v>
      </c>
      <c r="AH295">
        <v>0</v>
      </c>
      <c r="AI295">
        <v>202506</v>
      </c>
      <c r="AJ295" t="s">
        <v>203</v>
      </c>
      <c r="AK295">
        <v>1</v>
      </c>
      <c r="AL295">
        <v>1</v>
      </c>
      <c r="AO295">
        <v>0</v>
      </c>
      <c r="AP295">
        <v>477</v>
      </c>
      <c r="AQ295">
        <v>430</v>
      </c>
      <c r="AR295">
        <v>430477</v>
      </c>
      <c r="AS295" t="s">
        <v>65</v>
      </c>
      <c r="AU295" t="s">
        <v>65</v>
      </c>
      <c r="AV295">
        <v>1000</v>
      </c>
      <c r="AW295">
        <v>1186.4000000000001</v>
      </c>
      <c r="AX295">
        <v>1500</v>
      </c>
      <c r="AY295">
        <v>1680.386</v>
      </c>
      <c r="AZ295">
        <v>1992.48</v>
      </c>
      <c r="BA295">
        <v>2399.98</v>
      </c>
      <c r="BB295">
        <v>2739.2040000000002</v>
      </c>
      <c r="BC295">
        <v>3000</v>
      </c>
      <c r="BD295">
        <v>3500</v>
      </c>
      <c r="BE295">
        <v>4000</v>
      </c>
      <c r="BF295">
        <v>4800</v>
      </c>
      <c r="BG295">
        <v>5000</v>
      </c>
      <c r="BH295">
        <v>5024.4139999999998</v>
      </c>
      <c r="BI295">
        <v>5617.9639999999999</v>
      </c>
      <c r="BJ295">
        <v>9836.84</v>
      </c>
      <c r="BK295">
        <v>12377.16</v>
      </c>
      <c r="BL295">
        <v>16956.52800000002</v>
      </c>
      <c r="BM295">
        <v>20247.331999999999</v>
      </c>
      <c r="BN295">
        <v>29364.69400000001</v>
      </c>
      <c r="BO295">
        <v>45000</v>
      </c>
      <c r="BP295">
        <v>1149602.8999999999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 x14ac:dyDescent="0.35">
      <c r="A296">
        <v>348663</v>
      </c>
      <c r="B296" t="s">
        <v>289</v>
      </c>
      <c r="C296" t="s">
        <v>290</v>
      </c>
      <c r="D296" s="1">
        <v>45813</v>
      </c>
      <c r="E296">
        <v>53850</v>
      </c>
      <c r="F296">
        <v>192</v>
      </c>
      <c r="G296" t="s">
        <v>87</v>
      </c>
      <c r="H296" t="s">
        <v>48</v>
      </c>
      <c r="I296" t="s">
        <v>49</v>
      </c>
      <c r="K296">
        <v>202506048039563</v>
      </c>
      <c r="L296">
        <v>1923300185011</v>
      </c>
      <c r="M296">
        <v>20250604</v>
      </c>
      <c r="N296" t="s">
        <v>222</v>
      </c>
      <c r="P296" t="s">
        <v>303</v>
      </c>
      <c r="Q296" t="s">
        <v>61</v>
      </c>
      <c r="R296">
        <v>6698.5</v>
      </c>
      <c r="S296">
        <v>0</v>
      </c>
      <c r="T296">
        <v>3710704</v>
      </c>
      <c r="U296" t="s">
        <v>438</v>
      </c>
      <c r="V296" t="s">
        <v>439</v>
      </c>
      <c r="W296" t="s">
        <v>73</v>
      </c>
      <c r="X296" t="s">
        <v>108</v>
      </c>
      <c r="Y296" t="s">
        <v>52</v>
      </c>
      <c r="Z296">
        <v>1907</v>
      </c>
      <c r="AH296">
        <v>0</v>
      </c>
      <c r="AI296">
        <v>202506</v>
      </c>
      <c r="AJ296" t="s">
        <v>203</v>
      </c>
      <c r="AK296">
        <v>1</v>
      </c>
      <c r="AL296">
        <v>1</v>
      </c>
      <c r="AO296">
        <v>0</v>
      </c>
      <c r="AP296">
        <v>999</v>
      </c>
      <c r="AQ296">
        <v>615</v>
      </c>
      <c r="AR296">
        <v>615999</v>
      </c>
      <c r="AT296">
        <v>1</v>
      </c>
      <c r="AU296" t="s">
        <v>65</v>
      </c>
      <c r="AV296">
        <v>1000</v>
      </c>
      <c r="AW296">
        <v>1186.4000000000001</v>
      </c>
      <c r="AX296">
        <v>1500</v>
      </c>
      <c r="AY296">
        <v>1680.386</v>
      </c>
      <c r="AZ296">
        <v>1992.48</v>
      </c>
      <c r="BA296">
        <v>2399.98</v>
      </c>
      <c r="BB296">
        <v>2739.2040000000002</v>
      </c>
      <c r="BC296">
        <v>3000</v>
      </c>
      <c r="BD296">
        <v>3500</v>
      </c>
      <c r="BE296">
        <v>4000</v>
      </c>
      <c r="BF296">
        <v>4800</v>
      </c>
      <c r="BG296">
        <v>5000</v>
      </c>
      <c r="BH296">
        <v>5024.4139999999998</v>
      </c>
      <c r="BI296">
        <v>5617.9639999999999</v>
      </c>
      <c r="BJ296">
        <v>9836.84</v>
      </c>
      <c r="BK296">
        <v>12377.16</v>
      </c>
      <c r="BL296">
        <v>16956.52800000002</v>
      </c>
      <c r="BM296">
        <v>20247.331999999999</v>
      </c>
      <c r="BN296">
        <v>29364.69400000001</v>
      </c>
      <c r="BO296">
        <v>45000</v>
      </c>
      <c r="BP296">
        <v>1149602.8999999999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 x14ac:dyDescent="0.35">
      <c r="A297">
        <v>348662</v>
      </c>
      <c r="B297" t="s">
        <v>289</v>
      </c>
      <c r="C297" t="s">
        <v>290</v>
      </c>
      <c r="D297" s="1">
        <v>45813</v>
      </c>
      <c r="E297">
        <v>53850</v>
      </c>
      <c r="F297">
        <v>157</v>
      </c>
      <c r="G297" t="s">
        <v>294</v>
      </c>
      <c r="H297" t="s">
        <v>48</v>
      </c>
      <c r="I297" t="s">
        <v>49</v>
      </c>
      <c r="K297" t="s">
        <v>673</v>
      </c>
      <c r="L297">
        <v>1573300000971</v>
      </c>
      <c r="M297">
        <v>20250604</v>
      </c>
      <c r="N297" t="s">
        <v>222</v>
      </c>
      <c r="P297" t="s">
        <v>296</v>
      </c>
      <c r="Q297" t="s">
        <v>61</v>
      </c>
      <c r="R297">
        <v>2560.67</v>
      </c>
      <c r="S297">
        <v>0</v>
      </c>
      <c r="T297">
        <v>4254771</v>
      </c>
      <c r="U297" t="s">
        <v>297</v>
      </c>
      <c r="V297" t="s">
        <v>298</v>
      </c>
      <c r="W297" t="s">
        <v>51</v>
      </c>
      <c r="Y297" t="s">
        <v>52</v>
      </c>
      <c r="Z297">
        <v>1116</v>
      </c>
      <c r="AH297">
        <v>0</v>
      </c>
      <c r="AI297">
        <v>202506</v>
      </c>
      <c r="AJ297" t="s">
        <v>203</v>
      </c>
      <c r="AK297">
        <v>1</v>
      </c>
      <c r="AL297">
        <v>1</v>
      </c>
      <c r="AO297">
        <v>0</v>
      </c>
      <c r="AP297">
        <v>999</v>
      </c>
      <c r="AQ297">
        <v>600</v>
      </c>
      <c r="AR297">
        <v>600999</v>
      </c>
      <c r="AS297" t="s">
        <v>53</v>
      </c>
      <c r="AU297" t="s">
        <v>53</v>
      </c>
      <c r="AV297">
        <v>1000</v>
      </c>
      <c r="AW297">
        <v>1186.4000000000001</v>
      </c>
      <c r="AX297">
        <v>1500</v>
      </c>
      <c r="AY297">
        <v>1680.386</v>
      </c>
      <c r="AZ297">
        <v>1992.48</v>
      </c>
      <c r="BA297">
        <v>2399.98</v>
      </c>
      <c r="BB297">
        <v>2739.2040000000002</v>
      </c>
      <c r="BC297">
        <v>3000</v>
      </c>
      <c r="BD297">
        <v>3500</v>
      </c>
      <c r="BE297">
        <v>4000</v>
      </c>
      <c r="BF297">
        <v>4800</v>
      </c>
      <c r="BG297">
        <v>5000</v>
      </c>
      <c r="BH297">
        <v>5024.4139999999998</v>
      </c>
      <c r="BI297">
        <v>5617.9639999999999</v>
      </c>
      <c r="BJ297">
        <v>9836.84</v>
      </c>
      <c r="BK297">
        <v>12377.16</v>
      </c>
      <c r="BL297">
        <v>16956.52800000002</v>
      </c>
      <c r="BM297">
        <v>20247.331999999999</v>
      </c>
      <c r="BN297">
        <v>29364.69400000001</v>
      </c>
      <c r="BO297">
        <v>45000</v>
      </c>
      <c r="BP297">
        <v>1149602.8999999999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 x14ac:dyDescent="0.35">
      <c r="A298">
        <v>348655</v>
      </c>
      <c r="B298" t="s">
        <v>289</v>
      </c>
      <c r="C298" t="s">
        <v>290</v>
      </c>
      <c r="D298" s="1">
        <v>45813</v>
      </c>
      <c r="E298">
        <v>53850</v>
      </c>
      <c r="F298">
        <v>111</v>
      </c>
      <c r="G298" t="s">
        <v>211</v>
      </c>
      <c r="H298" t="s">
        <v>48</v>
      </c>
      <c r="I298" t="s">
        <v>49</v>
      </c>
      <c r="K298" t="s">
        <v>674</v>
      </c>
      <c r="L298">
        <v>1113305626850</v>
      </c>
      <c r="M298">
        <v>20250604</v>
      </c>
      <c r="N298" t="s">
        <v>222</v>
      </c>
      <c r="P298" t="s">
        <v>291</v>
      </c>
      <c r="Q298" t="s">
        <v>50</v>
      </c>
      <c r="R298">
        <v>1341.63</v>
      </c>
      <c r="S298">
        <v>0</v>
      </c>
      <c r="T298">
        <v>562685</v>
      </c>
      <c r="U298" t="s">
        <v>317</v>
      </c>
      <c r="V298" t="s">
        <v>318</v>
      </c>
      <c r="W298" t="s">
        <v>51</v>
      </c>
      <c r="Y298" t="s">
        <v>52</v>
      </c>
      <c r="Z298">
        <v>593</v>
      </c>
      <c r="AH298">
        <v>0</v>
      </c>
      <c r="AI298">
        <v>202506</v>
      </c>
      <c r="AJ298" t="s">
        <v>203</v>
      </c>
      <c r="AK298">
        <v>1</v>
      </c>
      <c r="AL298">
        <v>1</v>
      </c>
      <c r="AO298">
        <v>0</v>
      </c>
      <c r="AP298">
        <v>999</v>
      </c>
      <c r="AQ298">
        <v>600</v>
      </c>
      <c r="AR298">
        <v>600999</v>
      </c>
      <c r="AS298" t="s">
        <v>53</v>
      </c>
      <c r="AU298" t="s">
        <v>53</v>
      </c>
      <c r="AV298">
        <v>1000</v>
      </c>
      <c r="AW298">
        <v>1186.4000000000001</v>
      </c>
      <c r="AX298">
        <v>1500</v>
      </c>
      <c r="AY298">
        <v>1680.386</v>
      </c>
      <c r="AZ298">
        <v>1992.48</v>
      </c>
      <c r="BA298">
        <v>2399.98</v>
      </c>
      <c r="BB298">
        <v>2739.2040000000002</v>
      </c>
      <c r="BC298">
        <v>3000</v>
      </c>
      <c r="BD298">
        <v>3500</v>
      </c>
      <c r="BE298">
        <v>4000</v>
      </c>
      <c r="BF298">
        <v>4800</v>
      </c>
      <c r="BG298">
        <v>5000</v>
      </c>
      <c r="BH298">
        <v>5024.4139999999998</v>
      </c>
      <c r="BI298">
        <v>5617.9639999999999</v>
      </c>
      <c r="BJ298">
        <v>9836.84</v>
      </c>
      <c r="BK298">
        <v>12377.16</v>
      </c>
      <c r="BL298">
        <v>16956.52800000002</v>
      </c>
      <c r="BM298">
        <v>20247.331999999999</v>
      </c>
      <c r="BN298">
        <v>29364.69400000001</v>
      </c>
      <c r="BO298">
        <v>45000</v>
      </c>
      <c r="BP298">
        <v>1149602.8999999999</v>
      </c>
      <c r="BQ298">
        <v>1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 x14ac:dyDescent="0.35">
      <c r="A299">
        <v>348654</v>
      </c>
      <c r="B299" t="s">
        <v>289</v>
      </c>
      <c r="C299" t="s">
        <v>290</v>
      </c>
      <c r="D299" s="1">
        <v>45813</v>
      </c>
      <c r="E299">
        <v>53850</v>
      </c>
      <c r="F299">
        <v>118</v>
      </c>
      <c r="G299" t="s">
        <v>130</v>
      </c>
      <c r="H299" t="s">
        <v>48</v>
      </c>
      <c r="I299" t="s">
        <v>49</v>
      </c>
      <c r="K299" t="s">
        <v>675</v>
      </c>
      <c r="L299">
        <v>1183306277717</v>
      </c>
      <c r="M299">
        <v>20250604</v>
      </c>
      <c r="N299" t="s">
        <v>222</v>
      </c>
      <c r="P299" t="s">
        <v>303</v>
      </c>
      <c r="Q299" t="s">
        <v>61</v>
      </c>
      <c r="R299">
        <v>2000</v>
      </c>
      <c r="S299">
        <v>0</v>
      </c>
      <c r="T299">
        <v>4237439</v>
      </c>
      <c r="U299">
        <v>5982410721</v>
      </c>
      <c r="V299" t="s">
        <v>603</v>
      </c>
      <c r="W299" t="s">
        <v>58</v>
      </c>
      <c r="X299" t="s">
        <v>111</v>
      </c>
      <c r="Y299" t="s">
        <v>52</v>
      </c>
      <c r="Z299">
        <v>1203</v>
      </c>
      <c r="AH299">
        <v>0</v>
      </c>
      <c r="AI299">
        <v>202506</v>
      </c>
      <c r="AJ299" t="s">
        <v>203</v>
      </c>
      <c r="AK299">
        <v>1</v>
      </c>
      <c r="AL299">
        <v>1</v>
      </c>
      <c r="AO299">
        <v>0</v>
      </c>
      <c r="AP299">
        <v>462</v>
      </c>
      <c r="AQ299">
        <v>430</v>
      </c>
      <c r="AR299">
        <v>430462</v>
      </c>
      <c r="AS299" t="s">
        <v>65</v>
      </c>
      <c r="AU299" t="s">
        <v>65</v>
      </c>
      <c r="AV299">
        <v>1000</v>
      </c>
      <c r="AW299">
        <v>1186.4000000000001</v>
      </c>
      <c r="AX299">
        <v>1500</v>
      </c>
      <c r="AY299">
        <v>1680.386</v>
      </c>
      <c r="AZ299">
        <v>1992.48</v>
      </c>
      <c r="BA299">
        <v>2399.98</v>
      </c>
      <c r="BB299">
        <v>2739.2040000000002</v>
      </c>
      <c r="BC299">
        <v>3000</v>
      </c>
      <c r="BD299">
        <v>3500</v>
      </c>
      <c r="BE299">
        <v>4000</v>
      </c>
      <c r="BF299">
        <v>4800</v>
      </c>
      <c r="BG299">
        <v>5000</v>
      </c>
      <c r="BH299">
        <v>5024.4139999999998</v>
      </c>
      <c r="BI299">
        <v>5617.9639999999999</v>
      </c>
      <c r="BJ299">
        <v>9836.84</v>
      </c>
      <c r="BK299">
        <v>12377.16</v>
      </c>
      <c r="BL299">
        <v>16956.52800000002</v>
      </c>
      <c r="BM299">
        <v>20247.331999999999</v>
      </c>
      <c r="BN299">
        <v>29364.69400000001</v>
      </c>
      <c r="BO299">
        <v>45000</v>
      </c>
      <c r="BP299">
        <v>1149602.8999999999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 x14ac:dyDescent="0.35">
      <c r="A300">
        <v>348649</v>
      </c>
      <c r="B300" t="s">
        <v>289</v>
      </c>
      <c r="C300" t="s">
        <v>290</v>
      </c>
      <c r="D300" s="1">
        <v>45813</v>
      </c>
      <c r="E300">
        <v>53850</v>
      </c>
      <c r="F300">
        <v>118</v>
      </c>
      <c r="G300" t="s">
        <v>130</v>
      </c>
      <c r="H300" t="s">
        <v>48</v>
      </c>
      <c r="I300" t="s">
        <v>49</v>
      </c>
      <c r="K300">
        <v>202506048038971</v>
      </c>
      <c r="L300">
        <v>1183306279384</v>
      </c>
      <c r="M300">
        <v>20250604</v>
      </c>
      <c r="N300" t="s">
        <v>222</v>
      </c>
      <c r="P300" t="s">
        <v>303</v>
      </c>
      <c r="Q300" t="s">
        <v>50</v>
      </c>
      <c r="R300">
        <v>20000</v>
      </c>
      <c r="S300">
        <v>0</v>
      </c>
      <c r="T300">
        <v>4896093</v>
      </c>
      <c r="U300">
        <v>8070110724</v>
      </c>
      <c r="V300" t="s">
        <v>304</v>
      </c>
      <c r="W300" t="s">
        <v>58</v>
      </c>
      <c r="X300" t="s">
        <v>231</v>
      </c>
      <c r="Y300" t="s">
        <v>52</v>
      </c>
      <c r="Z300">
        <v>979</v>
      </c>
      <c r="AH300">
        <v>0</v>
      </c>
      <c r="AI300">
        <v>202506</v>
      </c>
      <c r="AJ300" t="s">
        <v>203</v>
      </c>
      <c r="AK300">
        <v>1</v>
      </c>
      <c r="AL300">
        <v>1</v>
      </c>
      <c r="AO300">
        <v>0</v>
      </c>
      <c r="AP300">
        <v>999</v>
      </c>
      <c r="AQ300">
        <v>430</v>
      </c>
      <c r="AR300">
        <v>430999</v>
      </c>
      <c r="AT300">
        <v>1</v>
      </c>
      <c r="AU300" t="s">
        <v>59</v>
      </c>
      <c r="AV300">
        <v>1000</v>
      </c>
      <c r="AW300">
        <v>1186.4000000000001</v>
      </c>
      <c r="AX300">
        <v>1500</v>
      </c>
      <c r="AY300">
        <v>1680.386</v>
      </c>
      <c r="AZ300">
        <v>1992.48</v>
      </c>
      <c r="BA300">
        <v>2399.98</v>
      </c>
      <c r="BB300">
        <v>2739.2040000000002</v>
      </c>
      <c r="BC300">
        <v>3000</v>
      </c>
      <c r="BD300">
        <v>3500</v>
      </c>
      <c r="BE300">
        <v>4000</v>
      </c>
      <c r="BF300">
        <v>4800</v>
      </c>
      <c r="BG300">
        <v>5000</v>
      </c>
      <c r="BH300">
        <v>5024.4139999999998</v>
      </c>
      <c r="BI300">
        <v>5617.9639999999999</v>
      </c>
      <c r="BJ300">
        <v>9836.84</v>
      </c>
      <c r="BK300">
        <v>12377.16</v>
      </c>
      <c r="BL300">
        <v>16956.52800000002</v>
      </c>
      <c r="BM300">
        <v>20247.331999999999</v>
      </c>
      <c r="BN300">
        <v>29364.69400000001</v>
      </c>
      <c r="BO300">
        <v>45000</v>
      </c>
      <c r="BP300">
        <v>1149602.8999999999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0</v>
      </c>
      <c r="CI300">
        <v>0</v>
      </c>
      <c r="CJ300">
        <v>0</v>
      </c>
      <c r="CK300">
        <v>0</v>
      </c>
    </row>
    <row r="301" spans="1:89" x14ac:dyDescent="0.35">
      <c r="A301">
        <v>348645</v>
      </c>
      <c r="B301" t="s">
        <v>289</v>
      </c>
      <c r="C301" t="s">
        <v>290</v>
      </c>
      <c r="D301" s="1">
        <v>45813</v>
      </c>
      <c r="E301">
        <v>53850</v>
      </c>
      <c r="F301">
        <v>157</v>
      </c>
      <c r="G301" t="s">
        <v>294</v>
      </c>
      <c r="H301" t="s">
        <v>48</v>
      </c>
      <c r="I301" t="s">
        <v>49</v>
      </c>
      <c r="K301" t="s">
        <v>673</v>
      </c>
      <c r="L301">
        <v>1573300000971</v>
      </c>
      <c r="M301">
        <v>20250604</v>
      </c>
      <c r="N301" t="s">
        <v>222</v>
      </c>
      <c r="P301" t="s">
        <v>296</v>
      </c>
      <c r="Q301" t="s">
        <v>61</v>
      </c>
      <c r="R301">
        <v>2560.67</v>
      </c>
      <c r="S301">
        <v>0</v>
      </c>
      <c r="T301">
        <v>4254772</v>
      </c>
      <c r="U301" t="s">
        <v>305</v>
      </c>
      <c r="V301" t="s">
        <v>306</v>
      </c>
      <c r="W301" t="s">
        <v>51</v>
      </c>
      <c r="Y301" t="s">
        <v>52</v>
      </c>
      <c r="AH301">
        <v>0</v>
      </c>
      <c r="AI301">
        <v>202506</v>
      </c>
      <c r="AJ301" t="s">
        <v>203</v>
      </c>
      <c r="AK301">
        <v>1</v>
      </c>
      <c r="AL301">
        <v>1</v>
      </c>
      <c r="AO301">
        <v>0</v>
      </c>
      <c r="AP301">
        <v>999</v>
      </c>
      <c r="AQ301">
        <v>600</v>
      </c>
      <c r="AR301">
        <v>600999</v>
      </c>
      <c r="AS301" t="s">
        <v>53</v>
      </c>
      <c r="AU301" t="s">
        <v>53</v>
      </c>
      <c r="AV301">
        <v>1000</v>
      </c>
      <c r="AW301">
        <v>1186.4000000000001</v>
      </c>
      <c r="AX301">
        <v>1500</v>
      </c>
      <c r="AY301">
        <v>1680.386</v>
      </c>
      <c r="AZ301">
        <v>1992.48</v>
      </c>
      <c r="BA301">
        <v>2399.98</v>
      </c>
      <c r="BB301">
        <v>2739.2040000000002</v>
      </c>
      <c r="BC301">
        <v>3000</v>
      </c>
      <c r="BD301">
        <v>3500</v>
      </c>
      <c r="BE301">
        <v>4000</v>
      </c>
      <c r="BF301">
        <v>4800</v>
      </c>
      <c r="BG301">
        <v>5000</v>
      </c>
      <c r="BH301">
        <v>5024.4139999999998</v>
      </c>
      <c r="BI301">
        <v>5617.9639999999999</v>
      </c>
      <c r="BJ301">
        <v>9836.84</v>
      </c>
      <c r="BK301">
        <v>12377.16</v>
      </c>
      <c r="BL301">
        <v>16956.52800000002</v>
      </c>
      <c r="BM301">
        <v>20247.331999999999</v>
      </c>
      <c r="BN301">
        <v>29364.69400000001</v>
      </c>
      <c r="BO301">
        <v>45000</v>
      </c>
      <c r="BP301">
        <v>1149602.8999999999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 x14ac:dyDescent="0.35">
      <c r="A302">
        <v>348634</v>
      </c>
      <c r="B302" t="s">
        <v>289</v>
      </c>
      <c r="C302" t="s">
        <v>290</v>
      </c>
      <c r="D302" s="1">
        <v>45813</v>
      </c>
      <c r="E302">
        <v>53850</v>
      </c>
      <c r="F302">
        <v>171</v>
      </c>
      <c r="G302" t="s">
        <v>84</v>
      </c>
      <c r="H302" t="s">
        <v>48</v>
      </c>
      <c r="I302" t="s">
        <v>49</v>
      </c>
      <c r="K302" t="s">
        <v>676</v>
      </c>
      <c r="L302">
        <v>1713302217768</v>
      </c>
      <c r="M302">
        <v>20250604</v>
      </c>
      <c r="N302" t="s">
        <v>222</v>
      </c>
      <c r="P302" t="s">
        <v>291</v>
      </c>
      <c r="Q302" t="s">
        <v>50</v>
      </c>
      <c r="R302">
        <v>2000</v>
      </c>
      <c r="S302">
        <v>0</v>
      </c>
      <c r="T302">
        <v>4955332</v>
      </c>
      <c r="U302" t="s">
        <v>677</v>
      </c>
      <c r="V302" t="s">
        <v>678</v>
      </c>
      <c r="W302" t="s">
        <v>51</v>
      </c>
      <c r="Y302" t="s">
        <v>52</v>
      </c>
      <c r="Z302">
        <v>662</v>
      </c>
      <c r="AH302">
        <v>0</v>
      </c>
      <c r="AI302">
        <v>202506</v>
      </c>
      <c r="AJ302" t="s">
        <v>203</v>
      </c>
      <c r="AK302">
        <v>1</v>
      </c>
      <c r="AL302">
        <v>1</v>
      </c>
      <c r="AO302">
        <v>0</v>
      </c>
      <c r="AP302">
        <v>999</v>
      </c>
      <c r="AQ302">
        <v>600</v>
      </c>
      <c r="AR302">
        <v>600999</v>
      </c>
      <c r="AS302" t="s">
        <v>53</v>
      </c>
      <c r="AU302" t="s">
        <v>53</v>
      </c>
      <c r="AV302">
        <v>1000</v>
      </c>
      <c r="AW302">
        <v>1186.4000000000001</v>
      </c>
      <c r="AX302">
        <v>1500</v>
      </c>
      <c r="AY302">
        <v>1680.386</v>
      </c>
      <c r="AZ302">
        <v>1992.48</v>
      </c>
      <c r="BA302">
        <v>2399.98</v>
      </c>
      <c r="BB302">
        <v>2739.2040000000002</v>
      </c>
      <c r="BC302">
        <v>3000</v>
      </c>
      <c r="BD302">
        <v>3500</v>
      </c>
      <c r="BE302">
        <v>4000</v>
      </c>
      <c r="BF302">
        <v>4800</v>
      </c>
      <c r="BG302">
        <v>5000</v>
      </c>
      <c r="BH302">
        <v>5024.4139999999998</v>
      </c>
      <c r="BI302">
        <v>5617.9639999999999</v>
      </c>
      <c r="BJ302">
        <v>9836.84</v>
      </c>
      <c r="BK302">
        <v>12377.16</v>
      </c>
      <c r="BL302">
        <v>16956.52800000002</v>
      </c>
      <c r="BM302">
        <v>20247.331999999999</v>
      </c>
      <c r="BN302">
        <v>29364.69400000001</v>
      </c>
      <c r="BO302">
        <v>45000</v>
      </c>
      <c r="BP302">
        <v>1149602.8999999999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 x14ac:dyDescent="0.35">
      <c r="A303">
        <v>348593</v>
      </c>
      <c r="B303" t="s">
        <v>289</v>
      </c>
      <c r="C303" t="s">
        <v>290</v>
      </c>
      <c r="D303" s="1">
        <v>45812</v>
      </c>
      <c r="E303">
        <v>53850</v>
      </c>
      <c r="F303">
        <v>109</v>
      </c>
      <c r="G303" t="s">
        <v>74</v>
      </c>
      <c r="H303" t="s">
        <v>48</v>
      </c>
      <c r="I303" t="s">
        <v>49</v>
      </c>
      <c r="K303" t="s">
        <v>679</v>
      </c>
      <c r="L303">
        <v>1093306671099</v>
      </c>
      <c r="M303">
        <v>20250603</v>
      </c>
      <c r="N303" t="s">
        <v>222</v>
      </c>
      <c r="P303" t="s">
        <v>291</v>
      </c>
      <c r="Q303" t="s">
        <v>50</v>
      </c>
      <c r="R303">
        <v>3000</v>
      </c>
      <c r="S303">
        <v>0</v>
      </c>
      <c r="T303">
        <v>627869</v>
      </c>
      <c r="U303" t="s">
        <v>680</v>
      </c>
      <c r="V303" t="s">
        <v>681</v>
      </c>
      <c r="W303" t="s">
        <v>51</v>
      </c>
      <c r="Y303" t="s">
        <v>52</v>
      </c>
      <c r="Z303">
        <v>743</v>
      </c>
      <c r="AH303">
        <v>0</v>
      </c>
      <c r="AI303">
        <v>202506</v>
      </c>
      <c r="AJ303" t="s">
        <v>203</v>
      </c>
      <c r="AK303">
        <v>1</v>
      </c>
      <c r="AL303">
        <v>1</v>
      </c>
      <c r="AO303">
        <v>0</v>
      </c>
      <c r="AP303">
        <v>999</v>
      </c>
      <c r="AQ303">
        <v>600</v>
      </c>
      <c r="AR303">
        <v>600999</v>
      </c>
      <c r="AS303" t="s">
        <v>53</v>
      </c>
      <c r="AU303" t="s">
        <v>53</v>
      </c>
      <c r="AV303">
        <v>1000</v>
      </c>
      <c r="AW303">
        <v>1186.4000000000001</v>
      </c>
      <c r="AX303">
        <v>1500</v>
      </c>
      <c r="AY303">
        <v>1680.386</v>
      </c>
      <c r="AZ303">
        <v>1992.48</v>
      </c>
      <c r="BA303">
        <v>2399.98</v>
      </c>
      <c r="BB303">
        <v>2739.2040000000002</v>
      </c>
      <c r="BC303">
        <v>3000</v>
      </c>
      <c r="BD303">
        <v>3500</v>
      </c>
      <c r="BE303">
        <v>4000</v>
      </c>
      <c r="BF303">
        <v>4800</v>
      </c>
      <c r="BG303">
        <v>5000</v>
      </c>
      <c r="BH303">
        <v>5024.4139999999998</v>
      </c>
      <c r="BI303">
        <v>5617.9639999999999</v>
      </c>
      <c r="BJ303">
        <v>9836.84</v>
      </c>
      <c r="BK303">
        <v>12377.16</v>
      </c>
      <c r="BL303">
        <v>16956.52800000002</v>
      </c>
      <c r="BM303">
        <v>20247.331999999999</v>
      </c>
      <c r="BN303">
        <v>29364.69400000001</v>
      </c>
      <c r="BO303">
        <v>45000</v>
      </c>
      <c r="BP303">
        <v>1149602.8999999999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 x14ac:dyDescent="0.35">
      <c r="A304">
        <v>348581</v>
      </c>
      <c r="B304" t="s">
        <v>289</v>
      </c>
      <c r="C304" t="s">
        <v>290</v>
      </c>
      <c r="D304" s="1">
        <v>45812</v>
      </c>
      <c r="E304">
        <v>53850</v>
      </c>
      <c r="F304">
        <v>111</v>
      </c>
      <c r="G304" t="s">
        <v>211</v>
      </c>
      <c r="H304" t="s">
        <v>48</v>
      </c>
      <c r="I304" t="s">
        <v>49</v>
      </c>
      <c r="K304">
        <v>202506038032551</v>
      </c>
      <c r="L304">
        <v>1113305626850</v>
      </c>
      <c r="M304">
        <v>20250603</v>
      </c>
      <c r="N304" t="s">
        <v>222</v>
      </c>
      <c r="P304" t="s">
        <v>291</v>
      </c>
      <c r="Q304" t="s">
        <v>50</v>
      </c>
      <c r="R304">
        <v>5000</v>
      </c>
      <c r="S304">
        <v>0</v>
      </c>
      <c r="T304">
        <v>562685</v>
      </c>
      <c r="U304" t="s">
        <v>317</v>
      </c>
      <c r="V304" t="s">
        <v>318</v>
      </c>
      <c r="W304" t="s">
        <v>51</v>
      </c>
      <c r="Y304" t="s">
        <v>52</v>
      </c>
      <c r="Z304">
        <v>593</v>
      </c>
      <c r="AH304">
        <v>0</v>
      </c>
      <c r="AI304">
        <v>202506</v>
      </c>
      <c r="AJ304" t="s">
        <v>203</v>
      </c>
      <c r="AK304">
        <v>1</v>
      </c>
      <c r="AL304">
        <v>1</v>
      </c>
      <c r="AO304">
        <v>0</v>
      </c>
      <c r="AP304">
        <v>999</v>
      </c>
      <c r="AQ304">
        <v>600</v>
      </c>
      <c r="AR304">
        <v>600999</v>
      </c>
      <c r="AS304" t="s">
        <v>53</v>
      </c>
      <c r="AU304" t="s">
        <v>53</v>
      </c>
      <c r="AV304">
        <v>1000</v>
      </c>
      <c r="AW304">
        <v>1186.4000000000001</v>
      </c>
      <c r="AX304">
        <v>1500</v>
      </c>
      <c r="AY304">
        <v>1680.386</v>
      </c>
      <c r="AZ304">
        <v>1992.48</v>
      </c>
      <c r="BA304">
        <v>2399.98</v>
      </c>
      <c r="BB304">
        <v>2739.2040000000002</v>
      </c>
      <c r="BC304">
        <v>3000</v>
      </c>
      <c r="BD304">
        <v>3500</v>
      </c>
      <c r="BE304">
        <v>4000</v>
      </c>
      <c r="BF304">
        <v>4800</v>
      </c>
      <c r="BG304">
        <v>5000</v>
      </c>
      <c r="BH304">
        <v>5024.4139999999998</v>
      </c>
      <c r="BI304">
        <v>5617.9639999999999</v>
      </c>
      <c r="BJ304">
        <v>9836.84</v>
      </c>
      <c r="BK304">
        <v>12377.16</v>
      </c>
      <c r="BL304">
        <v>16956.52800000002</v>
      </c>
      <c r="BM304">
        <v>20247.331999999999</v>
      </c>
      <c r="BN304">
        <v>29364.69400000001</v>
      </c>
      <c r="BO304">
        <v>45000</v>
      </c>
      <c r="BP304">
        <v>1149602.8999999999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 x14ac:dyDescent="0.35">
      <c r="A305">
        <v>348568</v>
      </c>
      <c r="B305" t="s">
        <v>289</v>
      </c>
      <c r="C305" t="s">
        <v>290</v>
      </c>
      <c r="D305" s="1">
        <v>45812</v>
      </c>
      <c r="E305">
        <v>53850</v>
      </c>
      <c r="F305">
        <v>271</v>
      </c>
      <c r="G305" t="s">
        <v>109</v>
      </c>
      <c r="H305" t="s">
        <v>48</v>
      </c>
      <c r="I305" t="s">
        <v>49</v>
      </c>
      <c r="K305">
        <v>202506038034206</v>
      </c>
      <c r="L305">
        <v>2713300010112</v>
      </c>
      <c r="M305">
        <v>20250603</v>
      </c>
      <c r="N305" t="s">
        <v>222</v>
      </c>
      <c r="P305" t="s">
        <v>136</v>
      </c>
      <c r="Q305" t="s">
        <v>61</v>
      </c>
      <c r="R305">
        <v>5000</v>
      </c>
      <c r="S305">
        <v>0</v>
      </c>
      <c r="T305">
        <v>1611557</v>
      </c>
      <c r="U305" t="s">
        <v>401</v>
      </c>
      <c r="V305" t="s">
        <v>402</v>
      </c>
      <c r="W305" t="s">
        <v>73</v>
      </c>
      <c r="X305" t="s">
        <v>403</v>
      </c>
      <c r="Y305" t="s">
        <v>52</v>
      </c>
      <c r="Z305">
        <v>1850</v>
      </c>
      <c r="AH305">
        <v>0</v>
      </c>
      <c r="AI305">
        <v>202506</v>
      </c>
      <c r="AJ305" t="s">
        <v>55</v>
      </c>
      <c r="AK305">
        <v>0</v>
      </c>
      <c r="AL305">
        <v>1</v>
      </c>
      <c r="AO305">
        <v>0</v>
      </c>
      <c r="AP305">
        <v>999</v>
      </c>
      <c r="AQ305">
        <v>615</v>
      </c>
      <c r="AR305">
        <v>615999</v>
      </c>
      <c r="AT305">
        <v>1</v>
      </c>
      <c r="AU305" t="s">
        <v>65</v>
      </c>
      <c r="AV305">
        <v>1000</v>
      </c>
      <c r="AW305">
        <v>1186.4000000000001</v>
      </c>
      <c r="AX305">
        <v>1500</v>
      </c>
      <c r="AY305">
        <v>1680.386</v>
      </c>
      <c r="AZ305">
        <v>1992.48</v>
      </c>
      <c r="BA305">
        <v>2399.98</v>
      </c>
      <c r="BB305">
        <v>2739.2040000000002</v>
      </c>
      <c r="BC305">
        <v>3000</v>
      </c>
      <c r="BD305">
        <v>3500</v>
      </c>
      <c r="BE305">
        <v>4000</v>
      </c>
      <c r="BF305">
        <v>4800</v>
      </c>
      <c r="BG305">
        <v>5000</v>
      </c>
      <c r="BH305">
        <v>5024.4139999999998</v>
      </c>
      <c r="BI305">
        <v>5617.9639999999999</v>
      </c>
      <c r="BJ305">
        <v>9836.84</v>
      </c>
      <c r="BK305">
        <v>12377.16</v>
      </c>
      <c r="BL305">
        <v>16956.52800000002</v>
      </c>
      <c r="BM305">
        <v>20247.331999999999</v>
      </c>
      <c r="BN305">
        <v>29364.69400000001</v>
      </c>
      <c r="BO305">
        <v>45000</v>
      </c>
      <c r="BP305">
        <v>1149602.8999999999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 x14ac:dyDescent="0.35">
      <c r="D306" s="1"/>
    </row>
    <row r="307" spans="1:89" x14ac:dyDescent="0.35">
      <c r="D307" s="1"/>
    </row>
    <row r="308" spans="1:89" x14ac:dyDescent="0.35">
      <c r="D308" s="1"/>
    </row>
    <row r="309" spans="1:89" x14ac:dyDescent="0.35">
      <c r="D309" s="1"/>
    </row>
    <row r="310" spans="1:89" x14ac:dyDescent="0.35">
      <c r="D310" s="1"/>
    </row>
    <row r="311" spans="1:89" x14ac:dyDescent="0.35">
      <c r="D311" s="1"/>
    </row>
    <row r="312" spans="1:89" x14ac:dyDescent="0.35">
      <c r="D312" s="1"/>
    </row>
    <row r="313" spans="1:89" x14ac:dyDescent="0.35">
      <c r="D313" s="1"/>
    </row>
    <row r="314" spans="1:89" x14ac:dyDescent="0.35">
      <c r="D314" s="1"/>
    </row>
    <row r="315" spans="1:89" x14ac:dyDescent="0.35">
      <c r="D315" s="1"/>
    </row>
    <row r="316" spans="1:89" x14ac:dyDescent="0.35">
      <c r="D316" s="1"/>
    </row>
    <row r="317" spans="1:89" x14ac:dyDescent="0.35">
      <c r="D317" s="1"/>
    </row>
    <row r="318" spans="1:89" x14ac:dyDescent="0.35">
      <c r="D318" s="1"/>
    </row>
    <row r="319" spans="1:89" x14ac:dyDescent="0.35">
      <c r="D319" s="1"/>
    </row>
    <row r="320" spans="1:89" x14ac:dyDescent="0.35">
      <c r="D320" s="1"/>
    </row>
    <row r="321" spans="4:4" x14ac:dyDescent="0.35">
      <c r="D321" s="1"/>
    </row>
    <row r="322" spans="4:4" x14ac:dyDescent="0.35">
      <c r="D322" s="1"/>
    </row>
    <row r="323" spans="4:4" x14ac:dyDescent="0.35">
      <c r="D323" s="1"/>
    </row>
    <row r="324" spans="4:4" x14ac:dyDescent="0.35">
      <c r="D324" s="1"/>
    </row>
    <row r="325" spans="4:4" x14ac:dyDescent="0.35">
      <c r="D325" s="1"/>
    </row>
    <row r="326" spans="4:4" x14ac:dyDescent="0.35">
      <c r="D326" s="1"/>
    </row>
    <row r="327" spans="4:4" x14ac:dyDescent="0.35">
      <c r="D327" s="1"/>
    </row>
    <row r="328" spans="4:4" x14ac:dyDescent="0.35">
      <c r="D328" s="1"/>
    </row>
    <row r="329" spans="4:4" x14ac:dyDescent="0.35">
      <c r="D329" s="1"/>
    </row>
    <row r="330" spans="4:4" x14ac:dyDescent="0.35">
      <c r="D330" s="1"/>
    </row>
    <row r="331" spans="4:4" x14ac:dyDescent="0.35">
      <c r="D331" s="1"/>
    </row>
    <row r="332" spans="4:4" x14ac:dyDescent="0.35">
      <c r="D332" s="1"/>
    </row>
    <row r="333" spans="4:4" x14ac:dyDescent="0.35">
      <c r="D333" s="1"/>
    </row>
    <row r="334" spans="4:4" x14ac:dyDescent="0.35">
      <c r="D334" s="1"/>
    </row>
    <row r="335" spans="4:4" x14ac:dyDescent="0.35">
      <c r="D335" s="1"/>
    </row>
    <row r="336" spans="4:4" x14ac:dyDescent="0.35">
      <c r="D336" s="1"/>
    </row>
    <row r="337" spans="4:4" x14ac:dyDescent="0.35">
      <c r="D337" s="1"/>
    </row>
    <row r="338" spans="4:4" x14ac:dyDescent="0.35">
      <c r="D338" s="1"/>
    </row>
    <row r="339" spans="4:4" x14ac:dyDescent="0.35">
      <c r="D339" s="1"/>
    </row>
    <row r="340" spans="4:4" x14ac:dyDescent="0.35">
      <c r="D340" s="1"/>
    </row>
    <row r="341" spans="4:4" x14ac:dyDescent="0.35">
      <c r="D341" s="1"/>
    </row>
    <row r="342" spans="4:4" x14ac:dyDescent="0.35">
      <c r="D342" s="1"/>
    </row>
    <row r="343" spans="4:4" x14ac:dyDescent="0.35">
      <c r="D343" s="1"/>
    </row>
    <row r="344" spans="4:4" x14ac:dyDescent="0.35">
      <c r="D344" s="1"/>
    </row>
    <row r="345" spans="4:4" x14ac:dyDescent="0.35">
      <c r="D345" s="1"/>
    </row>
    <row r="346" spans="4:4" x14ac:dyDescent="0.35">
      <c r="D346" s="1"/>
    </row>
    <row r="347" spans="4:4" x14ac:dyDescent="0.35">
      <c r="D347" s="1"/>
    </row>
    <row r="348" spans="4:4" x14ac:dyDescent="0.35">
      <c r="D348" s="1"/>
    </row>
    <row r="349" spans="4:4" x14ac:dyDescent="0.35">
      <c r="D349" s="1"/>
    </row>
    <row r="350" spans="4:4" x14ac:dyDescent="0.35">
      <c r="D350" s="1"/>
    </row>
    <row r="351" spans="4:4" x14ac:dyDescent="0.35">
      <c r="D351" s="1"/>
    </row>
    <row r="352" spans="4:4" x14ac:dyDescent="0.35">
      <c r="D352" s="1"/>
    </row>
    <row r="353" spans="4:4" x14ac:dyDescent="0.35">
      <c r="D353" s="1"/>
    </row>
    <row r="354" spans="4:4" x14ac:dyDescent="0.35">
      <c r="D354" s="1"/>
    </row>
    <row r="355" spans="4:4" x14ac:dyDescent="0.35">
      <c r="D355" s="1"/>
    </row>
    <row r="356" spans="4:4" x14ac:dyDescent="0.35">
      <c r="D356" s="1"/>
    </row>
    <row r="357" spans="4:4" x14ac:dyDescent="0.35">
      <c r="D357" s="1"/>
    </row>
    <row r="358" spans="4:4" x14ac:dyDescent="0.35">
      <c r="D358" s="1"/>
    </row>
    <row r="359" spans="4:4" x14ac:dyDescent="0.35">
      <c r="D359" s="1"/>
    </row>
    <row r="360" spans="4:4" x14ac:dyDescent="0.35">
      <c r="D360" s="1"/>
    </row>
    <row r="361" spans="4:4" x14ac:dyDescent="0.35">
      <c r="D361" s="1"/>
    </row>
    <row r="362" spans="4:4" x14ac:dyDescent="0.35">
      <c r="D362" s="1"/>
    </row>
    <row r="363" spans="4:4" x14ac:dyDescent="0.35">
      <c r="D363" s="1"/>
    </row>
    <row r="364" spans="4:4" x14ac:dyDescent="0.35">
      <c r="D364" s="1"/>
    </row>
    <row r="365" spans="4:4" x14ac:dyDescent="0.35">
      <c r="D365" s="1"/>
    </row>
    <row r="366" spans="4:4" x14ac:dyDescent="0.35">
      <c r="D366" s="1"/>
    </row>
    <row r="367" spans="4:4" x14ac:dyDescent="0.35">
      <c r="D367" s="1"/>
    </row>
    <row r="368" spans="4:4" x14ac:dyDescent="0.35">
      <c r="D368" s="1"/>
    </row>
    <row r="369" spans="4:4" x14ac:dyDescent="0.35">
      <c r="D369" s="1"/>
    </row>
    <row r="370" spans="4:4" x14ac:dyDescent="0.35">
      <c r="D370" s="1"/>
    </row>
    <row r="371" spans="4:4" x14ac:dyDescent="0.35">
      <c r="D371" s="1"/>
    </row>
    <row r="372" spans="4:4" x14ac:dyDescent="0.35">
      <c r="D372" s="1"/>
    </row>
    <row r="373" spans="4:4" x14ac:dyDescent="0.35">
      <c r="D373" s="1"/>
    </row>
    <row r="374" spans="4:4" x14ac:dyDescent="0.35">
      <c r="D374" s="1"/>
    </row>
    <row r="375" spans="4:4" x14ac:dyDescent="0.35">
      <c r="D375" s="1"/>
    </row>
    <row r="376" spans="4:4" x14ac:dyDescent="0.35">
      <c r="D376" s="1"/>
    </row>
    <row r="377" spans="4:4" x14ac:dyDescent="0.35">
      <c r="D377" s="1"/>
    </row>
    <row r="378" spans="4:4" x14ac:dyDescent="0.35">
      <c r="D378" s="1"/>
    </row>
    <row r="379" spans="4:4" x14ac:dyDescent="0.35">
      <c r="D379" s="1"/>
    </row>
    <row r="380" spans="4:4" x14ac:dyDescent="0.35">
      <c r="D380" s="1"/>
    </row>
    <row r="381" spans="4:4" x14ac:dyDescent="0.35">
      <c r="D381" s="1"/>
    </row>
    <row r="382" spans="4:4" x14ac:dyDescent="0.35">
      <c r="D382" s="1"/>
    </row>
    <row r="383" spans="4:4" x14ac:dyDescent="0.35">
      <c r="D383" s="1"/>
    </row>
    <row r="384" spans="4:4" x14ac:dyDescent="0.35">
      <c r="D384" s="1"/>
    </row>
    <row r="385" spans="4:4" x14ac:dyDescent="0.35">
      <c r="D385" s="1"/>
    </row>
    <row r="386" spans="4:4" x14ac:dyDescent="0.35">
      <c r="D386" s="1"/>
    </row>
    <row r="387" spans="4:4" x14ac:dyDescent="0.35">
      <c r="D387" s="1"/>
    </row>
    <row r="388" spans="4:4" x14ac:dyDescent="0.35">
      <c r="D388" s="1"/>
    </row>
    <row r="389" spans="4:4" x14ac:dyDescent="0.35">
      <c r="D389" s="1"/>
    </row>
    <row r="390" spans="4:4" x14ac:dyDescent="0.35">
      <c r="D390" s="1"/>
    </row>
    <row r="391" spans="4:4" x14ac:dyDescent="0.35">
      <c r="D391" s="1"/>
    </row>
    <row r="392" spans="4:4" x14ac:dyDescent="0.35">
      <c r="D392" s="1"/>
    </row>
    <row r="393" spans="4:4" x14ac:dyDescent="0.35">
      <c r="D393" s="1"/>
    </row>
    <row r="394" spans="4:4" x14ac:dyDescent="0.35">
      <c r="D394" s="1"/>
    </row>
    <row r="395" spans="4:4" x14ac:dyDescent="0.35">
      <c r="D395" s="1"/>
    </row>
    <row r="396" spans="4:4" x14ac:dyDescent="0.35">
      <c r="D396" s="1"/>
    </row>
    <row r="397" spans="4:4" x14ac:dyDescent="0.35">
      <c r="D397" s="1"/>
    </row>
    <row r="398" spans="4:4" x14ac:dyDescent="0.35">
      <c r="D398" s="1"/>
    </row>
    <row r="399" spans="4:4" x14ac:dyDescent="0.35">
      <c r="D399" s="1"/>
    </row>
    <row r="400" spans="4:4" x14ac:dyDescent="0.35">
      <c r="D400" s="1"/>
    </row>
    <row r="401" spans="4:4" x14ac:dyDescent="0.35">
      <c r="D401" s="1"/>
    </row>
    <row r="402" spans="4:4" x14ac:dyDescent="0.35">
      <c r="D402" s="1"/>
    </row>
    <row r="403" spans="4:4" x14ac:dyDescent="0.35">
      <c r="D403" s="1"/>
    </row>
    <row r="404" spans="4:4" x14ac:dyDescent="0.35">
      <c r="D404" s="1"/>
    </row>
    <row r="405" spans="4:4" x14ac:dyDescent="0.35">
      <c r="D405" s="1"/>
    </row>
    <row r="406" spans="4:4" x14ac:dyDescent="0.35">
      <c r="D406" s="1"/>
    </row>
    <row r="407" spans="4:4" x14ac:dyDescent="0.35">
      <c r="D407" s="1"/>
    </row>
    <row r="408" spans="4:4" x14ac:dyDescent="0.35">
      <c r="D408" s="1"/>
    </row>
    <row r="409" spans="4:4" x14ac:dyDescent="0.35">
      <c r="D409" s="1"/>
    </row>
    <row r="410" spans="4:4" x14ac:dyDescent="0.35">
      <c r="D410" s="1"/>
    </row>
    <row r="411" spans="4:4" x14ac:dyDescent="0.35">
      <c r="D411" s="1"/>
    </row>
    <row r="412" spans="4:4" x14ac:dyDescent="0.35">
      <c r="D412" s="1"/>
    </row>
    <row r="413" spans="4:4" x14ac:dyDescent="0.35">
      <c r="D413" s="1"/>
    </row>
    <row r="414" spans="4:4" x14ac:dyDescent="0.35">
      <c r="D414" s="1"/>
    </row>
    <row r="415" spans="4:4" x14ac:dyDescent="0.35">
      <c r="D415" s="1"/>
    </row>
    <row r="416" spans="4:4" x14ac:dyDescent="0.35">
      <c r="D416" s="1"/>
    </row>
    <row r="417" spans="4:4" x14ac:dyDescent="0.35">
      <c r="D417" s="1"/>
    </row>
    <row r="418" spans="4:4" x14ac:dyDescent="0.35">
      <c r="D418" s="1"/>
    </row>
    <row r="419" spans="4:4" x14ac:dyDescent="0.35">
      <c r="D419" s="1"/>
    </row>
    <row r="420" spans="4:4" x14ac:dyDescent="0.35">
      <c r="D420" s="1"/>
    </row>
    <row r="421" spans="4:4" x14ac:dyDescent="0.35">
      <c r="D421" s="1"/>
    </row>
    <row r="422" spans="4:4" x14ac:dyDescent="0.35">
      <c r="D422" s="1"/>
    </row>
    <row r="423" spans="4:4" x14ac:dyDescent="0.35">
      <c r="D423" s="1"/>
    </row>
    <row r="424" spans="4:4" x14ac:dyDescent="0.35">
      <c r="D424" s="1"/>
    </row>
    <row r="425" spans="4:4" x14ac:dyDescent="0.35">
      <c r="D425" s="1"/>
    </row>
    <row r="426" spans="4:4" x14ac:dyDescent="0.35">
      <c r="D426" s="1"/>
    </row>
    <row r="427" spans="4:4" x14ac:dyDescent="0.35">
      <c r="D427" s="1"/>
    </row>
    <row r="428" spans="4:4" x14ac:dyDescent="0.35">
      <c r="D428" s="1"/>
    </row>
    <row r="429" spans="4:4" x14ac:dyDescent="0.35">
      <c r="D429" s="1"/>
    </row>
    <row r="430" spans="4:4" x14ac:dyDescent="0.35">
      <c r="D430" s="1"/>
    </row>
    <row r="431" spans="4:4" x14ac:dyDescent="0.35">
      <c r="D431" s="1"/>
    </row>
    <row r="432" spans="4:4" x14ac:dyDescent="0.35">
      <c r="D432" s="1"/>
    </row>
    <row r="433" spans="4:4" x14ac:dyDescent="0.35">
      <c r="D433" s="1"/>
    </row>
    <row r="434" spans="4:4" x14ac:dyDescent="0.35">
      <c r="D434" s="1"/>
    </row>
    <row r="435" spans="4:4" x14ac:dyDescent="0.35">
      <c r="D435" s="1"/>
    </row>
    <row r="436" spans="4:4" x14ac:dyDescent="0.35">
      <c r="D436" s="1"/>
    </row>
    <row r="437" spans="4:4" x14ac:dyDescent="0.35">
      <c r="D437" s="1"/>
    </row>
    <row r="438" spans="4:4" x14ac:dyDescent="0.35">
      <c r="D438" s="1"/>
    </row>
    <row r="439" spans="4:4" x14ac:dyDescent="0.35">
      <c r="D439" s="1"/>
    </row>
    <row r="440" spans="4:4" x14ac:dyDescent="0.35">
      <c r="D440" s="1"/>
    </row>
    <row r="441" spans="4:4" x14ac:dyDescent="0.35">
      <c r="D441" s="1"/>
    </row>
    <row r="442" spans="4:4" x14ac:dyDescent="0.35">
      <c r="D442" s="1"/>
    </row>
    <row r="443" spans="4:4" x14ac:dyDescent="0.35">
      <c r="D443" s="1"/>
    </row>
    <row r="444" spans="4:4" x14ac:dyDescent="0.35">
      <c r="D444" s="1"/>
    </row>
    <row r="445" spans="4:4" x14ac:dyDescent="0.35">
      <c r="D445" s="1"/>
    </row>
    <row r="446" spans="4:4" x14ac:dyDescent="0.35">
      <c r="D446" s="1"/>
    </row>
    <row r="447" spans="4:4" x14ac:dyDescent="0.35">
      <c r="D447" s="1"/>
    </row>
    <row r="448" spans="4:4" x14ac:dyDescent="0.35">
      <c r="D448" s="1"/>
    </row>
    <row r="449" spans="4:4" x14ac:dyDescent="0.35">
      <c r="D449" s="1"/>
    </row>
    <row r="450" spans="4:4" x14ac:dyDescent="0.35">
      <c r="D450" s="1"/>
    </row>
    <row r="451" spans="4:4" x14ac:dyDescent="0.35">
      <c r="D451" s="1"/>
    </row>
    <row r="452" spans="4:4" x14ac:dyDescent="0.35">
      <c r="D452" s="1"/>
    </row>
    <row r="453" spans="4:4" x14ac:dyDescent="0.35">
      <c r="D453" s="1"/>
    </row>
    <row r="454" spans="4:4" x14ac:dyDescent="0.35">
      <c r="D454" s="1"/>
    </row>
    <row r="455" spans="4:4" x14ac:dyDescent="0.35">
      <c r="D455" s="1"/>
    </row>
    <row r="456" spans="4:4" x14ac:dyDescent="0.35">
      <c r="D456" s="1"/>
    </row>
    <row r="457" spans="4:4" x14ac:dyDescent="0.35">
      <c r="D457" s="1"/>
    </row>
    <row r="458" spans="4:4" x14ac:dyDescent="0.35">
      <c r="D458" s="1"/>
    </row>
    <row r="459" spans="4:4" x14ac:dyDescent="0.35">
      <c r="D459" s="1"/>
    </row>
    <row r="460" spans="4:4" x14ac:dyDescent="0.35">
      <c r="D460" s="1"/>
    </row>
    <row r="461" spans="4:4" x14ac:dyDescent="0.35">
      <c r="D461" s="1"/>
    </row>
    <row r="462" spans="4:4" x14ac:dyDescent="0.35">
      <c r="D462" s="1"/>
    </row>
    <row r="463" spans="4:4" x14ac:dyDescent="0.35">
      <c r="D463" s="1"/>
    </row>
    <row r="464" spans="4:4" x14ac:dyDescent="0.35">
      <c r="D464" s="1"/>
    </row>
    <row r="465" spans="4:4" x14ac:dyDescent="0.35">
      <c r="D465" s="1"/>
    </row>
    <row r="466" spans="4:4" x14ac:dyDescent="0.35">
      <c r="D466" s="1"/>
    </row>
    <row r="467" spans="4:4" x14ac:dyDescent="0.35">
      <c r="D467" s="1"/>
    </row>
    <row r="468" spans="4:4" x14ac:dyDescent="0.35">
      <c r="D468" s="1"/>
    </row>
    <row r="469" spans="4:4" x14ac:dyDescent="0.35">
      <c r="D469" s="1"/>
    </row>
    <row r="470" spans="4:4" x14ac:dyDescent="0.35">
      <c r="D470" s="1"/>
    </row>
    <row r="471" spans="4:4" x14ac:dyDescent="0.35">
      <c r="D471" s="1"/>
    </row>
    <row r="472" spans="4:4" x14ac:dyDescent="0.35">
      <c r="D472" s="1"/>
    </row>
    <row r="473" spans="4:4" x14ac:dyDescent="0.35">
      <c r="D473" s="1"/>
    </row>
    <row r="474" spans="4:4" x14ac:dyDescent="0.35">
      <c r="D474" s="1"/>
    </row>
    <row r="475" spans="4:4" x14ac:dyDescent="0.35">
      <c r="D475" s="1"/>
    </row>
    <row r="476" spans="4:4" x14ac:dyDescent="0.35">
      <c r="D476" s="1"/>
    </row>
    <row r="477" spans="4:4" x14ac:dyDescent="0.35">
      <c r="D477" s="1"/>
    </row>
    <row r="478" spans="4:4" x14ac:dyDescent="0.35">
      <c r="D478" s="1"/>
    </row>
    <row r="479" spans="4:4" x14ac:dyDescent="0.35">
      <c r="D479" s="1"/>
    </row>
    <row r="480" spans="4:4" x14ac:dyDescent="0.35">
      <c r="D480" s="1"/>
    </row>
    <row r="481" spans="4:4" x14ac:dyDescent="0.35">
      <c r="D481" s="1"/>
    </row>
    <row r="482" spans="4:4" x14ac:dyDescent="0.35">
      <c r="D482" s="1"/>
    </row>
    <row r="483" spans="4:4" x14ac:dyDescent="0.35">
      <c r="D483" s="1"/>
    </row>
    <row r="484" spans="4:4" x14ac:dyDescent="0.35">
      <c r="D484" s="1"/>
    </row>
    <row r="485" spans="4:4" x14ac:dyDescent="0.35">
      <c r="D485" s="1"/>
    </row>
    <row r="486" spans="4:4" x14ac:dyDescent="0.35">
      <c r="D486" s="1"/>
    </row>
    <row r="487" spans="4:4" x14ac:dyDescent="0.35">
      <c r="D487" s="1"/>
    </row>
    <row r="488" spans="4:4" x14ac:dyDescent="0.35">
      <c r="D488" s="1"/>
    </row>
    <row r="489" spans="4:4" x14ac:dyDescent="0.35">
      <c r="D489" s="1"/>
    </row>
    <row r="490" spans="4:4" x14ac:dyDescent="0.35">
      <c r="D490" s="1"/>
    </row>
    <row r="491" spans="4:4" x14ac:dyDescent="0.35">
      <c r="D491" s="1"/>
    </row>
    <row r="492" spans="4:4" x14ac:dyDescent="0.35">
      <c r="D492" s="1"/>
    </row>
    <row r="493" spans="4:4" x14ac:dyDescent="0.35">
      <c r="D493" s="1"/>
    </row>
    <row r="494" spans="4:4" x14ac:dyDescent="0.35">
      <c r="D494" s="1"/>
    </row>
    <row r="495" spans="4:4" x14ac:dyDescent="0.35">
      <c r="D495" s="1"/>
    </row>
    <row r="496" spans="4:4" x14ac:dyDescent="0.35">
      <c r="D496" s="1"/>
    </row>
    <row r="497" spans="4:4" x14ac:dyDescent="0.35">
      <c r="D497" s="1"/>
    </row>
    <row r="498" spans="4:4" x14ac:dyDescent="0.35">
      <c r="D498" s="1"/>
    </row>
    <row r="499" spans="4:4" x14ac:dyDescent="0.35">
      <c r="D499" s="1"/>
    </row>
    <row r="500" spans="4:4" x14ac:dyDescent="0.35">
      <c r="D500" s="1"/>
    </row>
    <row r="501" spans="4:4" x14ac:dyDescent="0.35">
      <c r="D501" s="1"/>
    </row>
    <row r="502" spans="4:4" x14ac:dyDescent="0.35">
      <c r="D502" s="1"/>
    </row>
    <row r="503" spans="4:4" x14ac:dyDescent="0.35">
      <c r="D503" s="1"/>
    </row>
    <row r="504" spans="4:4" x14ac:dyDescent="0.35">
      <c r="D504" s="1"/>
    </row>
    <row r="505" spans="4:4" x14ac:dyDescent="0.35">
      <c r="D505" s="1"/>
    </row>
    <row r="506" spans="4:4" x14ac:dyDescent="0.35">
      <c r="D506" s="1"/>
    </row>
    <row r="507" spans="4:4" x14ac:dyDescent="0.35">
      <c r="D507" s="1"/>
    </row>
    <row r="508" spans="4:4" x14ac:dyDescent="0.35">
      <c r="D508" s="1"/>
    </row>
    <row r="509" spans="4:4" x14ac:dyDescent="0.35">
      <c r="D509" s="1"/>
    </row>
    <row r="510" spans="4:4" x14ac:dyDescent="0.35">
      <c r="D510" s="1"/>
    </row>
    <row r="511" spans="4:4" x14ac:dyDescent="0.35">
      <c r="D511" s="1"/>
    </row>
    <row r="512" spans="4:4" x14ac:dyDescent="0.35">
      <c r="D512" s="1"/>
    </row>
    <row r="513" spans="4:4" x14ac:dyDescent="0.35">
      <c r="D513" s="1"/>
    </row>
    <row r="514" spans="4:4" x14ac:dyDescent="0.35">
      <c r="D514" s="1"/>
    </row>
    <row r="515" spans="4:4" x14ac:dyDescent="0.35">
      <c r="D515" s="1"/>
    </row>
    <row r="516" spans="4:4" x14ac:dyDescent="0.35">
      <c r="D516" s="1"/>
    </row>
    <row r="517" spans="4:4" x14ac:dyDescent="0.35">
      <c r="D517" s="1"/>
    </row>
    <row r="518" spans="4:4" x14ac:dyDescent="0.35">
      <c r="D518" s="1"/>
    </row>
    <row r="519" spans="4:4" x14ac:dyDescent="0.35">
      <c r="D519" s="1"/>
    </row>
    <row r="520" spans="4:4" x14ac:dyDescent="0.35">
      <c r="D520" s="1"/>
    </row>
    <row r="521" spans="4:4" x14ac:dyDescent="0.35">
      <c r="D521" s="1"/>
    </row>
    <row r="522" spans="4:4" x14ac:dyDescent="0.35">
      <c r="D522" s="1"/>
    </row>
    <row r="523" spans="4:4" x14ac:dyDescent="0.35">
      <c r="D523" s="1"/>
    </row>
    <row r="524" spans="4:4" x14ac:dyDescent="0.35">
      <c r="D524" s="1"/>
    </row>
    <row r="525" spans="4:4" x14ac:dyDescent="0.35">
      <c r="D525" s="1"/>
    </row>
    <row r="526" spans="4:4" x14ac:dyDescent="0.35">
      <c r="D526" s="1"/>
    </row>
    <row r="527" spans="4:4" x14ac:dyDescent="0.35">
      <c r="D527" s="1"/>
    </row>
    <row r="528" spans="4:4" x14ac:dyDescent="0.35">
      <c r="D528" s="1"/>
    </row>
    <row r="529" spans="4:4" x14ac:dyDescent="0.35">
      <c r="D529" s="1"/>
    </row>
    <row r="530" spans="4:4" x14ac:dyDescent="0.35">
      <c r="D530" s="1"/>
    </row>
    <row r="531" spans="4:4" x14ac:dyDescent="0.35">
      <c r="D531" s="1"/>
    </row>
    <row r="532" spans="4:4" x14ac:dyDescent="0.35">
      <c r="D532" s="1"/>
    </row>
    <row r="533" spans="4:4" x14ac:dyDescent="0.35">
      <c r="D533" s="1"/>
    </row>
    <row r="534" spans="4:4" x14ac:dyDescent="0.35">
      <c r="D534" s="1"/>
    </row>
    <row r="535" spans="4:4" x14ac:dyDescent="0.35">
      <c r="D535" s="1"/>
    </row>
    <row r="536" spans="4:4" x14ac:dyDescent="0.35">
      <c r="D536" s="1"/>
    </row>
    <row r="537" spans="4:4" x14ac:dyDescent="0.35">
      <c r="D537" s="1"/>
    </row>
    <row r="538" spans="4:4" x14ac:dyDescent="0.35">
      <c r="D538" s="1"/>
    </row>
    <row r="539" spans="4:4" x14ac:dyDescent="0.35">
      <c r="D539" s="1"/>
    </row>
    <row r="540" spans="4:4" x14ac:dyDescent="0.35">
      <c r="D540" s="1"/>
    </row>
    <row r="541" spans="4:4" x14ac:dyDescent="0.35">
      <c r="D541" s="1"/>
    </row>
    <row r="542" spans="4:4" x14ac:dyDescent="0.35">
      <c r="D542" s="1"/>
    </row>
    <row r="543" spans="4:4" x14ac:dyDescent="0.35">
      <c r="D543" s="1"/>
    </row>
    <row r="544" spans="4:4" x14ac:dyDescent="0.35">
      <c r="D544" s="1"/>
    </row>
    <row r="545" spans="4:4" x14ac:dyDescent="0.35">
      <c r="D545" s="1"/>
    </row>
    <row r="546" spans="4:4" x14ac:dyDescent="0.35">
      <c r="D546" s="1"/>
    </row>
    <row r="547" spans="4:4" x14ac:dyDescent="0.35">
      <c r="D547" s="1"/>
    </row>
    <row r="548" spans="4:4" x14ac:dyDescent="0.35">
      <c r="D548" s="1"/>
    </row>
    <row r="549" spans="4:4" x14ac:dyDescent="0.35">
      <c r="D549" s="1"/>
    </row>
    <row r="550" spans="4:4" x14ac:dyDescent="0.35">
      <c r="D550" s="1"/>
    </row>
    <row r="551" spans="4:4" x14ac:dyDescent="0.35">
      <c r="D551" s="1"/>
    </row>
    <row r="552" spans="4:4" x14ac:dyDescent="0.35">
      <c r="D552" s="1"/>
    </row>
    <row r="553" spans="4:4" x14ac:dyDescent="0.35">
      <c r="D553" s="1"/>
    </row>
    <row r="554" spans="4:4" x14ac:dyDescent="0.35">
      <c r="D554" s="1"/>
    </row>
    <row r="555" spans="4:4" x14ac:dyDescent="0.35">
      <c r="D555" s="1"/>
    </row>
    <row r="556" spans="4:4" x14ac:dyDescent="0.35">
      <c r="D556" s="1"/>
    </row>
    <row r="557" spans="4:4" x14ac:dyDescent="0.35">
      <c r="D557" s="1"/>
    </row>
    <row r="558" spans="4:4" x14ac:dyDescent="0.35">
      <c r="D558" s="1"/>
    </row>
    <row r="559" spans="4:4" x14ac:dyDescent="0.35">
      <c r="D559" s="1"/>
    </row>
    <row r="560" spans="4:4" x14ac:dyDescent="0.35">
      <c r="D560" s="1"/>
    </row>
    <row r="561" spans="4:4" x14ac:dyDescent="0.35">
      <c r="D561" s="1"/>
    </row>
    <row r="562" spans="4:4" x14ac:dyDescent="0.35">
      <c r="D562" s="1"/>
    </row>
    <row r="563" spans="4:4" x14ac:dyDescent="0.35">
      <c r="D563" s="1"/>
    </row>
    <row r="564" spans="4:4" x14ac:dyDescent="0.35">
      <c r="D564" s="1"/>
    </row>
    <row r="565" spans="4:4" x14ac:dyDescent="0.35">
      <c r="D565" s="1"/>
    </row>
    <row r="566" spans="4:4" x14ac:dyDescent="0.35">
      <c r="D566" s="1"/>
    </row>
    <row r="567" spans="4:4" x14ac:dyDescent="0.35">
      <c r="D567" s="1"/>
    </row>
    <row r="568" spans="4:4" x14ac:dyDescent="0.35">
      <c r="D568" s="1"/>
    </row>
    <row r="569" spans="4:4" x14ac:dyDescent="0.35">
      <c r="D569" s="1"/>
    </row>
    <row r="570" spans="4:4" x14ac:dyDescent="0.35">
      <c r="D570" s="1"/>
    </row>
    <row r="571" spans="4:4" x14ac:dyDescent="0.35">
      <c r="D571" s="1"/>
    </row>
    <row r="572" spans="4:4" x14ac:dyDescent="0.35">
      <c r="D572" s="1"/>
    </row>
    <row r="573" spans="4:4" x14ac:dyDescent="0.35">
      <c r="D573" s="1"/>
    </row>
    <row r="574" spans="4:4" x14ac:dyDescent="0.35">
      <c r="D574" s="1"/>
    </row>
    <row r="575" spans="4:4" x14ac:dyDescent="0.35">
      <c r="D575" s="1"/>
    </row>
    <row r="576" spans="4:4" x14ac:dyDescent="0.35">
      <c r="D576" s="1"/>
    </row>
    <row r="577" spans="4:4" x14ac:dyDescent="0.35">
      <c r="D577" s="1"/>
    </row>
    <row r="578" spans="4:4" x14ac:dyDescent="0.35">
      <c r="D578" s="1"/>
    </row>
    <row r="579" spans="4:4" x14ac:dyDescent="0.35">
      <c r="D579" s="1"/>
    </row>
    <row r="580" spans="4:4" x14ac:dyDescent="0.35">
      <c r="D580" s="1"/>
    </row>
    <row r="581" spans="4:4" x14ac:dyDescent="0.35">
      <c r="D581" s="1"/>
    </row>
    <row r="582" spans="4:4" x14ac:dyDescent="0.35">
      <c r="D582" s="1"/>
    </row>
    <row r="583" spans="4:4" x14ac:dyDescent="0.35">
      <c r="D583" s="1"/>
    </row>
    <row r="584" spans="4:4" x14ac:dyDescent="0.35">
      <c r="D584" s="1"/>
    </row>
    <row r="585" spans="4:4" x14ac:dyDescent="0.35">
      <c r="D585" s="1"/>
    </row>
    <row r="586" spans="4:4" x14ac:dyDescent="0.35">
      <c r="D586" s="1"/>
    </row>
    <row r="587" spans="4:4" x14ac:dyDescent="0.35">
      <c r="D587" s="1"/>
    </row>
    <row r="588" spans="4:4" x14ac:dyDescent="0.35">
      <c r="D588" s="1"/>
    </row>
    <row r="589" spans="4:4" x14ac:dyDescent="0.35">
      <c r="D589" s="1"/>
    </row>
    <row r="590" spans="4:4" x14ac:dyDescent="0.35">
      <c r="D590" s="1"/>
    </row>
    <row r="591" spans="4:4" x14ac:dyDescent="0.35">
      <c r="D591" s="1"/>
    </row>
    <row r="592" spans="4:4" x14ac:dyDescent="0.35">
      <c r="D592" s="1"/>
    </row>
    <row r="593" spans="4:4" x14ac:dyDescent="0.35">
      <c r="D593" s="1"/>
    </row>
    <row r="594" spans="4:4" x14ac:dyDescent="0.35">
      <c r="D594" s="1"/>
    </row>
    <row r="595" spans="4:4" x14ac:dyDescent="0.35">
      <c r="D595" s="1"/>
    </row>
    <row r="596" spans="4:4" x14ac:dyDescent="0.35">
      <c r="D596" s="1"/>
    </row>
    <row r="597" spans="4:4" x14ac:dyDescent="0.35">
      <c r="D597" s="1"/>
    </row>
    <row r="598" spans="4:4" x14ac:dyDescent="0.35">
      <c r="D598" s="1"/>
    </row>
    <row r="599" spans="4:4" x14ac:dyDescent="0.35">
      <c r="D599" s="1"/>
    </row>
    <row r="600" spans="4:4" x14ac:dyDescent="0.35">
      <c r="D600" s="1"/>
    </row>
    <row r="601" spans="4:4" x14ac:dyDescent="0.35">
      <c r="D601" s="1"/>
    </row>
    <row r="602" spans="4:4" x14ac:dyDescent="0.35">
      <c r="D602" s="1"/>
    </row>
    <row r="603" spans="4:4" x14ac:dyDescent="0.35">
      <c r="D603" s="1"/>
    </row>
    <row r="604" spans="4:4" x14ac:dyDescent="0.35">
      <c r="D604" s="1"/>
    </row>
    <row r="605" spans="4:4" x14ac:dyDescent="0.35">
      <c r="D605" s="1"/>
    </row>
    <row r="606" spans="4:4" x14ac:dyDescent="0.35">
      <c r="D606" s="1"/>
    </row>
    <row r="607" spans="4:4" x14ac:dyDescent="0.35">
      <c r="D607" s="1"/>
    </row>
    <row r="608" spans="4:4" x14ac:dyDescent="0.35">
      <c r="D608" s="1"/>
    </row>
    <row r="609" spans="4:4" x14ac:dyDescent="0.35">
      <c r="D609" s="1"/>
    </row>
    <row r="610" spans="4:4" x14ac:dyDescent="0.35">
      <c r="D610" s="1"/>
    </row>
    <row r="611" spans="4:4" x14ac:dyDescent="0.35">
      <c r="D611" s="1"/>
    </row>
    <row r="612" spans="4:4" x14ac:dyDescent="0.35">
      <c r="D612" s="1"/>
    </row>
    <row r="613" spans="4:4" x14ac:dyDescent="0.35">
      <c r="D613" s="1"/>
    </row>
    <row r="614" spans="4:4" x14ac:dyDescent="0.35">
      <c r="D614" s="1"/>
    </row>
    <row r="615" spans="4:4" x14ac:dyDescent="0.35">
      <c r="D615" s="1"/>
    </row>
    <row r="616" spans="4:4" x14ac:dyDescent="0.35">
      <c r="D616" s="1"/>
    </row>
    <row r="617" spans="4:4" x14ac:dyDescent="0.35">
      <c r="D617" s="1"/>
    </row>
    <row r="618" spans="4:4" x14ac:dyDescent="0.35">
      <c r="D618" s="1"/>
    </row>
    <row r="619" spans="4:4" x14ac:dyDescent="0.35">
      <c r="D619" s="1"/>
    </row>
    <row r="620" spans="4:4" x14ac:dyDescent="0.35">
      <c r="D620" s="1"/>
    </row>
    <row r="621" spans="4:4" x14ac:dyDescent="0.35">
      <c r="D621" s="1"/>
    </row>
    <row r="622" spans="4:4" x14ac:dyDescent="0.35">
      <c r="D622" s="1"/>
    </row>
    <row r="623" spans="4:4" x14ac:dyDescent="0.35">
      <c r="D623" s="1"/>
    </row>
    <row r="624" spans="4:4" x14ac:dyDescent="0.35">
      <c r="D624" s="1"/>
    </row>
    <row r="625" spans="4:4" x14ac:dyDescent="0.35">
      <c r="D625" s="1"/>
    </row>
    <row r="626" spans="4:4" x14ac:dyDescent="0.35">
      <c r="D626" s="1"/>
    </row>
    <row r="627" spans="4:4" x14ac:dyDescent="0.35">
      <c r="D627" s="1"/>
    </row>
    <row r="628" spans="4:4" x14ac:dyDescent="0.35">
      <c r="D628" s="1"/>
    </row>
    <row r="629" spans="4:4" x14ac:dyDescent="0.35">
      <c r="D629" s="1"/>
    </row>
    <row r="630" spans="4:4" x14ac:dyDescent="0.35">
      <c r="D630" s="1"/>
    </row>
    <row r="631" spans="4:4" x14ac:dyDescent="0.35">
      <c r="D631" s="1"/>
    </row>
    <row r="632" spans="4:4" x14ac:dyDescent="0.35">
      <c r="D632" s="1"/>
    </row>
    <row r="633" spans="4:4" x14ac:dyDescent="0.35">
      <c r="D633" s="1"/>
    </row>
    <row r="634" spans="4:4" x14ac:dyDescent="0.35">
      <c r="D634" s="1"/>
    </row>
    <row r="635" spans="4:4" x14ac:dyDescent="0.35">
      <c r="D635" s="1"/>
    </row>
    <row r="636" spans="4:4" x14ac:dyDescent="0.35">
      <c r="D636" s="1"/>
    </row>
    <row r="637" spans="4:4" x14ac:dyDescent="0.35">
      <c r="D637" s="1"/>
    </row>
    <row r="638" spans="4:4" x14ac:dyDescent="0.35">
      <c r="D638" s="1"/>
    </row>
    <row r="639" spans="4:4" x14ac:dyDescent="0.35">
      <c r="D639" s="1"/>
    </row>
    <row r="640" spans="4:4" x14ac:dyDescent="0.35">
      <c r="D640" s="1"/>
    </row>
    <row r="641" spans="4:4" x14ac:dyDescent="0.35">
      <c r="D641" s="1"/>
    </row>
    <row r="642" spans="4:4" x14ac:dyDescent="0.35">
      <c r="D642" s="1"/>
    </row>
    <row r="643" spans="4:4" x14ac:dyDescent="0.35">
      <c r="D643" s="1"/>
    </row>
    <row r="644" spans="4:4" x14ac:dyDescent="0.35">
      <c r="D644" s="1"/>
    </row>
    <row r="645" spans="4:4" x14ac:dyDescent="0.35">
      <c r="D645" s="1"/>
    </row>
    <row r="646" spans="4:4" x14ac:dyDescent="0.35">
      <c r="D646" s="1"/>
    </row>
    <row r="647" spans="4:4" x14ac:dyDescent="0.35">
      <c r="D647" s="1"/>
    </row>
    <row r="648" spans="4:4" x14ac:dyDescent="0.35">
      <c r="D648" s="1"/>
    </row>
    <row r="649" spans="4:4" x14ac:dyDescent="0.35">
      <c r="D649" s="1"/>
    </row>
    <row r="650" spans="4:4" x14ac:dyDescent="0.35">
      <c r="D650" s="1"/>
    </row>
    <row r="651" spans="4:4" x14ac:dyDescent="0.35">
      <c r="D651" s="1"/>
    </row>
    <row r="652" spans="4:4" x14ac:dyDescent="0.35">
      <c r="D652" s="1"/>
    </row>
    <row r="653" spans="4:4" x14ac:dyDescent="0.35">
      <c r="D653" s="1"/>
    </row>
    <row r="654" spans="4:4" x14ac:dyDescent="0.35">
      <c r="D654" s="1"/>
    </row>
    <row r="655" spans="4:4" x14ac:dyDescent="0.35">
      <c r="D655" s="1"/>
    </row>
    <row r="656" spans="4:4" x14ac:dyDescent="0.35">
      <c r="D656" s="1"/>
    </row>
    <row r="657" spans="4:4" x14ac:dyDescent="0.35">
      <c r="D657" s="1"/>
    </row>
    <row r="658" spans="4:4" x14ac:dyDescent="0.35">
      <c r="D658" s="1"/>
    </row>
    <row r="659" spans="4:4" x14ac:dyDescent="0.35">
      <c r="D659" s="1"/>
    </row>
    <row r="660" spans="4:4" x14ac:dyDescent="0.35">
      <c r="D660" s="1"/>
    </row>
    <row r="661" spans="4:4" x14ac:dyDescent="0.35">
      <c r="D661" s="1"/>
    </row>
    <row r="662" spans="4:4" x14ac:dyDescent="0.35">
      <c r="D662" s="1"/>
    </row>
    <row r="663" spans="4:4" x14ac:dyDescent="0.35">
      <c r="D663" s="1"/>
    </row>
    <row r="664" spans="4:4" x14ac:dyDescent="0.35">
      <c r="D664" s="1"/>
    </row>
    <row r="665" spans="4:4" x14ac:dyDescent="0.35">
      <c r="D665" s="1"/>
    </row>
    <row r="666" spans="4:4" x14ac:dyDescent="0.35">
      <c r="D666" s="1"/>
    </row>
    <row r="667" spans="4:4" x14ac:dyDescent="0.35">
      <c r="D667" s="1"/>
    </row>
    <row r="668" spans="4:4" x14ac:dyDescent="0.35">
      <c r="D668" s="1"/>
    </row>
    <row r="669" spans="4:4" x14ac:dyDescent="0.35">
      <c r="D669" s="1"/>
    </row>
    <row r="670" spans="4:4" x14ac:dyDescent="0.35">
      <c r="D670" s="1"/>
    </row>
    <row r="671" spans="4:4" x14ac:dyDescent="0.35">
      <c r="D671" s="1"/>
    </row>
    <row r="672" spans="4:4" x14ac:dyDescent="0.35">
      <c r="D672" s="1"/>
    </row>
    <row r="673" spans="4:4" x14ac:dyDescent="0.35">
      <c r="D673" s="1"/>
    </row>
    <row r="674" spans="4:4" x14ac:dyDescent="0.35">
      <c r="D674" s="1"/>
    </row>
    <row r="675" spans="4:4" x14ac:dyDescent="0.35">
      <c r="D675" s="1"/>
    </row>
    <row r="676" spans="4:4" x14ac:dyDescent="0.35">
      <c r="D676" s="1"/>
    </row>
    <row r="677" spans="4:4" x14ac:dyDescent="0.35">
      <c r="D677" s="1"/>
    </row>
    <row r="678" spans="4:4" x14ac:dyDescent="0.35">
      <c r="D678" s="1"/>
    </row>
    <row r="679" spans="4:4" x14ac:dyDescent="0.35">
      <c r="D679" s="1"/>
    </row>
    <row r="680" spans="4:4" x14ac:dyDescent="0.35">
      <c r="D680" s="1"/>
    </row>
    <row r="681" spans="4:4" x14ac:dyDescent="0.35">
      <c r="D681" s="1"/>
    </row>
    <row r="682" spans="4:4" x14ac:dyDescent="0.35">
      <c r="D682" s="1"/>
    </row>
    <row r="683" spans="4:4" x14ac:dyDescent="0.35">
      <c r="D683" s="1"/>
    </row>
    <row r="684" spans="4:4" x14ac:dyDescent="0.35">
      <c r="D684" s="1"/>
    </row>
    <row r="685" spans="4:4" x14ac:dyDescent="0.35">
      <c r="D685" s="1"/>
    </row>
    <row r="686" spans="4:4" x14ac:dyDescent="0.35">
      <c r="D686" s="1"/>
    </row>
    <row r="687" spans="4:4" x14ac:dyDescent="0.35">
      <c r="D687" s="1"/>
    </row>
    <row r="688" spans="4:4" x14ac:dyDescent="0.35">
      <c r="D688" s="1"/>
    </row>
    <row r="689" spans="4:4" x14ac:dyDescent="0.35">
      <c r="D689" s="1"/>
    </row>
    <row r="690" spans="4:4" x14ac:dyDescent="0.35">
      <c r="D690" s="1"/>
    </row>
    <row r="691" spans="4:4" x14ac:dyDescent="0.35">
      <c r="D691" s="1"/>
    </row>
    <row r="692" spans="4:4" x14ac:dyDescent="0.35">
      <c r="D692" s="1"/>
    </row>
    <row r="693" spans="4:4" x14ac:dyDescent="0.35">
      <c r="D693" s="1"/>
    </row>
    <row r="694" spans="4:4" x14ac:dyDescent="0.35">
      <c r="D694" s="1"/>
    </row>
    <row r="695" spans="4:4" x14ac:dyDescent="0.35">
      <c r="D695" s="1"/>
    </row>
    <row r="696" spans="4:4" x14ac:dyDescent="0.35">
      <c r="D696" s="1"/>
    </row>
    <row r="697" spans="4:4" x14ac:dyDescent="0.35">
      <c r="D697" s="1"/>
    </row>
    <row r="698" spans="4:4" x14ac:dyDescent="0.35">
      <c r="D698" s="1"/>
    </row>
    <row r="699" spans="4:4" x14ac:dyDescent="0.35">
      <c r="D699" s="1"/>
    </row>
    <row r="700" spans="4:4" x14ac:dyDescent="0.35">
      <c r="D700" s="1"/>
    </row>
    <row r="701" spans="4:4" x14ac:dyDescent="0.35">
      <c r="D701" s="1"/>
    </row>
    <row r="702" spans="4:4" x14ac:dyDescent="0.35">
      <c r="D702" s="1"/>
    </row>
    <row r="703" spans="4:4" x14ac:dyDescent="0.35">
      <c r="D703" s="1"/>
    </row>
    <row r="704" spans="4:4" x14ac:dyDescent="0.35">
      <c r="D704" s="1"/>
    </row>
    <row r="705" spans="4:4" x14ac:dyDescent="0.35">
      <c r="D705" s="1"/>
    </row>
    <row r="706" spans="4:4" x14ac:dyDescent="0.35">
      <c r="D706" s="1"/>
    </row>
    <row r="707" spans="4:4" x14ac:dyDescent="0.35">
      <c r="D707" s="1"/>
    </row>
    <row r="708" spans="4:4" x14ac:dyDescent="0.35">
      <c r="D708" s="1"/>
    </row>
    <row r="709" spans="4:4" x14ac:dyDescent="0.35">
      <c r="D709" s="1"/>
    </row>
    <row r="710" spans="4:4" x14ac:dyDescent="0.35">
      <c r="D710" s="1"/>
    </row>
    <row r="711" spans="4:4" x14ac:dyDescent="0.35">
      <c r="D711" s="1"/>
    </row>
    <row r="712" spans="4:4" x14ac:dyDescent="0.35">
      <c r="D712" s="1"/>
    </row>
    <row r="713" spans="4:4" x14ac:dyDescent="0.35">
      <c r="D713" s="1"/>
    </row>
    <row r="714" spans="4:4" x14ac:dyDescent="0.35">
      <c r="D714" s="1"/>
    </row>
    <row r="715" spans="4:4" x14ac:dyDescent="0.35">
      <c r="D715" s="1"/>
    </row>
    <row r="716" spans="4:4" x14ac:dyDescent="0.35">
      <c r="D716" s="1"/>
    </row>
    <row r="717" spans="4:4" x14ac:dyDescent="0.35">
      <c r="D717" s="1"/>
    </row>
    <row r="718" spans="4:4" x14ac:dyDescent="0.35">
      <c r="D718" s="1"/>
    </row>
    <row r="719" spans="4:4" x14ac:dyDescent="0.35">
      <c r="D719" s="1"/>
    </row>
    <row r="720" spans="4:4" x14ac:dyDescent="0.35">
      <c r="D720" s="1"/>
    </row>
    <row r="721" spans="4:4" x14ac:dyDescent="0.35">
      <c r="D721" s="1"/>
    </row>
    <row r="722" spans="4:4" x14ac:dyDescent="0.35">
      <c r="D722" s="1"/>
    </row>
    <row r="723" spans="4:4" x14ac:dyDescent="0.35">
      <c r="D723" s="1"/>
    </row>
    <row r="724" spans="4:4" x14ac:dyDescent="0.35">
      <c r="D724" s="1"/>
    </row>
    <row r="725" spans="4:4" x14ac:dyDescent="0.35">
      <c r="D725" s="1"/>
    </row>
    <row r="726" spans="4:4" x14ac:dyDescent="0.35">
      <c r="D726" s="1"/>
    </row>
    <row r="727" spans="4:4" x14ac:dyDescent="0.35">
      <c r="D727" s="1"/>
    </row>
    <row r="728" spans="4:4" x14ac:dyDescent="0.35">
      <c r="D728" s="1"/>
    </row>
    <row r="729" spans="4:4" x14ac:dyDescent="0.35">
      <c r="D729" s="1"/>
    </row>
    <row r="730" spans="4:4" x14ac:dyDescent="0.35">
      <c r="D730" s="1"/>
    </row>
    <row r="731" spans="4:4" x14ac:dyDescent="0.35">
      <c r="D731" s="1"/>
    </row>
    <row r="732" spans="4:4" x14ac:dyDescent="0.35">
      <c r="D732" s="1"/>
    </row>
    <row r="733" spans="4:4" x14ac:dyDescent="0.35">
      <c r="D733" s="1"/>
    </row>
    <row r="734" spans="4:4" x14ac:dyDescent="0.35">
      <c r="D734" s="1"/>
    </row>
    <row r="735" spans="4:4" x14ac:dyDescent="0.35">
      <c r="D735" s="1"/>
    </row>
    <row r="736" spans="4:4" x14ac:dyDescent="0.35">
      <c r="D736" s="1"/>
    </row>
    <row r="737" spans="4:4" x14ac:dyDescent="0.35">
      <c r="D737" s="1"/>
    </row>
    <row r="738" spans="4:4" x14ac:dyDescent="0.35">
      <c r="D738" s="1"/>
    </row>
    <row r="739" spans="4:4" x14ac:dyDescent="0.35">
      <c r="D739" s="1"/>
    </row>
    <row r="740" spans="4:4" x14ac:dyDescent="0.35">
      <c r="D740" s="1"/>
    </row>
    <row r="741" spans="4:4" x14ac:dyDescent="0.35">
      <c r="D741" s="1"/>
    </row>
    <row r="742" spans="4:4" x14ac:dyDescent="0.35">
      <c r="D742" s="1"/>
    </row>
    <row r="743" spans="4:4" x14ac:dyDescent="0.35">
      <c r="D743" s="1"/>
    </row>
    <row r="744" spans="4:4" x14ac:dyDescent="0.35">
      <c r="D744" s="1"/>
    </row>
    <row r="745" spans="4:4" x14ac:dyDescent="0.35">
      <c r="D745" s="1"/>
    </row>
    <row r="746" spans="4:4" x14ac:dyDescent="0.35">
      <c r="D746" s="1"/>
    </row>
    <row r="747" spans="4:4" x14ac:dyDescent="0.35">
      <c r="D747" s="1"/>
    </row>
    <row r="748" spans="4:4" x14ac:dyDescent="0.35">
      <c r="D748" s="1"/>
    </row>
    <row r="749" spans="4:4" x14ac:dyDescent="0.35">
      <c r="D749" s="1"/>
    </row>
    <row r="750" spans="4:4" x14ac:dyDescent="0.35">
      <c r="D750" s="1"/>
    </row>
    <row r="751" spans="4:4" x14ac:dyDescent="0.35">
      <c r="D751" s="1"/>
    </row>
    <row r="752" spans="4:4" x14ac:dyDescent="0.35">
      <c r="D752" s="1"/>
    </row>
    <row r="753" spans="4:4" x14ac:dyDescent="0.35">
      <c r="D753" s="1"/>
    </row>
    <row r="754" spans="4:4" x14ac:dyDescent="0.35">
      <c r="D754" s="1"/>
    </row>
    <row r="755" spans="4:4" x14ac:dyDescent="0.35">
      <c r="D755" s="1"/>
    </row>
    <row r="756" spans="4:4" x14ac:dyDescent="0.35">
      <c r="D756" s="1"/>
    </row>
    <row r="757" spans="4:4" x14ac:dyDescent="0.35">
      <c r="D757" s="1"/>
    </row>
    <row r="758" spans="4:4" x14ac:dyDescent="0.35">
      <c r="D758" s="1"/>
    </row>
    <row r="759" spans="4:4" x14ac:dyDescent="0.35">
      <c r="D759" s="1"/>
    </row>
    <row r="760" spans="4:4" x14ac:dyDescent="0.35">
      <c r="D760" s="1"/>
    </row>
    <row r="761" spans="4:4" x14ac:dyDescent="0.35">
      <c r="D761" s="1"/>
    </row>
    <row r="762" spans="4:4" x14ac:dyDescent="0.35">
      <c r="D762" s="1"/>
    </row>
    <row r="763" spans="4:4" x14ac:dyDescent="0.35">
      <c r="D763" s="1"/>
    </row>
    <row r="764" spans="4:4" x14ac:dyDescent="0.35">
      <c r="D764" s="1"/>
    </row>
    <row r="765" spans="4:4" x14ac:dyDescent="0.35">
      <c r="D765" s="1"/>
    </row>
    <row r="766" spans="4:4" x14ac:dyDescent="0.35">
      <c r="D766" s="1"/>
    </row>
    <row r="767" spans="4:4" x14ac:dyDescent="0.35">
      <c r="D767" s="1"/>
    </row>
    <row r="768" spans="4:4" x14ac:dyDescent="0.35">
      <c r="D768" s="1"/>
    </row>
    <row r="769" spans="4:4" x14ac:dyDescent="0.35">
      <c r="D769" s="1"/>
    </row>
    <row r="770" spans="4:4" x14ac:dyDescent="0.35">
      <c r="D770" s="1"/>
    </row>
    <row r="771" spans="4:4" x14ac:dyDescent="0.35">
      <c r="D771" s="1"/>
    </row>
    <row r="772" spans="4:4" x14ac:dyDescent="0.35">
      <c r="D772" s="1"/>
    </row>
    <row r="773" spans="4:4" x14ac:dyDescent="0.35">
      <c r="D773" s="1"/>
    </row>
    <row r="774" spans="4:4" x14ac:dyDescent="0.35">
      <c r="D774" s="1"/>
    </row>
    <row r="775" spans="4:4" x14ac:dyDescent="0.35">
      <c r="D775" s="1"/>
    </row>
    <row r="776" spans="4:4" x14ac:dyDescent="0.35">
      <c r="D776" s="1"/>
    </row>
    <row r="777" spans="4:4" x14ac:dyDescent="0.35">
      <c r="D777" s="1"/>
    </row>
    <row r="778" spans="4:4" x14ac:dyDescent="0.35">
      <c r="D778" s="1"/>
    </row>
    <row r="779" spans="4:4" x14ac:dyDescent="0.35">
      <c r="D779" s="1"/>
    </row>
    <row r="780" spans="4:4" x14ac:dyDescent="0.35">
      <c r="D780" s="1"/>
    </row>
    <row r="781" spans="4:4" x14ac:dyDescent="0.35">
      <c r="D781" s="1"/>
    </row>
    <row r="782" spans="4:4" x14ac:dyDescent="0.35">
      <c r="D782" s="1"/>
    </row>
    <row r="783" spans="4:4" x14ac:dyDescent="0.35">
      <c r="D783" s="1"/>
    </row>
    <row r="784" spans="4:4" x14ac:dyDescent="0.35">
      <c r="D784" s="1"/>
    </row>
    <row r="785" spans="4:4" x14ac:dyDescent="0.35">
      <c r="D785" s="1"/>
    </row>
    <row r="786" spans="4:4" x14ac:dyDescent="0.35">
      <c r="D786" s="1"/>
    </row>
    <row r="787" spans="4:4" x14ac:dyDescent="0.35">
      <c r="D787" s="1"/>
    </row>
    <row r="788" spans="4:4" x14ac:dyDescent="0.35">
      <c r="D788" s="1"/>
    </row>
    <row r="789" spans="4:4" x14ac:dyDescent="0.35">
      <c r="D789" s="1"/>
    </row>
    <row r="790" spans="4:4" x14ac:dyDescent="0.35">
      <c r="D790" s="1"/>
    </row>
    <row r="791" spans="4:4" x14ac:dyDescent="0.35">
      <c r="D791" s="1"/>
    </row>
    <row r="792" spans="4:4" x14ac:dyDescent="0.35">
      <c r="D792" s="1"/>
    </row>
    <row r="793" spans="4:4" x14ac:dyDescent="0.35">
      <c r="D793" s="1"/>
    </row>
    <row r="794" spans="4:4" x14ac:dyDescent="0.35">
      <c r="D794" s="1"/>
    </row>
    <row r="795" spans="4:4" x14ac:dyDescent="0.35">
      <c r="D795" s="1"/>
    </row>
    <row r="796" spans="4:4" x14ac:dyDescent="0.35">
      <c r="D796" s="1"/>
    </row>
    <row r="797" spans="4:4" x14ac:dyDescent="0.35">
      <c r="D797" s="1"/>
    </row>
    <row r="798" spans="4:4" x14ac:dyDescent="0.35">
      <c r="D798" s="1"/>
    </row>
    <row r="799" spans="4:4" x14ac:dyDescent="0.35">
      <c r="D799" s="1"/>
    </row>
    <row r="800" spans="4:4" x14ac:dyDescent="0.35">
      <c r="D800" s="1"/>
    </row>
    <row r="801" spans="4:4" x14ac:dyDescent="0.35">
      <c r="D801" s="1"/>
    </row>
    <row r="802" spans="4:4" x14ac:dyDescent="0.35">
      <c r="D802" s="1"/>
    </row>
    <row r="803" spans="4:4" x14ac:dyDescent="0.35">
      <c r="D803" s="1"/>
    </row>
    <row r="804" spans="4:4" x14ac:dyDescent="0.35">
      <c r="D804" s="1"/>
    </row>
    <row r="805" spans="4:4" x14ac:dyDescent="0.35">
      <c r="D805" s="1"/>
    </row>
    <row r="806" spans="4:4" x14ac:dyDescent="0.35">
      <c r="D806" s="1"/>
    </row>
    <row r="807" spans="4:4" x14ac:dyDescent="0.35">
      <c r="D807" s="1"/>
    </row>
    <row r="808" spans="4:4" x14ac:dyDescent="0.35">
      <c r="D808" s="1"/>
    </row>
    <row r="809" spans="4:4" x14ac:dyDescent="0.35">
      <c r="D809" s="1"/>
    </row>
    <row r="810" spans="4:4" x14ac:dyDescent="0.35">
      <c r="D810" s="1"/>
    </row>
    <row r="811" spans="4:4" x14ac:dyDescent="0.35">
      <c r="D811" s="1"/>
    </row>
    <row r="812" spans="4:4" x14ac:dyDescent="0.35">
      <c r="D812" s="1"/>
    </row>
    <row r="813" spans="4:4" x14ac:dyDescent="0.35">
      <c r="D813" s="1"/>
    </row>
    <row r="814" spans="4:4" x14ac:dyDescent="0.35">
      <c r="D814" s="1"/>
    </row>
    <row r="815" spans="4:4" x14ac:dyDescent="0.35">
      <c r="D815" s="1"/>
    </row>
    <row r="816" spans="4:4" x14ac:dyDescent="0.35">
      <c r="D816" s="1"/>
    </row>
    <row r="817" spans="4:4" x14ac:dyDescent="0.35">
      <c r="D817" s="1"/>
    </row>
    <row r="818" spans="4:4" x14ac:dyDescent="0.35">
      <c r="D818" s="1"/>
    </row>
    <row r="819" spans="4:4" x14ac:dyDescent="0.35">
      <c r="D819" s="1"/>
    </row>
    <row r="820" spans="4:4" x14ac:dyDescent="0.35">
      <c r="D820" s="1"/>
    </row>
    <row r="821" spans="4:4" x14ac:dyDescent="0.35">
      <c r="D821" s="1"/>
    </row>
    <row r="822" spans="4:4" x14ac:dyDescent="0.35">
      <c r="D822" s="1"/>
    </row>
    <row r="823" spans="4:4" x14ac:dyDescent="0.35">
      <c r="D823" s="1"/>
    </row>
    <row r="824" spans="4:4" x14ac:dyDescent="0.35">
      <c r="D824" s="1"/>
    </row>
    <row r="825" spans="4:4" x14ac:dyDescent="0.35">
      <c r="D825" s="1"/>
    </row>
    <row r="826" spans="4:4" x14ac:dyDescent="0.35">
      <c r="D826" s="1"/>
    </row>
    <row r="827" spans="4:4" x14ac:dyDescent="0.35">
      <c r="D827" s="1"/>
    </row>
    <row r="828" spans="4:4" x14ac:dyDescent="0.35">
      <c r="D828" s="1"/>
    </row>
    <row r="829" spans="4:4" x14ac:dyDescent="0.35">
      <c r="D829" s="1"/>
    </row>
    <row r="830" spans="4:4" x14ac:dyDescent="0.35">
      <c r="D830" s="1"/>
    </row>
    <row r="831" spans="4:4" x14ac:dyDescent="0.35">
      <c r="D831" s="1"/>
    </row>
    <row r="832" spans="4:4" x14ac:dyDescent="0.35">
      <c r="D832" s="1"/>
    </row>
    <row r="833" spans="4:4" x14ac:dyDescent="0.35">
      <c r="D833" s="1"/>
    </row>
    <row r="834" spans="4:4" x14ac:dyDescent="0.35">
      <c r="D834" s="1"/>
    </row>
    <row r="835" spans="4:4" x14ac:dyDescent="0.35">
      <c r="D835" s="1"/>
    </row>
    <row r="836" spans="4:4" x14ac:dyDescent="0.35">
      <c r="D836" s="1"/>
    </row>
    <row r="837" spans="4:4" x14ac:dyDescent="0.35">
      <c r="D837" s="1"/>
    </row>
    <row r="838" spans="4:4" x14ac:dyDescent="0.35">
      <c r="D838" s="1"/>
    </row>
    <row r="839" spans="4:4" x14ac:dyDescent="0.35">
      <c r="D839" s="1"/>
    </row>
    <row r="840" spans="4:4" x14ac:dyDescent="0.35">
      <c r="D840" s="1"/>
    </row>
    <row r="841" spans="4:4" x14ac:dyDescent="0.35">
      <c r="D841" s="1"/>
    </row>
    <row r="842" spans="4:4" x14ac:dyDescent="0.35">
      <c r="D842" s="1"/>
    </row>
    <row r="843" spans="4:4" x14ac:dyDescent="0.35">
      <c r="D843" s="1"/>
    </row>
    <row r="844" spans="4:4" x14ac:dyDescent="0.35">
      <c r="D844" s="1"/>
    </row>
    <row r="845" spans="4:4" x14ac:dyDescent="0.35">
      <c r="D845" s="1"/>
    </row>
    <row r="846" spans="4:4" x14ac:dyDescent="0.35">
      <c r="D846" s="1"/>
    </row>
    <row r="847" spans="4:4" x14ac:dyDescent="0.35">
      <c r="D847" s="1"/>
    </row>
    <row r="848" spans="4:4" x14ac:dyDescent="0.35">
      <c r="D848" s="1"/>
    </row>
    <row r="849" spans="4:4" x14ac:dyDescent="0.35">
      <c r="D849" s="1"/>
    </row>
    <row r="850" spans="4:4" x14ac:dyDescent="0.35">
      <c r="D850" s="1"/>
    </row>
    <row r="851" spans="4:4" x14ac:dyDescent="0.35">
      <c r="D851" s="1"/>
    </row>
    <row r="852" spans="4:4" x14ac:dyDescent="0.35">
      <c r="D852" s="1"/>
    </row>
    <row r="853" spans="4:4" x14ac:dyDescent="0.35">
      <c r="D853" s="1"/>
    </row>
    <row r="854" spans="4:4" x14ac:dyDescent="0.35">
      <c r="D854" s="1"/>
    </row>
    <row r="855" spans="4:4" x14ac:dyDescent="0.35">
      <c r="D855" s="1"/>
    </row>
    <row r="856" spans="4:4" x14ac:dyDescent="0.35">
      <c r="D856" s="1"/>
    </row>
    <row r="857" spans="4:4" x14ac:dyDescent="0.35">
      <c r="D857" s="1"/>
    </row>
    <row r="858" spans="4:4" x14ac:dyDescent="0.35">
      <c r="D858" s="1"/>
    </row>
    <row r="859" spans="4:4" x14ac:dyDescent="0.35">
      <c r="D859" s="1"/>
    </row>
    <row r="860" spans="4:4" x14ac:dyDescent="0.35">
      <c r="D860" s="1"/>
    </row>
    <row r="861" spans="4:4" x14ac:dyDescent="0.35">
      <c r="D861" s="1"/>
    </row>
    <row r="862" spans="4:4" x14ac:dyDescent="0.35">
      <c r="D862" s="1"/>
    </row>
    <row r="863" spans="4:4" x14ac:dyDescent="0.35">
      <c r="D863" s="1"/>
    </row>
    <row r="864" spans="4:4" x14ac:dyDescent="0.35">
      <c r="D864" s="1"/>
    </row>
    <row r="865" spans="4:4" x14ac:dyDescent="0.35">
      <c r="D865" s="1"/>
    </row>
    <row r="866" spans="4:4" x14ac:dyDescent="0.35">
      <c r="D866" s="1"/>
    </row>
    <row r="867" spans="4:4" x14ac:dyDescent="0.35">
      <c r="D867" s="1"/>
    </row>
    <row r="868" spans="4:4" x14ac:dyDescent="0.35">
      <c r="D868" s="1"/>
    </row>
    <row r="869" spans="4:4" x14ac:dyDescent="0.35">
      <c r="D869" s="1"/>
    </row>
    <row r="870" spans="4:4" x14ac:dyDescent="0.35">
      <c r="D870" s="1"/>
    </row>
    <row r="871" spans="4:4" x14ac:dyDescent="0.35">
      <c r="D871" s="1"/>
    </row>
    <row r="872" spans="4:4" x14ac:dyDescent="0.35">
      <c r="D872" s="1"/>
    </row>
    <row r="873" spans="4:4" x14ac:dyDescent="0.35">
      <c r="D873" s="1"/>
    </row>
    <row r="874" spans="4:4" x14ac:dyDescent="0.35">
      <c r="D874" s="1"/>
    </row>
    <row r="875" spans="4:4" x14ac:dyDescent="0.35">
      <c r="D875" s="1"/>
    </row>
    <row r="876" spans="4:4" x14ac:dyDescent="0.35">
      <c r="D876" s="1"/>
    </row>
    <row r="877" spans="4:4" x14ac:dyDescent="0.35">
      <c r="D877" s="1"/>
    </row>
    <row r="878" spans="4:4" x14ac:dyDescent="0.35">
      <c r="D878" s="1"/>
    </row>
    <row r="879" spans="4:4" x14ac:dyDescent="0.35">
      <c r="D879" s="1"/>
    </row>
    <row r="880" spans="4:4" x14ac:dyDescent="0.35">
      <c r="D880" s="1"/>
    </row>
    <row r="881" spans="4:4" x14ac:dyDescent="0.35">
      <c r="D881" s="1"/>
    </row>
    <row r="882" spans="4:4" x14ac:dyDescent="0.35">
      <c r="D882" s="1"/>
    </row>
    <row r="883" spans="4:4" x14ac:dyDescent="0.35">
      <c r="D883" s="1"/>
    </row>
    <row r="884" spans="4:4" x14ac:dyDescent="0.35">
      <c r="D884" s="1"/>
    </row>
    <row r="885" spans="4:4" x14ac:dyDescent="0.35">
      <c r="D885" s="1"/>
    </row>
    <row r="886" spans="4:4" x14ac:dyDescent="0.35">
      <c r="D886" s="1"/>
    </row>
    <row r="887" spans="4:4" x14ac:dyDescent="0.35">
      <c r="D887" s="1"/>
    </row>
    <row r="888" spans="4:4" x14ac:dyDescent="0.35">
      <c r="D888" s="1"/>
    </row>
    <row r="889" spans="4:4" x14ac:dyDescent="0.35">
      <c r="D889" s="1"/>
    </row>
    <row r="890" spans="4:4" x14ac:dyDescent="0.35">
      <c r="D890" s="1"/>
    </row>
    <row r="891" spans="4:4" x14ac:dyDescent="0.35">
      <c r="D891" s="1"/>
    </row>
    <row r="892" spans="4:4" x14ac:dyDescent="0.35">
      <c r="D892" s="1"/>
    </row>
    <row r="893" spans="4:4" x14ac:dyDescent="0.35">
      <c r="D893" s="1"/>
    </row>
    <row r="894" spans="4:4" x14ac:dyDescent="0.35">
      <c r="D894" s="1"/>
    </row>
    <row r="895" spans="4:4" x14ac:dyDescent="0.35">
      <c r="D895" s="1"/>
    </row>
    <row r="896" spans="4:4" x14ac:dyDescent="0.35">
      <c r="D896" s="1"/>
    </row>
    <row r="897" spans="4:4" x14ac:dyDescent="0.35">
      <c r="D897" s="1"/>
    </row>
    <row r="898" spans="4:4" x14ac:dyDescent="0.35">
      <c r="D898" s="1"/>
    </row>
    <row r="899" spans="4:4" x14ac:dyDescent="0.35">
      <c r="D899" s="1"/>
    </row>
    <row r="900" spans="4:4" x14ac:dyDescent="0.35">
      <c r="D900" s="1"/>
    </row>
    <row r="901" spans="4:4" x14ac:dyDescent="0.35">
      <c r="D901" s="1"/>
    </row>
    <row r="902" spans="4:4" x14ac:dyDescent="0.35">
      <c r="D902" s="1"/>
    </row>
    <row r="903" spans="4:4" x14ac:dyDescent="0.35">
      <c r="D903" s="1"/>
    </row>
    <row r="904" spans="4:4" x14ac:dyDescent="0.35">
      <c r="D904" s="1"/>
    </row>
    <row r="905" spans="4:4" x14ac:dyDescent="0.35">
      <c r="D905" s="1"/>
    </row>
    <row r="906" spans="4:4" x14ac:dyDescent="0.35">
      <c r="D906" s="1"/>
    </row>
    <row r="907" spans="4:4" x14ac:dyDescent="0.35">
      <c r="D907" s="1"/>
    </row>
    <row r="908" spans="4:4" x14ac:dyDescent="0.35">
      <c r="D908" s="1"/>
    </row>
    <row r="909" spans="4:4" x14ac:dyDescent="0.35">
      <c r="D909" s="1"/>
    </row>
    <row r="910" spans="4:4" x14ac:dyDescent="0.35">
      <c r="D910" s="1"/>
    </row>
    <row r="911" spans="4:4" x14ac:dyDescent="0.35">
      <c r="D911" s="1"/>
    </row>
    <row r="912" spans="4:4" x14ac:dyDescent="0.35">
      <c r="D912" s="1"/>
    </row>
    <row r="913" spans="4:4" x14ac:dyDescent="0.35">
      <c r="D913" s="1"/>
    </row>
    <row r="914" spans="4:4" x14ac:dyDescent="0.35">
      <c r="D914" s="1"/>
    </row>
    <row r="915" spans="4:4" x14ac:dyDescent="0.35">
      <c r="D915" s="1"/>
    </row>
    <row r="916" spans="4:4" x14ac:dyDescent="0.35">
      <c r="D916" s="1"/>
    </row>
    <row r="917" spans="4:4" x14ac:dyDescent="0.35">
      <c r="D917" s="1"/>
    </row>
    <row r="918" spans="4:4" x14ac:dyDescent="0.35">
      <c r="D918" s="1"/>
    </row>
    <row r="919" spans="4:4" x14ac:dyDescent="0.35">
      <c r="D919" s="1"/>
    </row>
    <row r="920" spans="4:4" x14ac:dyDescent="0.35">
      <c r="D920" s="1"/>
    </row>
    <row r="921" spans="4:4" x14ac:dyDescent="0.35">
      <c r="D921" s="1"/>
    </row>
    <row r="922" spans="4:4" x14ac:dyDescent="0.35">
      <c r="D922" s="1"/>
    </row>
    <row r="923" spans="4:4" x14ac:dyDescent="0.35">
      <c r="D923" s="1"/>
    </row>
    <row r="924" spans="4:4" x14ac:dyDescent="0.35">
      <c r="D924" s="1"/>
    </row>
    <row r="925" spans="4:4" x14ac:dyDescent="0.35">
      <c r="D925" s="1"/>
    </row>
    <row r="926" spans="4:4" x14ac:dyDescent="0.35">
      <c r="D926" s="1"/>
    </row>
    <row r="927" spans="4:4" x14ac:dyDescent="0.35">
      <c r="D927" s="1"/>
    </row>
    <row r="928" spans="4:4" x14ac:dyDescent="0.35">
      <c r="D928" s="1"/>
    </row>
    <row r="929" spans="4:4" x14ac:dyDescent="0.35">
      <c r="D929" s="1"/>
    </row>
    <row r="930" spans="4:4" x14ac:dyDescent="0.35">
      <c r="D930" s="1"/>
    </row>
    <row r="931" spans="4:4" x14ac:dyDescent="0.35">
      <c r="D931" s="1"/>
    </row>
    <row r="932" spans="4:4" x14ac:dyDescent="0.35">
      <c r="D932" s="1"/>
    </row>
    <row r="933" spans="4:4" x14ac:dyDescent="0.35">
      <c r="D933" s="1"/>
    </row>
    <row r="934" spans="4:4" x14ac:dyDescent="0.35">
      <c r="D934" s="1"/>
    </row>
    <row r="935" spans="4:4" x14ac:dyDescent="0.35">
      <c r="D935" s="1"/>
    </row>
    <row r="936" spans="4:4" x14ac:dyDescent="0.35">
      <c r="D936" s="1"/>
    </row>
    <row r="937" spans="4:4" x14ac:dyDescent="0.35">
      <c r="D937" s="1"/>
    </row>
    <row r="938" spans="4:4" x14ac:dyDescent="0.35">
      <c r="D938" s="1"/>
    </row>
    <row r="939" spans="4:4" x14ac:dyDescent="0.35">
      <c r="D939" s="1"/>
    </row>
    <row r="940" spans="4:4" x14ac:dyDescent="0.35">
      <c r="D940" s="1"/>
    </row>
    <row r="941" spans="4:4" x14ac:dyDescent="0.35">
      <c r="D941" s="1"/>
    </row>
    <row r="942" spans="4:4" x14ac:dyDescent="0.35">
      <c r="D942" s="1"/>
    </row>
    <row r="943" spans="4:4" x14ac:dyDescent="0.35">
      <c r="D943" s="1"/>
    </row>
    <row r="944" spans="4:4" x14ac:dyDescent="0.35">
      <c r="D944" s="1"/>
    </row>
    <row r="945" spans="4:4" x14ac:dyDescent="0.35">
      <c r="D945" s="1"/>
    </row>
    <row r="946" spans="4:4" x14ac:dyDescent="0.35">
      <c r="D946" s="1"/>
    </row>
    <row r="947" spans="4:4" x14ac:dyDescent="0.35">
      <c r="D947" s="1"/>
    </row>
    <row r="948" spans="4:4" x14ac:dyDescent="0.35">
      <c r="D948" s="1"/>
    </row>
    <row r="949" spans="4:4" x14ac:dyDescent="0.35">
      <c r="D949" s="1"/>
    </row>
    <row r="950" spans="4:4" x14ac:dyDescent="0.35">
      <c r="D950" s="1"/>
    </row>
    <row r="951" spans="4:4" x14ac:dyDescent="0.35">
      <c r="D951" s="1"/>
    </row>
    <row r="952" spans="4:4" x14ac:dyDescent="0.35">
      <c r="D952" s="1"/>
    </row>
    <row r="953" spans="4:4" x14ac:dyDescent="0.35">
      <c r="D953" s="1"/>
    </row>
    <row r="954" spans="4:4" x14ac:dyDescent="0.35">
      <c r="D954" s="1"/>
    </row>
    <row r="955" spans="4:4" x14ac:dyDescent="0.35">
      <c r="D955" s="1"/>
    </row>
    <row r="956" spans="4:4" x14ac:dyDescent="0.35">
      <c r="D956" s="1"/>
    </row>
    <row r="957" spans="4:4" x14ac:dyDescent="0.35">
      <c r="D957" s="1"/>
    </row>
    <row r="958" spans="4:4" x14ac:dyDescent="0.35">
      <c r="D958" s="1"/>
    </row>
    <row r="959" spans="4:4" x14ac:dyDescent="0.35">
      <c r="D959" s="1"/>
    </row>
    <row r="960" spans="4:4" x14ac:dyDescent="0.35">
      <c r="D960" s="1"/>
    </row>
    <row r="961" spans="4:4" x14ac:dyDescent="0.35">
      <c r="D961" s="1"/>
    </row>
    <row r="962" spans="4:4" x14ac:dyDescent="0.35">
      <c r="D962" s="1"/>
    </row>
    <row r="963" spans="4:4" x14ac:dyDescent="0.35">
      <c r="D963" s="1"/>
    </row>
    <row r="964" spans="4:4" x14ac:dyDescent="0.35">
      <c r="D964" s="1"/>
    </row>
    <row r="965" spans="4:4" x14ac:dyDescent="0.35">
      <c r="D965" s="1"/>
    </row>
    <row r="966" spans="4:4" x14ac:dyDescent="0.35">
      <c r="D966" s="1"/>
    </row>
    <row r="967" spans="4:4" x14ac:dyDescent="0.35">
      <c r="D967" s="1"/>
    </row>
    <row r="968" spans="4:4" x14ac:dyDescent="0.35">
      <c r="D968" s="1"/>
    </row>
  </sheetData>
  <autoFilter ref="A1:CK305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093D3EFB6B3489EE1E049962EC73A" ma:contentTypeVersion="10" ma:contentTypeDescription="Creare un nuovo documento." ma:contentTypeScope="" ma:versionID="fc3d09e6117068449fa7200e70a6cc65">
  <xsd:schema xmlns:xsd="http://www.w3.org/2001/XMLSchema" xmlns:xs="http://www.w3.org/2001/XMLSchema" xmlns:p="http://schemas.microsoft.com/office/2006/metadata/properties" xmlns:ns2="26ed0658-0289-4c17-a65e-1511a42df96c" xmlns:ns3="4113e83b-330f-43e9-8a32-659de2db0e37" targetNamespace="http://schemas.microsoft.com/office/2006/metadata/properties" ma:root="true" ma:fieldsID="a5f33ce90e6a338a48b2cb0fea7a304f" ns2:_="" ns3:_="">
    <xsd:import namespace="26ed0658-0289-4c17-a65e-1511a42df96c"/>
    <xsd:import namespace="4113e83b-330f-43e9-8a32-659de2db0e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d0658-0289-4c17-a65e-1511a42df9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3e83b-330f-43e9-8a32-659de2db0e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2a37b6-2a8b-44e9-98be-ac89573471aa}" ma:internalName="TaxCatchAll" ma:showField="CatchAllData" ma:web="4113e83b-330f-43e9-8a32-659de2db0e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13e83b-330f-43e9-8a32-659de2db0e37" xsi:nil="true"/>
    <lcf76f155ced4ddcb4097134ff3c332f xmlns="26ed0658-0289-4c17-a65e-1511a42df9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76BEF7-6E9F-4217-AD43-9094A5CA74C5}"/>
</file>

<file path=customXml/itemProps2.xml><?xml version="1.0" encoding="utf-8"?>
<ds:datastoreItem xmlns:ds="http://schemas.openxmlformats.org/officeDocument/2006/customXml" ds:itemID="{FEF87086-DF43-4061-860D-1E08342163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AF323C-A7F4-4F7D-92FD-424A4BF87BC0}">
  <ds:schemaRefs>
    <ds:schemaRef ds:uri="http://schemas.microsoft.com/office/2006/metadata/properties"/>
    <ds:schemaRef ds:uri="http://schemas.microsoft.com/office/infopath/2007/PartnerControls"/>
    <ds:schemaRef ds:uri="4113e83b-330f-43e9-8a32-659de2db0e37"/>
    <ds:schemaRef ds:uri="26ed0658-0289-4c17-a65e-1511a42df96c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Simulazione</vt:lpstr>
      <vt:lpstr>Analisi</vt:lpstr>
      <vt:lpstr>00090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Jafari, Sepehr</cp:lastModifiedBy>
  <dcterms:created xsi:type="dcterms:W3CDTF">2025-10-01T13:20:04Z</dcterms:created>
  <dcterms:modified xsi:type="dcterms:W3CDTF">2025-11-04T15:35:00Z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0x010100715093D3EFB6B3489EE1E049962EC73A</vt:lpwstr>
  </property>
  <property fmtid="{D5CDD505-2E9C-101B-9397-08002B2CF9AE}" pid="3" name="MediaServiceImageTags">
    <vt:lpwstr/>
  </property>
</Properties>
</file>